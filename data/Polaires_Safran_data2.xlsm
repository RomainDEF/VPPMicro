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ughlin\Documents\GitHub\ProjetMT\"/>
    </mc:Choice>
  </mc:AlternateContent>
  <xr:revisionPtr revIDLastSave="0" documentId="13_ncr:1_{E3F9255F-AF79-497A-893D-1D246C07805B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0.1kts" sheetId="1" r:id="rId1"/>
    <sheet name="0.5kts" sheetId="2" r:id="rId2"/>
    <sheet name="1kts" sheetId="3" r:id="rId3"/>
    <sheet name="1.5kts" sheetId="4" r:id="rId4"/>
    <sheet name="2kts" sheetId="5" r:id="rId5"/>
    <sheet name="2.5kts" sheetId="6" r:id="rId6"/>
    <sheet name="3kts" sheetId="7" r:id="rId7"/>
    <sheet name="3.5kts" sheetId="8" r:id="rId8"/>
    <sheet name="4kts" sheetId="9" r:id="rId9"/>
    <sheet name="5kts" sheetId="11" r:id="rId10"/>
    <sheet name="10kts" sheetId="10" r:id="rId11"/>
    <sheet name="Données géométriques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" i="1"/>
  <c r="B11" i="12" l="1"/>
  <c r="B12" i="1"/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" i="10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" i="11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" i="9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" i="8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" i="7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" i="6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" i="5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" i="4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" i="2"/>
  <c r="D6" i="1" l="1"/>
  <c r="E6" i="1"/>
  <c r="E5" i="1"/>
  <c r="D5" i="1"/>
  <c r="C6" i="1"/>
  <c r="C5" i="1"/>
  <c r="B5" i="10" l="1"/>
  <c r="I5" i="10" s="1"/>
  <c r="B6" i="10"/>
  <c r="I6" i="10" s="1"/>
  <c r="B7" i="10"/>
  <c r="I7" i="10" s="1"/>
  <c r="B8" i="10"/>
  <c r="I8" i="10" s="1"/>
  <c r="B9" i="10"/>
  <c r="I9" i="10" s="1"/>
  <c r="B10" i="10"/>
  <c r="I10" i="10" s="1"/>
  <c r="B11" i="10"/>
  <c r="I11" i="10" s="1"/>
  <c r="B12" i="10"/>
  <c r="I12" i="10" s="1"/>
  <c r="B13" i="10"/>
  <c r="I13" i="10" s="1"/>
  <c r="B14" i="10"/>
  <c r="I14" i="10" s="1"/>
  <c r="B15" i="10"/>
  <c r="I15" i="10" s="1"/>
  <c r="B16" i="10"/>
  <c r="I16" i="10" s="1"/>
  <c r="B17" i="10"/>
  <c r="I17" i="10" s="1"/>
  <c r="B18" i="10"/>
  <c r="I18" i="10" s="1"/>
  <c r="B19" i="10"/>
  <c r="I19" i="10" s="1"/>
  <c r="B20" i="10"/>
  <c r="I20" i="10" s="1"/>
  <c r="B21" i="10"/>
  <c r="I21" i="10" s="1"/>
  <c r="B22" i="10"/>
  <c r="I22" i="10" s="1"/>
  <c r="B23" i="10"/>
  <c r="I23" i="10" s="1"/>
  <c r="B24" i="10"/>
  <c r="I24" i="10" s="1"/>
  <c r="B25" i="10"/>
  <c r="I25" i="10" s="1"/>
  <c r="B26" i="10"/>
  <c r="I26" i="10" s="1"/>
  <c r="B27" i="10"/>
  <c r="I27" i="10" s="1"/>
  <c r="B28" i="10"/>
  <c r="I28" i="10" s="1"/>
  <c r="B29" i="10"/>
  <c r="I29" i="10" s="1"/>
  <c r="B30" i="10"/>
  <c r="I30" i="10" s="1"/>
  <c r="B31" i="10"/>
  <c r="I31" i="10" s="1"/>
  <c r="B32" i="10"/>
  <c r="I32" i="10" s="1"/>
  <c r="B33" i="10"/>
  <c r="I33" i="10" s="1"/>
  <c r="B34" i="10"/>
  <c r="I34" i="10" s="1"/>
  <c r="B35" i="10"/>
  <c r="I35" i="10" s="1"/>
  <c r="B36" i="10"/>
  <c r="I36" i="10" s="1"/>
  <c r="B37" i="10"/>
  <c r="I37" i="10" s="1"/>
  <c r="B38" i="10"/>
  <c r="I38" i="10" s="1"/>
  <c r="B39" i="10"/>
  <c r="I39" i="10" s="1"/>
  <c r="B40" i="10"/>
  <c r="I40" i="10" s="1"/>
  <c r="B41" i="10"/>
  <c r="I41" i="10" s="1"/>
  <c r="B4" i="10"/>
  <c r="B5" i="11"/>
  <c r="I5" i="11" s="1"/>
  <c r="B6" i="11"/>
  <c r="I6" i="11" s="1"/>
  <c r="B7" i="11"/>
  <c r="I7" i="11" s="1"/>
  <c r="B8" i="11"/>
  <c r="I8" i="11" s="1"/>
  <c r="B9" i="11"/>
  <c r="I9" i="11" s="1"/>
  <c r="B10" i="11"/>
  <c r="I10" i="11" s="1"/>
  <c r="B11" i="11"/>
  <c r="I11" i="11" s="1"/>
  <c r="B12" i="11"/>
  <c r="I12" i="11" s="1"/>
  <c r="B13" i="11"/>
  <c r="I13" i="11" s="1"/>
  <c r="B14" i="11"/>
  <c r="I14" i="11" s="1"/>
  <c r="B15" i="11"/>
  <c r="I15" i="11" s="1"/>
  <c r="B16" i="11"/>
  <c r="I16" i="11" s="1"/>
  <c r="B17" i="11"/>
  <c r="I17" i="11" s="1"/>
  <c r="B18" i="11"/>
  <c r="I18" i="11" s="1"/>
  <c r="B19" i="11"/>
  <c r="I19" i="11" s="1"/>
  <c r="B20" i="11"/>
  <c r="I20" i="11" s="1"/>
  <c r="B21" i="11"/>
  <c r="I21" i="11" s="1"/>
  <c r="B22" i="11"/>
  <c r="I22" i="11" s="1"/>
  <c r="B23" i="11"/>
  <c r="I23" i="11" s="1"/>
  <c r="B24" i="11"/>
  <c r="I24" i="11" s="1"/>
  <c r="B25" i="11"/>
  <c r="I25" i="11" s="1"/>
  <c r="B26" i="11"/>
  <c r="I26" i="11" s="1"/>
  <c r="B27" i="11"/>
  <c r="I27" i="11" s="1"/>
  <c r="B28" i="11"/>
  <c r="I28" i="11" s="1"/>
  <c r="B29" i="11"/>
  <c r="I29" i="11" s="1"/>
  <c r="B30" i="11"/>
  <c r="I30" i="11" s="1"/>
  <c r="B31" i="11"/>
  <c r="I31" i="11" s="1"/>
  <c r="B32" i="11"/>
  <c r="I32" i="11" s="1"/>
  <c r="B33" i="11"/>
  <c r="I33" i="11" s="1"/>
  <c r="B34" i="11"/>
  <c r="I34" i="11" s="1"/>
  <c r="B35" i="11"/>
  <c r="I35" i="11" s="1"/>
  <c r="B36" i="11"/>
  <c r="I36" i="11" s="1"/>
  <c r="B37" i="11"/>
  <c r="I37" i="11" s="1"/>
  <c r="B38" i="11"/>
  <c r="I38" i="11" s="1"/>
  <c r="B39" i="11"/>
  <c r="I39" i="11" s="1"/>
  <c r="B40" i="11"/>
  <c r="I40" i="11" s="1"/>
  <c r="B41" i="11"/>
  <c r="I41" i="11" s="1"/>
  <c r="B42" i="11"/>
  <c r="I42" i="11" s="1"/>
  <c r="B43" i="11"/>
  <c r="I43" i="11" s="1"/>
  <c r="B44" i="11"/>
  <c r="I44" i="11" s="1"/>
  <c r="B4" i="11"/>
  <c r="B5" i="9"/>
  <c r="I5" i="9" s="1"/>
  <c r="B6" i="9"/>
  <c r="I6" i="9" s="1"/>
  <c r="B7" i="9"/>
  <c r="I7" i="9" s="1"/>
  <c r="B8" i="9"/>
  <c r="I8" i="9" s="1"/>
  <c r="B9" i="9"/>
  <c r="I9" i="9" s="1"/>
  <c r="B10" i="9"/>
  <c r="I10" i="9" s="1"/>
  <c r="B11" i="9"/>
  <c r="I11" i="9" s="1"/>
  <c r="B12" i="9"/>
  <c r="I12" i="9" s="1"/>
  <c r="B13" i="9"/>
  <c r="I13" i="9" s="1"/>
  <c r="B14" i="9"/>
  <c r="I14" i="9" s="1"/>
  <c r="B15" i="9"/>
  <c r="I15" i="9" s="1"/>
  <c r="B16" i="9"/>
  <c r="I16" i="9" s="1"/>
  <c r="B17" i="9"/>
  <c r="I17" i="9" s="1"/>
  <c r="B18" i="9"/>
  <c r="I18" i="9" s="1"/>
  <c r="B19" i="9"/>
  <c r="I19" i="9" s="1"/>
  <c r="B20" i="9"/>
  <c r="I20" i="9" s="1"/>
  <c r="B21" i="9"/>
  <c r="I21" i="9" s="1"/>
  <c r="B22" i="9"/>
  <c r="I22" i="9" s="1"/>
  <c r="B23" i="9"/>
  <c r="I23" i="9" s="1"/>
  <c r="B24" i="9"/>
  <c r="I24" i="9" s="1"/>
  <c r="B25" i="9"/>
  <c r="I25" i="9" s="1"/>
  <c r="B26" i="9"/>
  <c r="I26" i="9" s="1"/>
  <c r="B27" i="9"/>
  <c r="I27" i="9" s="1"/>
  <c r="B28" i="9"/>
  <c r="I28" i="9" s="1"/>
  <c r="B29" i="9"/>
  <c r="I29" i="9" s="1"/>
  <c r="B30" i="9"/>
  <c r="I30" i="9" s="1"/>
  <c r="B31" i="9"/>
  <c r="I31" i="9" s="1"/>
  <c r="B32" i="9"/>
  <c r="I32" i="9" s="1"/>
  <c r="B33" i="9"/>
  <c r="I33" i="9" s="1"/>
  <c r="B34" i="9"/>
  <c r="I34" i="9" s="1"/>
  <c r="B35" i="9"/>
  <c r="I35" i="9" s="1"/>
  <c r="B36" i="9"/>
  <c r="I36" i="9" s="1"/>
  <c r="B37" i="9"/>
  <c r="I37" i="9" s="1"/>
  <c r="B38" i="9"/>
  <c r="I38" i="9" s="1"/>
  <c r="B39" i="9"/>
  <c r="I39" i="9" s="1"/>
  <c r="B40" i="9"/>
  <c r="I40" i="9" s="1"/>
  <c r="B41" i="9"/>
  <c r="I41" i="9" s="1"/>
  <c r="B42" i="9"/>
  <c r="I42" i="9" s="1"/>
  <c r="B43" i="9"/>
  <c r="I43" i="9" s="1"/>
  <c r="B4" i="9"/>
  <c r="B5" i="8"/>
  <c r="I5" i="8" s="1"/>
  <c r="B6" i="8"/>
  <c r="I6" i="8" s="1"/>
  <c r="B7" i="8"/>
  <c r="I7" i="8" s="1"/>
  <c r="B8" i="8"/>
  <c r="I8" i="8" s="1"/>
  <c r="B9" i="8"/>
  <c r="I9" i="8" s="1"/>
  <c r="B10" i="8"/>
  <c r="I10" i="8" s="1"/>
  <c r="B11" i="8"/>
  <c r="I11" i="8" s="1"/>
  <c r="B12" i="8"/>
  <c r="I12" i="8" s="1"/>
  <c r="B13" i="8"/>
  <c r="I13" i="8" s="1"/>
  <c r="B14" i="8"/>
  <c r="I14" i="8" s="1"/>
  <c r="B15" i="8"/>
  <c r="I15" i="8" s="1"/>
  <c r="B16" i="8"/>
  <c r="I16" i="8" s="1"/>
  <c r="B17" i="8"/>
  <c r="I17" i="8" s="1"/>
  <c r="B18" i="8"/>
  <c r="I18" i="8" s="1"/>
  <c r="B19" i="8"/>
  <c r="I19" i="8" s="1"/>
  <c r="B20" i="8"/>
  <c r="I20" i="8" s="1"/>
  <c r="B21" i="8"/>
  <c r="I21" i="8" s="1"/>
  <c r="B22" i="8"/>
  <c r="I22" i="8" s="1"/>
  <c r="B23" i="8"/>
  <c r="I23" i="8" s="1"/>
  <c r="B24" i="8"/>
  <c r="I24" i="8" s="1"/>
  <c r="B25" i="8"/>
  <c r="I25" i="8" s="1"/>
  <c r="B26" i="8"/>
  <c r="I26" i="8" s="1"/>
  <c r="B27" i="8"/>
  <c r="I27" i="8" s="1"/>
  <c r="B28" i="8"/>
  <c r="I28" i="8" s="1"/>
  <c r="B29" i="8"/>
  <c r="I29" i="8" s="1"/>
  <c r="B30" i="8"/>
  <c r="I30" i="8" s="1"/>
  <c r="B31" i="8"/>
  <c r="I31" i="8" s="1"/>
  <c r="B32" i="8"/>
  <c r="I32" i="8" s="1"/>
  <c r="B33" i="8"/>
  <c r="I33" i="8" s="1"/>
  <c r="B34" i="8"/>
  <c r="I34" i="8" s="1"/>
  <c r="B35" i="8"/>
  <c r="I35" i="8" s="1"/>
  <c r="B36" i="8"/>
  <c r="I36" i="8" s="1"/>
  <c r="B37" i="8"/>
  <c r="I37" i="8" s="1"/>
  <c r="B38" i="8"/>
  <c r="I38" i="8" s="1"/>
  <c r="B39" i="8"/>
  <c r="I39" i="8" s="1"/>
  <c r="B40" i="8"/>
  <c r="I40" i="8" s="1"/>
  <c r="B41" i="8"/>
  <c r="I41" i="8" s="1"/>
  <c r="B42" i="8"/>
  <c r="I42" i="8" s="1"/>
  <c r="B43" i="8"/>
  <c r="I43" i="8" s="1"/>
  <c r="B44" i="8"/>
  <c r="I44" i="8" s="1"/>
  <c r="B4" i="8"/>
  <c r="B5" i="7"/>
  <c r="I5" i="7" s="1"/>
  <c r="B6" i="7"/>
  <c r="I6" i="7" s="1"/>
  <c r="B7" i="7"/>
  <c r="I7" i="7" s="1"/>
  <c r="B8" i="7"/>
  <c r="I8" i="7" s="1"/>
  <c r="B9" i="7"/>
  <c r="I9" i="7" s="1"/>
  <c r="B10" i="7"/>
  <c r="I10" i="7" s="1"/>
  <c r="B11" i="7"/>
  <c r="I11" i="7" s="1"/>
  <c r="B12" i="7"/>
  <c r="I12" i="7" s="1"/>
  <c r="B13" i="7"/>
  <c r="I13" i="7" s="1"/>
  <c r="B14" i="7"/>
  <c r="I14" i="7" s="1"/>
  <c r="B15" i="7"/>
  <c r="I15" i="7" s="1"/>
  <c r="B16" i="7"/>
  <c r="I16" i="7" s="1"/>
  <c r="B17" i="7"/>
  <c r="I17" i="7" s="1"/>
  <c r="B18" i="7"/>
  <c r="I18" i="7" s="1"/>
  <c r="B19" i="7"/>
  <c r="I19" i="7" s="1"/>
  <c r="B20" i="7"/>
  <c r="I20" i="7" s="1"/>
  <c r="B21" i="7"/>
  <c r="I21" i="7" s="1"/>
  <c r="B22" i="7"/>
  <c r="I22" i="7" s="1"/>
  <c r="B23" i="7"/>
  <c r="I23" i="7" s="1"/>
  <c r="B24" i="7"/>
  <c r="I24" i="7" s="1"/>
  <c r="B25" i="7"/>
  <c r="I25" i="7" s="1"/>
  <c r="B26" i="7"/>
  <c r="I26" i="7" s="1"/>
  <c r="B27" i="7"/>
  <c r="I27" i="7" s="1"/>
  <c r="B28" i="7"/>
  <c r="I28" i="7" s="1"/>
  <c r="B29" i="7"/>
  <c r="I29" i="7" s="1"/>
  <c r="B30" i="7"/>
  <c r="I30" i="7" s="1"/>
  <c r="B31" i="7"/>
  <c r="I31" i="7" s="1"/>
  <c r="B32" i="7"/>
  <c r="I32" i="7" s="1"/>
  <c r="B33" i="7"/>
  <c r="I33" i="7" s="1"/>
  <c r="B34" i="7"/>
  <c r="I34" i="7" s="1"/>
  <c r="B35" i="7"/>
  <c r="I35" i="7" s="1"/>
  <c r="B36" i="7"/>
  <c r="I36" i="7" s="1"/>
  <c r="B37" i="7"/>
  <c r="I37" i="7" s="1"/>
  <c r="B38" i="7"/>
  <c r="I38" i="7" s="1"/>
  <c r="B39" i="7"/>
  <c r="I39" i="7" s="1"/>
  <c r="B40" i="7"/>
  <c r="I40" i="7" s="1"/>
  <c r="B41" i="7"/>
  <c r="I41" i="7" s="1"/>
  <c r="B42" i="7"/>
  <c r="I42" i="7" s="1"/>
  <c r="B43" i="7"/>
  <c r="I43" i="7" s="1"/>
  <c r="B44" i="7"/>
  <c r="I44" i="7" s="1"/>
  <c r="B4" i="7"/>
  <c r="B5" i="6"/>
  <c r="I5" i="6" s="1"/>
  <c r="B6" i="6"/>
  <c r="I6" i="6" s="1"/>
  <c r="B7" i="6"/>
  <c r="I7" i="6" s="1"/>
  <c r="B8" i="6"/>
  <c r="I8" i="6" s="1"/>
  <c r="B9" i="6"/>
  <c r="I9" i="6" s="1"/>
  <c r="B10" i="6"/>
  <c r="I10" i="6" s="1"/>
  <c r="B11" i="6"/>
  <c r="I11" i="6" s="1"/>
  <c r="B12" i="6"/>
  <c r="I12" i="6" s="1"/>
  <c r="B13" i="6"/>
  <c r="I13" i="6" s="1"/>
  <c r="B14" i="6"/>
  <c r="I14" i="6" s="1"/>
  <c r="B15" i="6"/>
  <c r="I15" i="6" s="1"/>
  <c r="B16" i="6"/>
  <c r="I16" i="6" s="1"/>
  <c r="B17" i="6"/>
  <c r="I17" i="6" s="1"/>
  <c r="B18" i="6"/>
  <c r="I18" i="6" s="1"/>
  <c r="B19" i="6"/>
  <c r="I19" i="6" s="1"/>
  <c r="B20" i="6"/>
  <c r="I20" i="6" s="1"/>
  <c r="B21" i="6"/>
  <c r="I21" i="6" s="1"/>
  <c r="B22" i="6"/>
  <c r="I22" i="6" s="1"/>
  <c r="B23" i="6"/>
  <c r="I23" i="6" s="1"/>
  <c r="B24" i="6"/>
  <c r="I24" i="6" s="1"/>
  <c r="B25" i="6"/>
  <c r="I25" i="6" s="1"/>
  <c r="B26" i="6"/>
  <c r="I26" i="6" s="1"/>
  <c r="B27" i="6"/>
  <c r="I27" i="6" s="1"/>
  <c r="B28" i="6"/>
  <c r="I28" i="6" s="1"/>
  <c r="B29" i="6"/>
  <c r="I29" i="6" s="1"/>
  <c r="B30" i="6"/>
  <c r="I30" i="6" s="1"/>
  <c r="B31" i="6"/>
  <c r="I31" i="6" s="1"/>
  <c r="B32" i="6"/>
  <c r="I32" i="6" s="1"/>
  <c r="B33" i="6"/>
  <c r="I33" i="6" s="1"/>
  <c r="B34" i="6"/>
  <c r="I34" i="6" s="1"/>
  <c r="B35" i="6"/>
  <c r="I35" i="6" s="1"/>
  <c r="B36" i="6"/>
  <c r="I36" i="6" s="1"/>
  <c r="B37" i="6"/>
  <c r="I37" i="6" s="1"/>
  <c r="B38" i="6"/>
  <c r="I38" i="6" s="1"/>
  <c r="B39" i="6"/>
  <c r="I39" i="6" s="1"/>
  <c r="B40" i="6"/>
  <c r="I40" i="6" s="1"/>
  <c r="B41" i="6"/>
  <c r="I41" i="6" s="1"/>
  <c r="B42" i="6"/>
  <c r="I42" i="6" s="1"/>
  <c r="B43" i="6"/>
  <c r="I43" i="6" s="1"/>
  <c r="B44" i="6"/>
  <c r="I44" i="6" s="1"/>
  <c r="B4" i="6"/>
  <c r="B5" i="5"/>
  <c r="I5" i="5" s="1"/>
  <c r="B6" i="5"/>
  <c r="I6" i="5" s="1"/>
  <c r="B7" i="5"/>
  <c r="I7" i="5" s="1"/>
  <c r="B8" i="5"/>
  <c r="I8" i="5" s="1"/>
  <c r="B9" i="5"/>
  <c r="I9" i="5" s="1"/>
  <c r="B10" i="5"/>
  <c r="I10" i="5" s="1"/>
  <c r="B11" i="5"/>
  <c r="I11" i="5" s="1"/>
  <c r="B12" i="5"/>
  <c r="I12" i="5" s="1"/>
  <c r="B13" i="5"/>
  <c r="I13" i="5" s="1"/>
  <c r="B14" i="5"/>
  <c r="I14" i="5" s="1"/>
  <c r="B15" i="5"/>
  <c r="I15" i="5" s="1"/>
  <c r="B16" i="5"/>
  <c r="I16" i="5" s="1"/>
  <c r="B17" i="5"/>
  <c r="I17" i="5" s="1"/>
  <c r="B18" i="5"/>
  <c r="I18" i="5" s="1"/>
  <c r="B19" i="5"/>
  <c r="I19" i="5" s="1"/>
  <c r="B20" i="5"/>
  <c r="I20" i="5" s="1"/>
  <c r="B21" i="5"/>
  <c r="I21" i="5" s="1"/>
  <c r="B22" i="5"/>
  <c r="I22" i="5" s="1"/>
  <c r="B23" i="5"/>
  <c r="I23" i="5" s="1"/>
  <c r="B24" i="5"/>
  <c r="I24" i="5" s="1"/>
  <c r="B25" i="5"/>
  <c r="I25" i="5" s="1"/>
  <c r="B26" i="5"/>
  <c r="I26" i="5" s="1"/>
  <c r="B27" i="5"/>
  <c r="I27" i="5" s="1"/>
  <c r="B28" i="5"/>
  <c r="I28" i="5" s="1"/>
  <c r="B29" i="5"/>
  <c r="I29" i="5" s="1"/>
  <c r="B30" i="5"/>
  <c r="I30" i="5" s="1"/>
  <c r="B31" i="5"/>
  <c r="I31" i="5" s="1"/>
  <c r="B32" i="5"/>
  <c r="I32" i="5" s="1"/>
  <c r="B33" i="5"/>
  <c r="I33" i="5" s="1"/>
  <c r="B34" i="5"/>
  <c r="I34" i="5" s="1"/>
  <c r="B35" i="5"/>
  <c r="I35" i="5" s="1"/>
  <c r="B36" i="5"/>
  <c r="I36" i="5" s="1"/>
  <c r="B37" i="5"/>
  <c r="I37" i="5" s="1"/>
  <c r="B38" i="5"/>
  <c r="I38" i="5" s="1"/>
  <c r="B39" i="5"/>
  <c r="I39" i="5" s="1"/>
  <c r="B40" i="5"/>
  <c r="I40" i="5" s="1"/>
  <c r="B41" i="5"/>
  <c r="I41" i="5" s="1"/>
  <c r="B42" i="5"/>
  <c r="I42" i="5" s="1"/>
  <c r="B43" i="5"/>
  <c r="I43" i="5" s="1"/>
  <c r="B4" i="5"/>
  <c r="B5" i="4"/>
  <c r="I5" i="4" s="1"/>
  <c r="B6" i="4"/>
  <c r="I6" i="4" s="1"/>
  <c r="B7" i="4"/>
  <c r="I7" i="4" s="1"/>
  <c r="B8" i="4"/>
  <c r="I8" i="4" s="1"/>
  <c r="B9" i="4"/>
  <c r="I9" i="4" s="1"/>
  <c r="B10" i="4"/>
  <c r="I10" i="4" s="1"/>
  <c r="B11" i="4"/>
  <c r="I11" i="4" s="1"/>
  <c r="B12" i="4"/>
  <c r="I12" i="4" s="1"/>
  <c r="B13" i="4"/>
  <c r="I13" i="4" s="1"/>
  <c r="B14" i="4"/>
  <c r="I14" i="4" s="1"/>
  <c r="B15" i="4"/>
  <c r="I15" i="4" s="1"/>
  <c r="B16" i="4"/>
  <c r="I16" i="4" s="1"/>
  <c r="B17" i="4"/>
  <c r="I17" i="4" s="1"/>
  <c r="B18" i="4"/>
  <c r="I18" i="4" s="1"/>
  <c r="B19" i="4"/>
  <c r="I19" i="4" s="1"/>
  <c r="B20" i="4"/>
  <c r="I20" i="4" s="1"/>
  <c r="B21" i="4"/>
  <c r="I21" i="4" s="1"/>
  <c r="B22" i="4"/>
  <c r="I22" i="4" s="1"/>
  <c r="B23" i="4"/>
  <c r="I23" i="4" s="1"/>
  <c r="B24" i="4"/>
  <c r="I24" i="4" s="1"/>
  <c r="B25" i="4"/>
  <c r="I25" i="4" s="1"/>
  <c r="B26" i="4"/>
  <c r="I26" i="4" s="1"/>
  <c r="B27" i="4"/>
  <c r="I27" i="4" s="1"/>
  <c r="B28" i="4"/>
  <c r="I28" i="4" s="1"/>
  <c r="B29" i="4"/>
  <c r="I29" i="4" s="1"/>
  <c r="B30" i="4"/>
  <c r="I30" i="4" s="1"/>
  <c r="B31" i="4"/>
  <c r="I31" i="4" s="1"/>
  <c r="B32" i="4"/>
  <c r="I32" i="4" s="1"/>
  <c r="B33" i="4"/>
  <c r="I33" i="4" s="1"/>
  <c r="B34" i="4"/>
  <c r="I34" i="4" s="1"/>
  <c r="B35" i="4"/>
  <c r="I35" i="4" s="1"/>
  <c r="B36" i="4"/>
  <c r="I36" i="4" s="1"/>
  <c r="B37" i="4"/>
  <c r="I37" i="4" s="1"/>
  <c r="B38" i="4"/>
  <c r="I38" i="4" s="1"/>
  <c r="B39" i="4"/>
  <c r="I39" i="4" s="1"/>
  <c r="B40" i="4"/>
  <c r="I40" i="4" s="1"/>
  <c r="B41" i="4"/>
  <c r="I41" i="4" s="1"/>
  <c r="B4" i="4"/>
  <c r="B5" i="3"/>
  <c r="I5" i="3" s="1"/>
  <c r="B6" i="3"/>
  <c r="I6" i="3" s="1"/>
  <c r="B7" i="3"/>
  <c r="I7" i="3" s="1"/>
  <c r="B8" i="3"/>
  <c r="I8" i="3" s="1"/>
  <c r="B9" i="3"/>
  <c r="I9" i="3" s="1"/>
  <c r="B10" i="3"/>
  <c r="I10" i="3" s="1"/>
  <c r="B11" i="3"/>
  <c r="I11" i="3" s="1"/>
  <c r="B12" i="3"/>
  <c r="I12" i="3" s="1"/>
  <c r="B13" i="3"/>
  <c r="I13" i="3" s="1"/>
  <c r="B14" i="3"/>
  <c r="I14" i="3" s="1"/>
  <c r="B15" i="3"/>
  <c r="I15" i="3" s="1"/>
  <c r="B16" i="3"/>
  <c r="I16" i="3" s="1"/>
  <c r="B17" i="3"/>
  <c r="I17" i="3" s="1"/>
  <c r="B18" i="3"/>
  <c r="I18" i="3" s="1"/>
  <c r="B19" i="3"/>
  <c r="I19" i="3" s="1"/>
  <c r="B20" i="3"/>
  <c r="I20" i="3" s="1"/>
  <c r="B21" i="3"/>
  <c r="I21" i="3" s="1"/>
  <c r="B22" i="3"/>
  <c r="I22" i="3" s="1"/>
  <c r="B23" i="3"/>
  <c r="I23" i="3" s="1"/>
  <c r="B24" i="3"/>
  <c r="I24" i="3" s="1"/>
  <c r="B25" i="3"/>
  <c r="I25" i="3" s="1"/>
  <c r="B26" i="3"/>
  <c r="I26" i="3" s="1"/>
  <c r="B27" i="3"/>
  <c r="I27" i="3" s="1"/>
  <c r="B28" i="3"/>
  <c r="I28" i="3" s="1"/>
  <c r="B29" i="3"/>
  <c r="I29" i="3" s="1"/>
  <c r="B30" i="3"/>
  <c r="I30" i="3" s="1"/>
  <c r="B31" i="3"/>
  <c r="I31" i="3" s="1"/>
  <c r="B32" i="3"/>
  <c r="I32" i="3" s="1"/>
  <c r="B33" i="3"/>
  <c r="I33" i="3" s="1"/>
  <c r="B34" i="3"/>
  <c r="I34" i="3" s="1"/>
  <c r="B35" i="3"/>
  <c r="I35" i="3" s="1"/>
  <c r="B36" i="3"/>
  <c r="I36" i="3" s="1"/>
  <c r="B37" i="3"/>
  <c r="I37" i="3" s="1"/>
  <c r="B38" i="3"/>
  <c r="I38" i="3" s="1"/>
  <c r="B39" i="3"/>
  <c r="I39" i="3" s="1"/>
  <c r="B40" i="3"/>
  <c r="I40" i="3" s="1"/>
  <c r="B41" i="3"/>
  <c r="I41" i="3" s="1"/>
  <c r="B42" i="3"/>
  <c r="I42" i="3" s="1"/>
  <c r="B43" i="3"/>
  <c r="I43" i="3" s="1"/>
  <c r="B44" i="3"/>
  <c r="I44" i="3" s="1"/>
  <c r="B4" i="3"/>
  <c r="B5" i="1"/>
  <c r="I5" i="1" s="1"/>
  <c r="B6" i="1"/>
  <c r="I6" i="1" s="1"/>
  <c r="B7" i="1"/>
  <c r="I7" i="1" s="1"/>
  <c r="B8" i="1"/>
  <c r="I8" i="1" s="1"/>
  <c r="B9" i="1"/>
  <c r="I9" i="1" s="1"/>
  <c r="B10" i="1"/>
  <c r="I10" i="1" s="1"/>
  <c r="B11" i="1"/>
  <c r="I11" i="1" s="1"/>
  <c r="I12" i="1"/>
  <c r="B13" i="1"/>
  <c r="I13" i="1" s="1"/>
  <c r="B14" i="1"/>
  <c r="I14" i="1" s="1"/>
  <c r="B15" i="1"/>
  <c r="I15" i="1" s="1"/>
  <c r="B16" i="1"/>
  <c r="I16" i="1" s="1"/>
  <c r="B17" i="1"/>
  <c r="I17" i="1" s="1"/>
  <c r="B18" i="1"/>
  <c r="I18" i="1" s="1"/>
  <c r="B19" i="1"/>
  <c r="I19" i="1" s="1"/>
  <c r="B20" i="1"/>
  <c r="I20" i="1" s="1"/>
  <c r="B21" i="1"/>
  <c r="I21" i="1" s="1"/>
  <c r="B22" i="1"/>
  <c r="I22" i="1" s="1"/>
  <c r="B23" i="1"/>
  <c r="I23" i="1" s="1"/>
  <c r="B24" i="1"/>
  <c r="I24" i="1" s="1"/>
  <c r="B25" i="1"/>
  <c r="I25" i="1" s="1"/>
  <c r="B26" i="1"/>
  <c r="I26" i="1" s="1"/>
  <c r="B27" i="1"/>
  <c r="I27" i="1" s="1"/>
  <c r="B28" i="1"/>
  <c r="I28" i="1" s="1"/>
  <c r="B29" i="1"/>
  <c r="I29" i="1" s="1"/>
  <c r="B30" i="1"/>
  <c r="I30" i="1" s="1"/>
  <c r="B31" i="1"/>
  <c r="I31" i="1" s="1"/>
  <c r="B32" i="1"/>
  <c r="I32" i="1" s="1"/>
  <c r="B33" i="1"/>
  <c r="I33" i="1" s="1"/>
  <c r="B34" i="1"/>
  <c r="I34" i="1" s="1"/>
  <c r="B35" i="1"/>
  <c r="I35" i="1" s="1"/>
  <c r="B36" i="1"/>
  <c r="I36" i="1" s="1"/>
  <c r="B37" i="1"/>
  <c r="I37" i="1" s="1"/>
  <c r="B38" i="1"/>
  <c r="I38" i="1" s="1"/>
  <c r="B39" i="1"/>
  <c r="I39" i="1" s="1"/>
  <c r="B40" i="1"/>
  <c r="I40" i="1" s="1"/>
  <c r="B41" i="1"/>
  <c r="I41" i="1" s="1"/>
  <c r="B42" i="1"/>
  <c r="I42" i="1" s="1"/>
  <c r="B43" i="1"/>
  <c r="I43" i="1" s="1"/>
  <c r="B44" i="1"/>
  <c r="I44" i="1" s="1"/>
  <c r="B4" i="1"/>
  <c r="B5" i="2"/>
  <c r="I5" i="2" s="1"/>
  <c r="B6" i="2"/>
  <c r="I6" i="2" s="1"/>
  <c r="B7" i="2"/>
  <c r="I7" i="2" s="1"/>
  <c r="B8" i="2"/>
  <c r="I8" i="2" s="1"/>
  <c r="B9" i="2"/>
  <c r="I9" i="2" s="1"/>
  <c r="B10" i="2"/>
  <c r="I10" i="2" s="1"/>
  <c r="B11" i="2"/>
  <c r="I11" i="2" s="1"/>
  <c r="B12" i="2"/>
  <c r="I12" i="2" s="1"/>
  <c r="B13" i="2"/>
  <c r="I13" i="2" s="1"/>
  <c r="B14" i="2"/>
  <c r="I14" i="2" s="1"/>
  <c r="B15" i="2"/>
  <c r="I15" i="2" s="1"/>
  <c r="B16" i="2"/>
  <c r="I16" i="2" s="1"/>
  <c r="B17" i="2"/>
  <c r="I17" i="2" s="1"/>
  <c r="B18" i="2"/>
  <c r="I18" i="2" s="1"/>
  <c r="B19" i="2"/>
  <c r="I19" i="2" s="1"/>
  <c r="B20" i="2"/>
  <c r="I20" i="2" s="1"/>
  <c r="B21" i="2"/>
  <c r="I21" i="2" s="1"/>
  <c r="B22" i="2"/>
  <c r="I22" i="2" s="1"/>
  <c r="B23" i="2"/>
  <c r="I23" i="2" s="1"/>
  <c r="B24" i="2"/>
  <c r="I24" i="2" s="1"/>
  <c r="B25" i="2"/>
  <c r="I25" i="2" s="1"/>
  <c r="B26" i="2"/>
  <c r="I26" i="2" s="1"/>
  <c r="B27" i="2"/>
  <c r="I27" i="2" s="1"/>
  <c r="B28" i="2"/>
  <c r="I28" i="2" s="1"/>
  <c r="B29" i="2"/>
  <c r="I29" i="2" s="1"/>
  <c r="B30" i="2"/>
  <c r="I30" i="2" s="1"/>
  <c r="B31" i="2"/>
  <c r="I31" i="2" s="1"/>
  <c r="B32" i="2"/>
  <c r="I32" i="2" s="1"/>
  <c r="B33" i="2"/>
  <c r="I33" i="2" s="1"/>
  <c r="B34" i="2"/>
  <c r="I34" i="2" s="1"/>
  <c r="B35" i="2"/>
  <c r="I35" i="2" s="1"/>
  <c r="B36" i="2"/>
  <c r="I36" i="2" s="1"/>
  <c r="B37" i="2"/>
  <c r="I37" i="2" s="1"/>
  <c r="B38" i="2"/>
  <c r="I38" i="2" s="1"/>
  <c r="B39" i="2"/>
  <c r="I39" i="2" s="1"/>
  <c r="B40" i="2"/>
  <c r="I40" i="2" s="1"/>
  <c r="B41" i="2"/>
  <c r="I41" i="2" s="1"/>
  <c r="B42" i="2"/>
  <c r="I42" i="2" s="1"/>
  <c r="B4" i="2"/>
  <c r="B4" i="12"/>
  <c r="B6" i="12" s="1"/>
  <c r="J9" i="10"/>
  <c r="K21" i="10"/>
  <c r="K18" i="10"/>
  <c r="J14" i="10"/>
  <c r="K34" i="10"/>
  <c r="J11" i="10"/>
  <c r="K7" i="10"/>
  <c r="K39" i="10"/>
  <c r="J8" i="10"/>
  <c r="J41" i="10"/>
  <c r="J25" i="11"/>
  <c r="K25" i="11"/>
  <c r="J28" i="11"/>
  <c r="J22" i="11"/>
  <c r="J36" i="11"/>
  <c r="K26" i="11"/>
  <c r="J41" i="11"/>
  <c r="J35" i="11"/>
  <c r="K11" i="11"/>
  <c r="K8" i="11"/>
  <c r="J17" i="9"/>
  <c r="J16" i="9"/>
  <c r="K25" i="9"/>
  <c r="J28" i="9"/>
  <c r="J30" i="9"/>
  <c r="J8" i="9"/>
  <c r="K22" i="9"/>
  <c r="J12" i="9"/>
  <c r="J23" i="9"/>
  <c r="K32" i="9"/>
  <c r="J17" i="8"/>
  <c r="J15" i="8"/>
  <c r="K25" i="8"/>
  <c r="J23" i="8"/>
  <c r="J22" i="8"/>
  <c r="K6" i="8"/>
  <c r="J19" i="8"/>
  <c r="K31" i="8"/>
  <c r="K16" i="8"/>
  <c r="J36" i="8"/>
  <c r="J9" i="7"/>
  <c r="J41" i="7"/>
  <c r="K5" i="7"/>
  <c r="K37" i="7"/>
  <c r="J10" i="7"/>
  <c r="J28" i="7"/>
  <c r="K34" i="7"/>
  <c r="J11" i="7"/>
  <c r="K19" i="7"/>
  <c r="K28" i="7"/>
  <c r="J4" i="7"/>
  <c r="J33" i="6"/>
  <c r="J44" i="6"/>
  <c r="K33" i="6"/>
  <c r="J6" i="6"/>
  <c r="J38" i="6"/>
  <c r="K18" i="6"/>
  <c r="J19" i="6"/>
  <c r="K23" i="6"/>
  <c r="K12" i="6"/>
  <c r="K44" i="6"/>
  <c r="J25" i="5"/>
  <c r="K33" i="5"/>
  <c r="J30" i="5"/>
  <c r="K14" i="5"/>
  <c r="K43" i="5"/>
  <c r="J23" i="5"/>
  <c r="K32" i="5"/>
  <c r="K31" i="5"/>
  <c r="J20" i="5"/>
  <c r="J41" i="5"/>
  <c r="K25" i="4"/>
  <c r="K18" i="4"/>
  <c r="K15" i="4"/>
  <c r="K12" i="4"/>
  <c r="J4" i="4"/>
  <c r="J29" i="3"/>
  <c r="K18" i="3"/>
  <c r="K13" i="3"/>
  <c r="J26" i="3"/>
  <c r="J6" i="3"/>
  <c r="J32" i="3"/>
  <c r="J27" i="3"/>
  <c r="J24" i="3"/>
  <c r="K12" i="3"/>
  <c r="K44" i="3"/>
  <c r="K37" i="2"/>
  <c r="K19" i="2"/>
  <c r="K15" i="2"/>
  <c r="K7" i="2"/>
  <c r="K36" i="2"/>
  <c r="K38" i="1"/>
  <c r="K43" i="1"/>
  <c r="K19" i="1"/>
  <c r="K26" i="1"/>
  <c r="K28" i="1"/>
  <c r="K25" i="10"/>
  <c r="K26" i="10"/>
  <c r="J18" i="10"/>
  <c r="K16" i="10"/>
  <c r="J15" i="10"/>
  <c r="K11" i="10"/>
  <c r="J16" i="10"/>
  <c r="J12" i="10"/>
  <c r="K4" i="10"/>
  <c r="J29" i="11"/>
  <c r="K29" i="11"/>
  <c r="K12" i="11"/>
  <c r="J26" i="11"/>
  <c r="K16" i="11"/>
  <c r="K30" i="11"/>
  <c r="J7" i="11"/>
  <c r="J39" i="11"/>
  <c r="K15" i="11"/>
  <c r="K28" i="11"/>
  <c r="J21" i="9"/>
  <c r="J40" i="9"/>
  <c r="K29" i="9"/>
  <c r="K24" i="9"/>
  <c r="J34" i="9"/>
  <c r="J36" i="9"/>
  <c r="J13" i="10"/>
  <c r="J17" i="10"/>
  <c r="K29" i="10"/>
  <c r="K38" i="10"/>
  <c r="J22" i="10"/>
  <c r="J25" i="10"/>
  <c r="J19" i="10"/>
  <c r="K15" i="10"/>
  <c r="J28" i="10"/>
  <c r="J20" i="10"/>
  <c r="J4" i="10"/>
  <c r="J33" i="11"/>
  <c r="K33" i="11"/>
  <c r="K32" i="11"/>
  <c r="J30" i="11"/>
  <c r="K44" i="11"/>
  <c r="K34" i="11"/>
  <c r="J11" i="11"/>
  <c r="J43" i="11"/>
  <c r="K19" i="11"/>
  <c r="K36" i="11"/>
  <c r="J25" i="9"/>
  <c r="K20" i="9"/>
  <c r="K33" i="9"/>
  <c r="J6" i="9"/>
  <c r="J38" i="9"/>
  <c r="K12" i="9"/>
  <c r="K30" i="9"/>
  <c r="K16" i="9"/>
  <c r="J31" i="9"/>
  <c r="K28" i="9"/>
  <c r="J25" i="8"/>
  <c r="K40" i="8"/>
  <c r="K33" i="8"/>
  <c r="J43" i="8"/>
  <c r="J30" i="8"/>
  <c r="K14" i="8"/>
  <c r="K7" i="8"/>
  <c r="K39" i="8"/>
  <c r="K44" i="8"/>
  <c r="K12" i="8"/>
  <c r="J17" i="7"/>
  <c r="J30" i="7"/>
  <c r="K13" i="7"/>
  <c r="J38" i="7"/>
  <c r="J18" i="7"/>
  <c r="K10" i="7"/>
  <c r="K42" i="7"/>
  <c r="J19" i="7"/>
  <c r="J24" i="7"/>
  <c r="K36" i="7"/>
  <c r="J9" i="6"/>
  <c r="J41" i="6"/>
  <c r="K9" i="6"/>
  <c r="K41" i="6"/>
  <c r="J14" i="6"/>
  <c r="K26" i="6"/>
  <c r="J23" i="6"/>
  <c r="J8" i="6"/>
  <c r="K31" i="6"/>
  <c r="K20" i="6"/>
  <c r="J4" i="6"/>
  <c r="K9" i="5"/>
  <c r="J6" i="5"/>
  <c r="J38" i="5"/>
  <c r="K22" i="5"/>
  <c r="K36" i="5"/>
  <c r="J31" i="5"/>
  <c r="K7" i="5"/>
  <c r="K8" i="5"/>
  <c r="J28" i="5"/>
  <c r="J4" i="5"/>
  <c r="K33" i="4"/>
  <c r="K26" i="4"/>
  <c r="K23" i="4"/>
  <c r="K20" i="4"/>
  <c r="J5" i="3"/>
  <c r="J37" i="3"/>
  <c r="K38" i="3"/>
  <c r="K21" i="3"/>
  <c r="K22" i="3"/>
  <c r="J22" i="3"/>
  <c r="K10" i="3"/>
  <c r="J35" i="3"/>
  <c r="K7" i="3"/>
  <c r="K20" i="3"/>
  <c r="J4" i="3"/>
  <c r="J21" i="10"/>
  <c r="K33" i="10"/>
  <c r="J39" i="10"/>
  <c r="J26" i="10"/>
  <c r="K6" i="10"/>
  <c r="J23" i="10"/>
  <c r="K19" i="10"/>
  <c r="J36" i="10"/>
  <c r="J24" i="10"/>
  <c r="J5" i="11"/>
  <c r="K5" i="11"/>
  <c r="K37" i="11"/>
  <c r="J37" i="11"/>
  <c r="J34" i="11"/>
  <c r="K6" i="11"/>
  <c r="K38" i="11"/>
  <c r="J15" i="11"/>
  <c r="J16" i="11"/>
  <c r="K23" i="11"/>
  <c r="K4" i="11"/>
  <c r="J29" i="9"/>
  <c r="K5" i="9"/>
  <c r="K37" i="9"/>
  <c r="J10" i="9"/>
  <c r="J42" i="9"/>
  <c r="K36" i="9"/>
  <c r="K34" i="9"/>
  <c r="K40" i="9"/>
  <c r="J35" i="9"/>
  <c r="K4" i="9"/>
  <c r="J29" i="8"/>
  <c r="K5" i="8"/>
  <c r="K37" i="8"/>
  <c r="K36" i="8"/>
  <c r="J38" i="8"/>
  <c r="K18" i="8"/>
  <c r="K11" i="8"/>
  <c r="K43" i="8"/>
  <c r="J8" i="8"/>
  <c r="K20" i="8"/>
  <c r="J21" i="7"/>
  <c r="J42" i="7"/>
  <c r="K17" i="7"/>
  <c r="K7" i="7"/>
  <c r="J26" i="7"/>
  <c r="K14" i="7"/>
  <c r="K11" i="7"/>
  <c r="J23" i="7"/>
  <c r="K8" i="7"/>
  <c r="K40" i="7"/>
  <c r="J13" i="6"/>
  <c r="K14" i="6"/>
  <c r="K13" i="6"/>
  <c r="J42" i="6"/>
  <c r="J18" i="6"/>
  <c r="K42" i="6"/>
  <c r="J12" i="6"/>
  <c r="J36" i="6"/>
  <c r="K35" i="6"/>
  <c r="K24" i="6"/>
  <c r="J5" i="5"/>
  <c r="K13" i="5"/>
  <c r="J10" i="5"/>
  <c r="J42" i="5"/>
  <c r="K26" i="5"/>
  <c r="J37" i="5"/>
  <c r="J35" i="5"/>
  <c r="K11" i="5"/>
  <c r="K24" i="5"/>
  <c r="J32" i="5"/>
  <c r="K5" i="4"/>
  <c r="K37" i="4"/>
  <c r="K30" i="4"/>
  <c r="K27" i="4"/>
  <c r="K24" i="4"/>
  <c r="J9" i="3"/>
  <c r="J41" i="3"/>
  <c r="K27" i="3"/>
  <c r="K25" i="3"/>
  <c r="K30" i="3"/>
  <c r="J34" i="3"/>
  <c r="J7" i="3"/>
  <c r="J39" i="3"/>
  <c r="K15" i="3"/>
  <c r="K24" i="3"/>
  <c r="K4" i="3"/>
  <c r="K39" i="2"/>
  <c r="K28" i="2"/>
  <c r="K32" i="2"/>
  <c r="K25" i="2"/>
  <c r="K5" i="1"/>
  <c r="K39" i="1"/>
  <c r="K23" i="1"/>
  <c r="K25" i="1"/>
  <c r="K11" i="1"/>
  <c r="K4" i="1"/>
  <c r="K9" i="4"/>
  <c r="K31" i="4"/>
  <c r="J13" i="3"/>
  <c r="J12" i="3"/>
  <c r="K42" i="3"/>
  <c r="J11" i="3"/>
  <c r="K23" i="3"/>
  <c r="K28" i="3"/>
  <c r="K24" i="2"/>
  <c r="K17" i="2"/>
  <c r="K6" i="1"/>
  <c r="K8" i="1"/>
  <c r="K27" i="1"/>
  <c r="J4" i="2"/>
  <c r="J33" i="10"/>
  <c r="K24" i="10"/>
  <c r="K27" i="10"/>
  <c r="J40" i="10"/>
  <c r="K13" i="11"/>
  <c r="J10" i="11"/>
  <c r="J24" i="11"/>
  <c r="K24" i="11"/>
  <c r="J37" i="9"/>
  <c r="K5" i="10"/>
  <c r="K37" i="10"/>
  <c r="K40" i="10"/>
  <c r="J30" i="10"/>
  <c r="K30" i="10"/>
  <c r="J27" i="10"/>
  <c r="K23" i="10"/>
  <c r="K8" i="10"/>
  <c r="J32" i="10"/>
  <c r="J9" i="11"/>
  <c r="K9" i="11"/>
  <c r="K41" i="11"/>
  <c r="J6" i="11"/>
  <c r="J38" i="11"/>
  <c r="K10" i="11"/>
  <c r="K35" i="11"/>
  <c r="J19" i="11"/>
  <c r="J40" i="11"/>
  <c r="K27" i="11"/>
  <c r="J4" i="11"/>
  <c r="J33" i="9"/>
  <c r="K9" i="9"/>
  <c r="K41" i="9"/>
  <c r="J14" i="9"/>
  <c r="K42" i="9"/>
  <c r="K6" i="9"/>
  <c r="K38" i="9"/>
  <c r="J7" i="9"/>
  <c r="K15" i="9"/>
  <c r="J4" i="9"/>
  <c r="J33" i="8"/>
  <c r="K9" i="8"/>
  <c r="K41" i="8"/>
  <c r="J6" i="8"/>
  <c r="J42" i="8"/>
  <c r="K22" i="8"/>
  <c r="K15" i="8"/>
  <c r="J20" i="8"/>
  <c r="J12" i="8"/>
  <c r="K32" i="8"/>
  <c r="J25" i="7"/>
  <c r="K15" i="7"/>
  <c r="K21" i="7"/>
  <c r="K27" i="7"/>
  <c r="J34" i="7"/>
  <c r="K18" i="7"/>
  <c r="K31" i="7"/>
  <c r="J27" i="7"/>
  <c r="K12" i="7"/>
  <c r="K44" i="7"/>
  <c r="J17" i="6"/>
  <c r="K34" i="6"/>
  <c r="K17" i="6"/>
  <c r="K22" i="6"/>
  <c r="J22" i="6"/>
  <c r="J27" i="6"/>
  <c r="J32" i="6"/>
  <c r="K7" i="6"/>
  <c r="K39" i="6"/>
  <c r="K28" i="6"/>
  <c r="J9" i="5"/>
  <c r="K17" i="5"/>
  <c r="J14" i="5"/>
  <c r="K28" i="5"/>
  <c r="K30" i="5"/>
  <c r="J7" i="5"/>
  <c r="J39" i="5"/>
  <c r="K15" i="5"/>
  <c r="J29" i="5"/>
  <c r="J36" i="5"/>
  <c r="K41" i="4"/>
  <c r="K34" i="4"/>
  <c r="K28" i="4"/>
  <c r="K41" i="3"/>
  <c r="K29" i="3"/>
  <c r="K14" i="3"/>
  <c r="J43" i="3"/>
  <c r="K5" i="2"/>
  <c r="K6" i="2"/>
  <c r="K26" i="2"/>
  <c r="K16" i="1"/>
  <c r="K35" i="1"/>
  <c r="K41" i="10"/>
  <c r="J38" i="10"/>
  <c r="J31" i="10"/>
  <c r="K20" i="10"/>
  <c r="J13" i="11"/>
  <c r="J42" i="11"/>
  <c r="K42" i="11"/>
  <c r="K14" i="11"/>
  <c r="J23" i="11"/>
  <c r="K39" i="11"/>
  <c r="J5" i="9"/>
  <c r="K9" i="10"/>
  <c r="K13" i="10"/>
  <c r="J34" i="10"/>
  <c r="J6" i="10"/>
  <c r="K14" i="10"/>
  <c r="J29" i="10"/>
  <c r="J35" i="10"/>
  <c r="K31" i="10"/>
  <c r="K32" i="10"/>
  <c r="K12" i="10"/>
  <c r="J17" i="11"/>
  <c r="K17" i="11"/>
  <c r="K31" i="11"/>
  <c r="J14" i="11"/>
  <c r="K43" i="11"/>
  <c r="K18" i="11"/>
  <c r="J44" i="11"/>
  <c r="J27" i="11"/>
  <c r="K40" i="11"/>
  <c r="J12" i="11"/>
  <c r="J9" i="9"/>
  <c r="J41" i="9"/>
  <c r="K17" i="9"/>
  <c r="K23" i="9"/>
  <c r="J22" i="9"/>
  <c r="K11" i="9"/>
  <c r="K14" i="9"/>
  <c r="K19" i="9"/>
  <c r="J15" i="9"/>
  <c r="J24" i="9"/>
  <c r="J9" i="8"/>
  <c r="J41" i="8"/>
  <c r="K17" i="8"/>
  <c r="K34" i="8"/>
  <c r="J14" i="8"/>
  <c r="J27" i="8"/>
  <c r="K30" i="8"/>
  <c r="K23" i="8"/>
  <c r="J40" i="8"/>
  <c r="J24" i="8"/>
  <c r="K4" i="8"/>
  <c r="J33" i="7"/>
  <c r="J20" i="7"/>
  <c r="K29" i="7"/>
  <c r="J40" i="7"/>
  <c r="K23" i="7"/>
  <c r="K26" i="7"/>
  <c r="J36" i="7"/>
  <c r="J35" i="7"/>
  <c r="K20" i="7"/>
  <c r="J32" i="7"/>
  <c r="J25" i="6"/>
  <c r="J43" i="6"/>
  <c r="K25" i="6"/>
  <c r="J39" i="6"/>
  <c r="J30" i="6"/>
  <c r="J40" i="6"/>
  <c r="J11" i="6"/>
  <c r="K15" i="6"/>
  <c r="J20" i="6"/>
  <c r="K36" i="6"/>
  <c r="J17" i="5"/>
  <c r="K25" i="5"/>
  <c r="J22" i="5"/>
  <c r="K6" i="5"/>
  <c r="K38" i="5"/>
  <c r="J15" i="5"/>
  <c r="K39" i="5"/>
  <c r="K23" i="5"/>
  <c r="J12" i="5"/>
  <c r="K20" i="5"/>
  <c r="K17" i="4"/>
  <c r="K10" i="4"/>
  <c r="K7" i="4"/>
  <c r="K39" i="4"/>
  <c r="K36" i="4"/>
  <c r="J21" i="3"/>
  <c r="J30" i="3"/>
  <c r="K5" i="3"/>
  <c r="K37" i="3"/>
  <c r="J16" i="3"/>
  <c r="K31" i="3"/>
  <c r="J19" i="3"/>
  <c r="K19" i="3"/>
  <c r="J28" i="3"/>
  <c r="K36" i="3"/>
  <c r="K21" i="2"/>
  <c r="K41" i="2"/>
  <c r="K22" i="2"/>
  <c r="K18" i="2"/>
  <c r="K12" i="2"/>
  <c r="K22" i="1"/>
  <c r="K40" i="1"/>
  <c r="K41" i="1"/>
  <c r="K10" i="1"/>
  <c r="K12" i="1"/>
  <c r="J5" i="10"/>
  <c r="K17" i="10"/>
  <c r="K10" i="10"/>
  <c r="J10" i="10"/>
  <c r="K22" i="10"/>
  <c r="J7" i="10"/>
  <c r="K28" i="10"/>
  <c r="K35" i="10"/>
  <c r="J37" i="10"/>
  <c r="K36" i="10"/>
  <c r="J21" i="11"/>
  <c r="K21" i="11"/>
  <c r="J8" i="11"/>
  <c r="J18" i="11"/>
  <c r="J20" i="11"/>
  <c r="K22" i="11"/>
  <c r="K20" i="11"/>
  <c r="J31" i="11"/>
  <c r="K7" i="11"/>
  <c r="J32" i="11"/>
  <c r="J13" i="9"/>
  <c r="K35" i="9"/>
  <c r="K21" i="9"/>
  <c r="K43" i="9"/>
  <c r="J26" i="9"/>
  <c r="K31" i="9"/>
  <c r="K18" i="9"/>
  <c r="K27" i="9"/>
  <c r="J19" i="9"/>
  <c r="K8" i="9"/>
  <c r="J13" i="8"/>
  <c r="K38" i="8"/>
  <c r="K13" i="9"/>
  <c r="J11" i="9"/>
  <c r="K13" i="8"/>
  <c r="J26" i="8"/>
  <c r="K27" i="8"/>
  <c r="J4" i="8"/>
  <c r="K9" i="7"/>
  <c r="K43" i="7"/>
  <c r="J31" i="7"/>
  <c r="J5" i="6"/>
  <c r="K29" i="6"/>
  <c r="J16" i="6"/>
  <c r="K27" i="6"/>
  <c r="J21" i="5"/>
  <c r="K41" i="5"/>
  <c r="J27" i="5"/>
  <c r="J16" i="5"/>
  <c r="K6" i="4"/>
  <c r="J42" i="3"/>
  <c r="K15" i="1"/>
  <c r="K17" i="1"/>
  <c r="K7" i="9"/>
  <c r="J27" i="9"/>
  <c r="K21" i="8"/>
  <c r="J7" i="8"/>
  <c r="K35" i="8"/>
  <c r="J5" i="7"/>
  <c r="K25" i="7"/>
  <c r="K6" i="7"/>
  <c r="J39" i="7"/>
  <c r="J21" i="6"/>
  <c r="K37" i="6"/>
  <c r="K6" i="6"/>
  <c r="K43" i="6"/>
  <c r="K5" i="5"/>
  <c r="K10" i="5"/>
  <c r="J43" i="5"/>
  <c r="J24" i="5"/>
  <c r="K14" i="4"/>
  <c r="K32" i="4"/>
  <c r="K26" i="3"/>
  <c r="J44" i="3"/>
  <c r="K20" i="2"/>
  <c r="J18" i="9"/>
  <c r="K39" i="9"/>
  <c r="K29" i="8"/>
  <c r="J39" i="8"/>
  <c r="J32" i="8"/>
  <c r="J13" i="7"/>
  <c r="K33" i="7"/>
  <c r="K22" i="7"/>
  <c r="K39" i="7"/>
  <c r="J29" i="6"/>
  <c r="K38" i="6"/>
  <c r="K30" i="6"/>
  <c r="K8" i="6"/>
  <c r="K21" i="5"/>
  <c r="K18" i="5"/>
  <c r="K12" i="5"/>
  <c r="J40" i="5"/>
  <c r="K22" i="4"/>
  <c r="K40" i="4"/>
  <c r="J36" i="3"/>
  <c r="J10" i="3"/>
  <c r="K35" i="3"/>
  <c r="K13" i="2"/>
  <c r="K14" i="2"/>
  <c r="K11" i="2"/>
  <c r="K24" i="1"/>
  <c r="K37" i="1"/>
  <c r="J4" i="1"/>
  <c r="K34" i="3"/>
  <c r="K29" i="2"/>
  <c r="K30" i="2"/>
  <c r="K33" i="1"/>
  <c r="K18" i="1"/>
  <c r="J5" i="8"/>
  <c r="K26" i="8"/>
  <c r="K24" i="8"/>
  <c r="J37" i="7"/>
  <c r="K38" i="7"/>
  <c r="J31" i="6"/>
  <c r="J15" i="6"/>
  <c r="K32" i="6"/>
  <c r="K42" i="5"/>
  <c r="K4" i="5"/>
  <c r="J17" i="3"/>
  <c r="J8" i="3"/>
  <c r="K31" i="2"/>
  <c r="K10" i="2"/>
  <c r="K34" i="1"/>
  <c r="K21" i="4"/>
  <c r="J14" i="3"/>
  <c r="K9" i="2"/>
  <c r="K29" i="1"/>
  <c r="J18" i="8"/>
  <c r="J15" i="7"/>
  <c r="K10" i="6"/>
  <c r="J34" i="5"/>
  <c r="K29" i="4"/>
  <c r="J38" i="3"/>
  <c r="K42" i="2"/>
  <c r="K20" i="1"/>
  <c r="J31" i="3"/>
  <c r="K16" i="2"/>
  <c r="K36" i="1"/>
  <c r="K40" i="2"/>
  <c r="J43" i="9"/>
  <c r="J20" i="9"/>
  <c r="J34" i="8"/>
  <c r="K10" i="8"/>
  <c r="K8" i="8"/>
  <c r="J29" i="7"/>
  <c r="J22" i="7"/>
  <c r="K30" i="7"/>
  <c r="K16" i="7"/>
  <c r="J37" i="6"/>
  <c r="J24" i="6"/>
  <c r="J7" i="6"/>
  <c r="K16" i="6"/>
  <c r="K29" i="5"/>
  <c r="K34" i="5"/>
  <c r="J33" i="5"/>
  <c r="K40" i="5"/>
  <c r="K38" i="4"/>
  <c r="K4" i="4"/>
  <c r="K9" i="3"/>
  <c r="J40" i="3"/>
  <c r="K27" i="2"/>
  <c r="K10" i="9"/>
  <c r="J11" i="8"/>
  <c r="J16" i="7"/>
  <c r="K24" i="7"/>
  <c r="J10" i="6"/>
  <c r="K37" i="5"/>
  <c r="K19" i="5"/>
  <c r="K11" i="4"/>
  <c r="K17" i="3"/>
  <c r="K43" i="3"/>
  <c r="K38" i="2"/>
  <c r="K13" i="1"/>
  <c r="K35" i="4"/>
  <c r="J15" i="3"/>
  <c r="K33" i="2"/>
  <c r="K32" i="1"/>
  <c r="J32" i="9"/>
  <c r="J44" i="8"/>
  <c r="J43" i="7"/>
  <c r="K21" i="6"/>
  <c r="J13" i="5"/>
  <c r="J8" i="5"/>
  <c r="J18" i="3"/>
  <c r="K32" i="3"/>
  <c r="K34" i="2"/>
  <c r="K44" i="1"/>
  <c r="K39" i="3"/>
  <c r="K35" i="2"/>
  <c r="K9" i="1"/>
  <c r="J20" i="3"/>
  <c r="K21" i="1"/>
  <c r="K26" i="9"/>
  <c r="J21" i="8"/>
  <c r="J31" i="8"/>
  <c r="K42" i="8"/>
  <c r="J16" i="8"/>
  <c r="K41" i="7"/>
  <c r="J6" i="7"/>
  <c r="J8" i="7"/>
  <c r="K32" i="7"/>
  <c r="J28" i="6"/>
  <c r="J26" i="6"/>
  <c r="J35" i="6"/>
  <c r="K40" i="6"/>
  <c r="J18" i="5"/>
  <c r="K16" i="5"/>
  <c r="K27" i="5"/>
  <c r="K13" i="4"/>
  <c r="K19" i="4"/>
  <c r="J25" i="3"/>
  <c r="K33" i="3"/>
  <c r="K6" i="3"/>
  <c r="K8" i="3"/>
  <c r="K23" i="2"/>
  <c r="K8" i="2"/>
  <c r="K4" i="2"/>
  <c r="K7" i="1"/>
  <c r="K42" i="1"/>
  <c r="J39" i="9"/>
  <c r="J37" i="8"/>
  <c r="J10" i="8"/>
  <c r="K28" i="8"/>
  <c r="J28" i="8"/>
  <c r="K35" i="7"/>
  <c r="J14" i="7"/>
  <c r="J7" i="7"/>
  <c r="J12" i="7"/>
  <c r="K5" i="6"/>
  <c r="J34" i="6"/>
  <c r="K11" i="6"/>
  <c r="K4" i="6"/>
  <c r="J26" i="5"/>
  <c r="J11" i="5"/>
  <c r="K35" i="5"/>
  <c r="J33" i="3"/>
  <c r="K16" i="3"/>
  <c r="K14" i="1"/>
  <c r="J35" i="8"/>
  <c r="K19" i="8"/>
  <c r="J44" i="7"/>
  <c r="K4" i="7"/>
  <c r="K19" i="6"/>
  <c r="J19" i="5"/>
  <c r="K8" i="4"/>
  <c r="J23" i="3"/>
  <c r="K30" i="1"/>
  <c r="K16" i="4"/>
  <c r="K40" i="3"/>
  <c r="K11" i="3"/>
  <c r="K31" i="1"/>
  <c r="J13" i="4"/>
  <c r="J11" i="4"/>
  <c r="J36" i="4"/>
  <c r="J8" i="4"/>
  <c r="J10" i="1"/>
  <c r="J33" i="2"/>
  <c r="J27" i="1"/>
  <c r="J16" i="2"/>
  <c r="J27" i="2"/>
  <c r="J29" i="2"/>
  <c r="J12" i="2"/>
  <c r="J14" i="1"/>
  <c r="J15" i="1"/>
  <c r="J38" i="2"/>
  <c r="J20" i="1"/>
  <c r="J21" i="2"/>
  <c r="J15" i="2"/>
  <c r="J9" i="4"/>
  <c r="J35" i="4"/>
  <c r="J15" i="4"/>
  <c r="J32" i="1"/>
  <c r="J28" i="1"/>
  <c r="J25" i="1"/>
  <c r="J5" i="2"/>
  <c r="J33" i="1"/>
  <c r="J33" i="4"/>
  <c r="J39" i="4"/>
  <c r="J34" i="2"/>
  <c r="J32" i="2"/>
  <c r="J41" i="4"/>
  <c r="J25" i="2"/>
  <c r="J21" i="1"/>
  <c r="J32" i="4"/>
  <c r="J19" i="4"/>
  <c r="J5" i="4"/>
  <c r="J24" i="4"/>
  <c r="J18" i="1"/>
  <c r="J41" i="2"/>
  <c r="J35" i="1"/>
  <c r="J12" i="1"/>
  <c r="J35" i="2"/>
  <c r="J16" i="1"/>
  <c r="J36" i="2"/>
  <c r="J22" i="1"/>
  <c r="J23" i="1"/>
  <c r="J8" i="1"/>
  <c r="J42" i="2"/>
  <c r="J23" i="2"/>
  <c r="J30" i="1"/>
  <c r="J18" i="4"/>
  <c r="J34" i="1"/>
  <c r="J37" i="1"/>
  <c r="J39" i="1"/>
  <c r="J20" i="4"/>
  <c r="J38" i="1"/>
  <c r="J41" i="1"/>
  <c r="J38" i="4"/>
  <c r="J7" i="2"/>
  <c r="J7" i="1"/>
  <c r="J30" i="2"/>
  <c r="J10" i="4"/>
  <c r="J27" i="4"/>
  <c r="J37" i="4"/>
  <c r="J7" i="4"/>
  <c r="J26" i="1"/>
  <c r="J43" i="1"/>
  <c r="J29" i="1"/>
  <c r="J31" i="1"/>
  <c r="J6" i="4"/>
  <c r="J10" i="2"/>
  <c r="J24" i="1"/>
  <c r="J11" i="1"/>
  <c r="J16" i="4"/>
  <c r="J13" i="2"/>
  <c r="J17" i="4"/>
  <c r="J26" i="4"/>
  <c r="J29" i="4"/>
  <c r="J14" i="4"/>
  <c r="J23" i="4"/>
  <c r="J42" i="1"/>
  <c r="J39" i="2"/>
  <c r="J18" i="2"/>
  <c r="J36" i="1"/>
  <c r="J20" i="2"/>
  <c r="J24" i="2"/>
  <c r="J31" i="2"/>
  <c r="J37" i="2"/>
  <c r="J6" i="2"/>
  <c r="J9" i="1"/>
  <c r="J25" i="4"/>
  <c r="J34" i="4"/>
  <c r="J12" i="4"/>
  <c r="J31" i="4"/>
  <c r="J9" i="2"/>
  <c r="J8" i="2"/>
  <c r="J26" i="2"/>
  <c r="J44" i="1"/>
  <c r="J28" i="2"/>
  <c r="J17" i="1"/>
  <c r="J40" i="1"/>
  <c r="J14" i="2"/>
  <c r="J21" i="4"/>
  <c r="J17" i="2"/>
  <c r="J11" i="2"/>
  <c r="J13" i="1"/>
  <c r="J22" i="2"/>
  <c r="J40" i="4"/>
  <c r="J19" i="1"/>
  <c r="J6" i="1"/>
  <c r="J22" i="4"/>
  <c r="J5" i="1"/>
  <c r="J40" i="2"/>
  <c r="J30" i="4"/>
  <c r="J28" i="4"/>
  <c r="J19" i="2"/>
  <c r="F4" i="10" l="1"/>
  <c r="G4" i="10" s="1"/>
  <c r="H4" i="10" s="1"/>
  <c r="F18" i="10"/>
  <c r="G18" i="10" s="1"/>
  <c r="H18" i="10" s="1"/>
  <c r="F23" i="10"/>
  <c r="G23" i="10" s="1"/>
  <c r="H23" i="10" s="1"/>
  <c r="F29" i="10"/>
  <c r="G29" i="10" s="1"/>
  <c r="H29" i="10" s="1"/>
  <c r="F41" i="10"/>
  <c r="G41" i="10" s="1"/>
  <c r="H41" i="10" s="1"/>
  <c r="F11" i="11"/>
  <c r="G11" i="11" s="1"/>
  <c r="H11" i="11" s="1"/>
  <c r="F17" i="11"/>
  <c r="G17" i="11" s="1"/>
  <c r="H17" i="11" s="1"/>
  <c r="F24" i="11"/>
  <c r="G24" i="11" s="1"/>
  <c r="H24" i="11" s="1"/>
  <c r="F30" i="11"/>
  <c r="G30" i="11" s="1"/>
  <c r="H30" i="11" s="1"/>
  <c r="F36" i="11"/>
  <c r="G36" i="11" s="1"/>
  <c r="H36" i="11" s="1"/>
  <c r="F43" i="11"/>
  <c r="G43" i="11" s="1"/>
  <c r="H43" i="11" s="1"/>
  <c r="F10" i="9"/>
  <c r="G10" i="9" s="1"/>
  <c r="H10" i="9" s="1"/>
  <c r="F18" i="9"/>
  <c r="G18" i="9" s="1"/>
  <c r="H18" i="9" s="1"/>
  <c r="F26" i="9"/>
  <c r="G26" i="9" s="1"/>
  <c r="H26" i="9" s="1"/>
  <c r="F34" i="9"/>
  <c r="G34" i="9" s="1"/>
  <c r="H34" i="9" s="1"/>
  <c r="F42" i="9"/>
  <c r="G42" i="9" s="1"/>
  <c r="H42" i="9" s="1"/>
  <c r="F11" i="8"/>
  <c r="G11" i="8" s="1"/>
  <c r="H11" i="8" s="1"/>
  <c r="F19" i="8"/>
  <c r="G19" i="8" s="1"/>
  <c r="H19" i="8" s="1"/>
  <c r="F27" i="8"/>
  <c r="G27" i="8" s="1"/>
  <c r="H27" i="8" s="1"/>
  <c r="F35" i="8"/>
  <c r="G35" i="8" s="1"/>
  <c r="H35" i="8" s="1"/>
  <c r="F43" i="8"/>
  <c r="G43" i="8" s="1"/>
  <c r="H43" i="8" s="1"/>
  <c r="F14" i="7"/>
  <c r="G14" i="7" s="1"/>
  <c r="H14" i="7" s="1"/>
  <c r="F31" i="7"/>
  <c r="G31" i="7" s="1"/>
  <c r="H31" i="7" s="1"/>
  <c r="F40" i="7"/>
  <c r="G40" i="7" s="1"/>
  <c r="H40" i="7" s="1"/>
  <c r="F4" i="7"/>
  <c r="G4" i="7" s="1"/>
  <c r="H4" i="7" s="1"/>
  <c r="F15" i="6"/>
  <c r="G15" i="6" s="1"/>
  <c r="H15" i="6" s="1"/>
  <c r="F26" i="6"/>
  <c r="G26" i="6" s="1"/>
  <c r="H26" i="6" s="1"/>
  <c r="F36" i="6"/>
  <c r="G36" i="6" s="1"/>
  <c r="H36" i="6" s="1"/>
  <c r="F7" i="5"/>
  <c r="G7" i="5" s="1"/>
  <c r="H7" i="5" s="1"/>
  <c r="F13" i="5"/>
  <c r="G13" i="5" s="1"/>
  <c r="H13" i="5" s="1"/>
  <c r="F19" i="5"/>
  <c r="G19" i="5" s="1"/>
  <c r="H19" i="5" s="1"/>
  <c r="F25" i="5"/>
  <c r="G25" i="5" s="1"/>
  <c r="H25" i="5" s="1"/>
  <c r="F30" i="5"/>
  <c r="G30" i="5" s="1"/>
  <c r="H30" i="5" s="1"/>
  <c r="F36" i="5"/>
  <c r="G36" i="5" s="1"/>
  <c r="H36" i="5" s="1"/>
  <c r="F42" i="5"/>
  <c r="G42" i="5" s="1"/>
  <c r="H42" i="5" s="1"/>
  <c r="F5" i="7"/>
  <c r="G5" i="7" s="1"/>
  <c r="H5" i="7" s="1"/>
  <c r="F9" i="4"/>
  <c r="G9" i="4" s="1"/>
  <c r="H9" i="4" s="1"/>
  <c r="F17" i="4"/>
  <c r="G17" i="4" s="1"/>
  <c r="H17" i="4" s="1"/>
  <c r="F25" i="4"/>
  <c r="G25" i="4" s="1"/>
  <c r="H25" i="4" s="1"/>
  <c r="F33" i="4"/>
  <c r="G33" i="4" s="1"/>
  <c r="H33" i="4" s="1"/>
  <c r="F41" i="4"/>
  <c r="G41" i="4" s="1"/>
  <c r="H41" i="4" s="1"/>
  <c r="F11" i="3"/>
  <c r="G11" i="3" s="1"/>
  <c r="H11" i="3" s="1"/>
  <c r="F23" i="3"/>
  <c r="G23" i="3" s="1"/>
  <c r="H23" i="3" s="1"/>
  <c r="F29" i="3"/>
  <c r="G29" i="3" s="1"/>
  <c r="H29" i="3" s="1"/>
  <c r="F34" i="3"/>
  <c r="G34" i="3" s="1"/>
  <c r="H34" i="3" s="1"/>
  <c r="F41" i="3"/>
  <c r="G41" i="3" s="1"/>
  <c r="H41" i="3" s="1"/>
  <c r="F34" i="10"/>
  <c r="G34" i="10" s="1"/>
  <c r="H34" i="10" s="1"/>
  <c r="F16" i="11"/>
  <c r="G16" i="11" s="1"/>
  <c r="H16" i="11" s="1"/>
  <c r="F32" i="9"/>
  <c r="G32" i="9" s="1"/>
  <c r="H32" i="9" s="1"/>
  <c r="F20" i="7"/>
  <c r="G20" i="7" s="1"/>
  <c r="H20" i="7" s="1"/>
  <c r="F14" i="6"/>
  <c r="G14" i="6" s="1"/>
  <c r="H14" i="6" s="1"/>
  <c r="F5" i="9"/>
  <c r="G5" i="9" s="1"/>
  <c r="H5" i="9" s="1"/>
  <c r="F6" i="10"/>
  <c r="G6" i="10" s="1"/>
  <c r="H6" i="10" s="1"/>
  <c r="F12" i="10"/>
  <c r="G12" i="10" s="1"/>
  <c r="H12" i="10" s="1"/>
  <c r="F19" i="10"/>
  <c r="G19" i="10" s="1"/>
  <c r="H19" i="10" s="1"/>
  <c r="F24" i="10"/>
  <c r="G24" i="10" s="1"/>
  <c r="H24" i="10" s="1"/>
  <c r="F4" i="11"/>
  <c r="G4" i="11" s="1"/>
  <c r="H4" i="11" s="1"/>
  <c r="F12" i="11"/>
  <c r="G12" i="11" s="1"/>
  <c r="H12" i="11" s="1"/>
  <c r="F18" i="11"/>
  <c r="G18" i="11" s="1"/>
  <c r="H18" i="11" s="1"/>
  <c r="F25" i="11"/>
  <c r="G25" i="11" s="1"/>
  <c r="H25" i="11" s="1"/>
  <c r="F31" i="11"/>
  <c r="G31" i="11" s="1"/>
  <c r="H31" i="11" s="1"/>
  <c r="F37" i="11"/>
  <c r="G37" i="11" s="1"/>
  <c r="H37" i="11" s="1"/>
  <c r="F44" i="11"/>
  <c r="G44" i="11" s="1"/>
  <c r="H44" i="11" s="1"/>
  <c r="F11" i="9"/>
  <c r="G11" i="9" s="1"/>
  <c r="H11" i="9" s="1"/>
  <c r="F19" i="9"/>
  <c r="G19" i="9" s="1"/>
  <c r="H19" i="9" s="1"/>
  <c r="F27" i="9"/>
  <c r="G27" i="9" s="1"/>
  <c r="H27" i="9" s="1"/>
  <c r="F35" i="9"/>
  <c r="G35" i="9" s="1"/>
  <c r="H35" i="9" s="1"/>
  <c r="F43" i="9"/>
  <c r="G43" i="9" s="1"/>
  <c r="H43" i="9" s="1"/>
  <c r="F12" i="8"/>
  <c r="G12" i="8" s="1"/>
  <c r="H12" i="8" s="1"/>
  <c r="F20" i="8"/>
  <c r="G20" i="8" s="1"/>
  <c r="H20" i="8" s="1"/>
  <c r="F28" i="8"/>
  <c r="G28" i="8" s="1"/>
  <c r="H28" i="8" s="1"/>
  <c r="F36" i="8"/>
  <c r="G36" i="8" s="1"/>
  <c r="H36" i="8" s="1"/>
  <c r="F44" i="8"/>
  <c r="G44" i="8" s="1"/>
  <c r="H44" i="8" s="1"/>
  <c r="F10" i="7"/>
  <c r="G10" i="7" s="1"/>
  <c r="H10" i="7" s="1"/>
  <c r="F18" i="7"/>
  <c r="G18" i="7" s="1"/>
  <c r="H18" i="7" s="1"/>
  <c r="F26" i="7"/>
  <c r="G26" i="7" s="1"/>
  <c r="H26" i="7" s="1"/>
  <c r="F36" i="7"/>
  <c r="G36" i="7" s="1"/>
  <c r="H36" i="7" s="1"/>
  <c r="F4" i="6"/>
  <c r="G4" i="6" s="1"/>
  <c r="H4" i="6" s="1"/>
  <c r="F11" i="6"/>
  <c r="G11" i="6" s="1"/>
  <c r="H11" i="6" s="1"/>
  <c r="F16" i="6"/>
  <c r="G16" i="6" s="1"/>
  <c r="H16" i="6" s="1"/>
  <c r="F21" i="6"/>
  <c r="G21" i="6" s="1"/>
  <c r="H21" i="6" s="1"/>
  <c r="F31" i="6"/>
  <c r="G31" i="6" s="1"/>
  <c r="H31" i="6" s="1"/>
  <c r="F42" i="6"/>
  <c r="G42" i="6" s="1"/>
  <c r="H42" i="6" s="1"/>
  <c r="F8" i="5"/>
  <c r="G8" i="5" s="1"/>
  <c r="H8" i="5" s="1"/>
  <c r="F31" i="5"/>
  <c r="G31" i="5" s="1"/>
  <c r="H31" i="5" s="1"/>
  <c r="F37" i="5"/>
  <c r="G37" i="5" s="1"/>
  <c r="H37" i="5" s="1"/>
  <c r="F43" i="5"/>
  <c r="G43" i="5" s="1"/>
  <c r="H43" i="5" s="1"/>
  <c r="F5" i="6"/>
  <c r="G5" i="6" s="1"/>
  <c r="H5" i="6" s="1"/>
  <c r="F10" i="4"/>
  <c r="G10" i="4" s="1"/>
  <c r="H10" i="4" s="1"/>
  <c r="F18" i="4"/>
  <c r="G18" i="4" s="1"/>
  <c r="H18" i="4" s="1"/>
  <c r="F26" i="4"/>
  <c r="G26" i="4" s="1"/>
  <c r="H26" i="4" s="1"/>
  <c r="F34" i="4"/>
  <c r="G34" i="4" s="1"/>
  <c r="H34" i="4" s="1"/>
  <c r="F6" i="3"/>
  <c r="G6" i="3" s="1"/>
  <c r="H6" i="3" s="1"/>
  <c r="F12" i="3"/>
  <c r="G12" i="3" s="1"/>
  <c r="H12" i="3" s="1"/>
  <c r="F24" i="3"/>
  <c r="G24" i="3" s="1"/>
  <c r="H24" i="3" s="1"/>
  <c r="F35" i="3"/>
  <c r="G35" i="3" s="1"/>
  <c r="H35" i="3" s="1"/>
  <c r="F42" i="11"/>
  <c r="G42" i="11" s="1"/>
  <c r="H42" i="11" s="1"/>
  <c r="F25" i="8"/>
  <c r="G25" i="8" s="1"/>
  <c r="H25" i="8" s="1"/>
  <c r="F25" i="6"/>
  <c r="G25" i="6" s="1"/>
  <c r="H25" i="6" s="1"/>
  <c r="F29" i="5"/>
  <c r="G29" i="5" s="1"/>
  <c r="H29" i="5" s="1"/>
  <c r="F23" i="4"/>
  <c r="G23" i="4" s="1"/>
  <c r="H23" i="4" s="1"/>
  <c r="F7" i="10"/>
  <c r="G7" i="10" s="1"/>
  <c r="H7" i="10" s="1"/>
  <c r="F13" i="10"/>
  <c r="G13" i="10" s="1"/>
  <c r="H13" i="10" s="1"/>
  <c r="F25" i="10"/>
  <c r="G25" i="10" s="1"/>
  <c r="H25" i="10" s="1"/>
  <c r="F30" i="10"/>
  <c r="G30" i="10" s="1"/>
  <c r="H30" i="10" s="1"/>
  <c r="F36" i="10"/>
  <c r="G36" i="10" s="1"/>
  <c r="H36" i="10" s="1"/>
  <c r="F6" i="11"/>
  <c r="G6" i="11" s="1"/>
  <c r="H6" i="11" s="1"/>
  <c r="F26" i="11"/>
  <c r="G26" i="11" s="1"/>
  <c r="H26" i="11" s="1"/>
  <c r="F32" i="11"/>
  <c r="G32" i="11" s="1"/>
  <c r="H32" i="11" s="1"/>
  <c r="F38" i="11"/>
  <c r="G38" i="11" s="1"/>
  <c r="H38" i="11" s="1"/>
  <c r="F12" i="9"/>
  <c r="G12" i="9" s="1"/>
  <c r="H12" i="9" s="1"/>
  <c r="F20" i="9"/>
  <c r="G20" i="9" s="1"/>
  <c r="H20" i="9" s="1"/>
  <c r="F28" i="9"/>
  <c r="G28" i="9" s="1"/>
  <c r="H28" i="9" s="1"/>
  <c r="F36" i="9"/>
  <c r="G36" i="9" s="1"/>
  <c r="H36" i="9" s="1"/>
  <c r="F4" i="8"/>
  <c r="G4" i="8" s="1"/>
  <c r="H4" i="8" s="1"/>
  <c r="F13" i="8"/>
  <c r="G13" i="8" s="1"/>
  <c r="H13" i="8" s="1"/>
  <c r="F21" i="8"/>
  <c r="G21" i="8" s="1"/>
  <c r="H21" i="8" s="1"/>
  <c r="F29" i="8"/>
  <c r="G29" i="8" s="1"/>
  <c r="H29" i="8" s="1"/>
  <c r="F37" i="8"/>
  <c r="G37" i="8" s="1"/>
  <c r="H37" i="8" s="1"/>
  <c r="F6" i="7"/>
  <c r="G6" i="7" s="1"/>
  <c r="H6" i="7" s="1"/>
  <c r="F15" i="7"/>
  <c r="G15" i="7" s="1"/>
  <c r="H15" i="7" s="1"/>
  <c r="F22" i="7"/>
  <c r="G22" i="7" s="1"/>
  <c r="H22" i="7" s="1"/>
  <c r="F27" i="7"/>
  <c r="G27" i="7" s="1"/>
  <c r="H27" i="7" s="1"/>
  <c r="F37" i="7"/>
  <c r="G37" i="7" s="1"/>
  <c r="H37" i="7" s="1"/>
  <c r="F41" i="7"/>
  <c r="G41" i="7" s="1"/>
  <c r="H41" i="7" s="1"/>
  <c r="F6" i="6"/>
  <c r="G6" i="6" s="1"/>
  <c r="H6" i="6" s="1"/>
  <c r="F17" i="6"/>
  <c r="G17" i="6" s="1"/>
  <c r="H17" i="6" s="1"/>
  <c r="F27" i="6"/>
  <c r="G27" i="6" s="1"/>
  <c r="H27" i="6" s="1"/>
  <c r="F32" i="6"/>
  <c r="G32" i="6" s="1"/>
  <c r="H32" i="6" s="1"/>
  <c r="F37" i="6"/>
  <c r="G37" i="6" s="1"/>
  <c r="H37" i="6" s="1"/>
  <c r="F9" i="5"/>
  <c r="G9" i="5" s="1"/>
  <c r="H9" i="5" s="1"/>
  <c r="F14" i="5"/>
  <c r="G14" i="5" s="1"/>
  <c r="H14" i="5" s="1"/>
  <c r="F20" i="5"/>
  <c r="G20" i="5" s="1"/>
  <c r="H20" i="5" s="1"/>
  <c r="F26" i="5"/>
  <c r="G26" i="5" s="1"/>
  <c r="H26" i="5" s="1"/>
  <c r="F32" i="5"/>
  <c r="G32" i="5" s="1"/>
  <c r="H32" i="5" s="1"/>
  <c r="F5" i="5"/>
  <c r="G5" i="5" s="1"/>
  <c r="H5" i="5" s="1"/>
  <c r="F11" i="4"/>
  <c r="G11" i="4" s="1"/>
  <c r="H11" i="4" s="1"/>
  <c r="F19" i="4"/>
  <c r="G19" i="4" s="1"/>
  <c r="H19" i="4" s="1"/>
  <c r="F27" i="4"/>
  <c r="G27" i="4" s="1"/>
  <c r="H27" i="4" s="1"/>
  <c r="F35" i="4"/>
  <c r="G35" i="4" s="1"/>
  <c r="H35" i="4" s="1"/>
  <c r="F7" i="3"/>
  <c r="G7" i="3" s="1"/>
  <c r="H7" i="3" s="1"/>
  <c r="F13" i="3"/>
  <c r="G13" i="3" s="1"/>
  <c r="H13" i="3" s="1"/>
  <c r="F18" i="3"/>
  <c r="G18" i="3" s="1"/>
  <c r="H18" i="3" s="1"/>
  <c r="F25" i="3"/>
  <c r="G25" i="3" s="1"/>
  <c r="H25" i="3" s="1"/>
  <c r="F30" i="3"/>
  <c r="G30" i="3" s="1"/>
  <c r="H30" i="3" s="1"/>
  <c r="F36" i="3"/>
  <c r="G36" i="3" s="1"/>
  <c r="H36" i="3" s="1"/>
  <c r="F22" i="11"/>
  <c r="G22" i="11" s="1"/>
  <c r="H22" i="11" s="1"/>
  <c r="F40" i="9"/>
  <c r="G40" i="9" s="1"/>
  <c r="H40" i="9" s="1"/>
  <c r="F17" i="7"/>
  <c r="G17" i="7" s="1"/>
  <c r="H17" i="7" s="1"/>
  <c r="F44" i="6"/>
  <c r="G44" i="6" s="1"/>
  <c r="H44" i="6" s="1"/>
  <c r="F7" i="4"/>
  <c r="G7" i="4" s="1"/>
  <c r="H7" i="4" s="1"/>
  <c r="F27" i="3"/>
  <c r="G27" i="3" s="1"/>
  <c r="H27" i="3" s="1"/>
  <c r="F8" i="10"/>
  <c r="G8" i="10" s="1"/>
  <c r="H8" i="10" s="1"/>
  <c r="F26" i="10"/>
  <c r="G26" i="10" s="1"/>
  <c r="H26" i="10" s="1"/>
  <c r="F31" i="10"/>
  <c r="G31" i="10" s="1"/>
  <c r="H31" i="10" s="1"/>
  <c r="F37" i="10"/>
  <c r="G37" i="10" s="1"/>
  <c r="H37" i="10" s="1"/>
  <c r="F7" i="11"/>
  <c r="G7" i="11" s="1"/>
  <c r="H7" i="11" s="1"/>
  <c r="F13" i="11"/>
  <c r="G13" i="11" s="1"/>
  <c r="H13" i="11" s="1"/>
  <c r="F19" i="11"/>
  <c r="G19" i="11" s="1"/>
  <c r="H19" i="11" s="1"/>
  <c r="F39" i="11"/>
  <c r="G39" i="11" s="1"/>
  <c r="H39" i="11" s="1"/>
  <c r="F4" i="9"/>
  <c r="G4" i="9" s="1"/>
  <c r="H4" i="9" s="1"/>
  <c r="F13" i="9"/>
  <c r="G13" i="9" s="1"/>
  <c r="H13" i="9" s="1"/>
  <c r="F21" i="9"/>
  <c r="G21" i="9" s="1"/>
  <c r="H21" i="9" s="1"/>
  <c r="F29" i="9"/>
  <c r="G29" i="9" s="1"/>
  <c r="H29" i="9" s="1"/>
  <c r="F37" i="9"/>
  <c r="G37" i="9" s="1"/>
  <c r="H37" i="9" s="1"/>
  <c r="F6" i="8"/>
  <c r="G6" i="8" s="1"/>
  <c r="H6" i="8" s="1"/>
  <c r="F14" i="8"/>
  <c r="G14" i="8" s="1"/>
  <c r="H14" i="8" s="1"/>
  <c r="F22" i="8"/>
  <c r="G22" i="8" s="1"/>
  <c r="H22" i="8" s="1"/>
  <c r="F30" i="8"/>
  <c r="G30" i="8" s="1"/>
  <c r="H30" i="8" s="1"/>
  <c r="F38" i="8"/>
  <c r="G38" i="8" s="1"/>
  <c r="H38" i="8" s="1"/>
  <c r="F11" i="7"/>
  <c r="G11" i="7" s="1"/>
  <c r="H11" i="7" s="1"/>
  <c r="F19" i="7"/>
  <c r="G19" i="7" s="1"/>
  <c r="H19" i="7" s="1"/>
  <c r="F28" i="7"/>
  <c r="G28" i="7" s="1"/>
  <c r="H28" i="7" s="1"/>
  <c r="F32" i="7"/>
  <c r="G32" i="7" s="1"/>
  <c r="H32" i="7" s="1"/>
  <c r="F7" i="6"/>
  <c r="G7" i="6" s="1"/>
  <c r="H7" i="6" s="1"/>
  <c r="F22" i="6"/>
  <c r="G22" i="6" s="1"/>
  <c r="H22" i="6" s="1"/>
  <c r="F33" i="6"/>
  <c r="G33" i="6" s="1"/>
  <c r="H33" i="6" s="1"/>
  <c r="F43" i="6"/>
  <c r="G43" i="6" s="1"/>
  <c r="H43" i="6" s="1"/>
  <c r="F15" i="5"/>
  <c r="G15" i="5" s="1"/>
  <c r="H15" i="5" s="1"/>
  <c r="F21" i="5"/>
  <c r="G21" i="5" s="1"/>
  <c r="H21" i="5" s="1"/>
  <c r="F27" i="5"/>
  <c r="G27" i="5" s="1"/>
  <c r="H27" i="5" s="1"/>
  <c r="F33" i="5"/>
  <c r="G33" i="5" s="1"/>
  <c r="H33" i="5" s="1"/>
  <c r="F38" i="5"/>
  <c r="G38" i="5" s="1"/>
  <c r="H38" i="5" s="1"/>
  <c r="F4" i="5"/>
  <c r="G4" i="5" s="1"/>
  <c r="H4" i="5" s="1"/>
  <c r="F4" i="4"/>
  <c r="G4" i="4" s="1"/>
  <c r="H4" i="4" s="1"/>
  <c r="F12" i="4"/>
  <c r="G12" i="4" s="1"/>
  <c r="H12" i="4" s="1"/>
  <c r="F20" i="4"/>
  <c r="G20" i="4" s="1"/>
  <c r="H20" i="4" s="1"/>
  <c r="F28" i="4"/>
  <c r="G28" i="4" s="1"/>
  <c r="H28" i="4" s="1"/>
  <c r="F36" i="4"/>
  <c r="G36" i="4" s="1"/>
  <c r="H36" i="4" s="1"/>
  <c r="F8" i="3"/>
  <c r="G8" i="3" s="1"/>
  <c r="H8" i="3" s="1"/>
  <c r="F19" i="3"/>
  <c r="G19" i="3" s="1"/>
  <c r="H19" i="3" s="1"/>
  <c r="F31" i="3"/>
  <c r="G31" i="3" s="1"/>
  <c r="H31" i="3" s="1"/>
  <c r="F37" i="3"/>
  <c r="G37" i="3" s="1"/>
  <c r="H37" i="3" s="1"/>
  <c r="F42" i="3"/>
  <c r="G42" i="3" s="1"/>
  <c r="H42" i="3" s="1"/>
  <c r="F5" i="1"/>
  <c r="G5" i="1" s="1"/>
  <c r="H5" i="1" s="1"/>
  <c r="F10" i="11"/>
  <c r="G10" i="11" s="1"/>
  <c r="H10" i="11" s="1"/>
  <c r="F16" i="9"/>
  <c r="G16" i="9" s="1"/>
  <c r="H16" i="9" s="1"/>
  <c r="F41" i="8"/>
  <c r="G41" i="8" s="1"/>
  <c r="H41" i="8" s="1"/>
  <c r="F44" i="7"/>
  <c r="G44" i="7" s="1"/>
  <c r="H44" i="7" s="1"/>
  <c r="F9" i="10"/>
  <c r="G9" i="10" s="1"/>
  <c r="H9" i="10" s="1"/>
  <c r="F14" i="10"/>
  <c r="G14" i="10" s="1"/>
  <c r="H14" i="10" s="1"/>
  <c r="F20" i="10"/>
  <c r="G20" i="10" s="1"/>
  <c r="H20" i="10" s="1"/>
  <c r="F27" i="10"/>
  <c r="G27" i="10" s="1"/>
  <c r="H27" i="10" s="1"/>
  <c r="F32" i="10"/>
  <c r="G32" i="10" s="1"/>
  <c r="H32" i="10" s="1"/>
  <c r="F8" i="11"/>
  <c r="G8" i="11" s="1"/>
  <c r="H8" i="11" s="1"/>
  <c r="F14" i="11"/>
  <c r="G14" i="11" s="1"/>
  <c r="H14" i="11" s="1"/>
  <c r="F20" i="11"/>
  <c r="G20" i="11" s="1"/>
  <c r="H20" i="11" s="1"/>
  <c r="F27" i="11"/>
  <c r="G27" i="11" s="1"/>
  <c r="H27" i="11" s="1"/>
  <c r="F33" i="11"/>
  <c r="G33" i="11" s="1"/>
  <c r="H33" i="11" s="1"/>
  <c r="F40" i="11"/>
  <c r="G40" i="11" s="1"/>
  <c r="H40" i="11" s="1"/>
  <c r="F6" i="9"/>
  <c r="G6" i="9" s="1"/>
  <c r="H6" i="9" s="1"/>
  <c r="F14" i="9"/>
  <c r="G14" i="9" s="1"/>
  <c r="H14" i="9" s="1"/>
  <c r="F22" i="9"/>
  <c r="G22" i="9" s="1"/>
  <c r="H22" i="9" s="1"/>
  <c r="F30" i="9"/>
  <c r="G30" i="9" s="1"/>
  <c r="H30" i="9" s="1"/>
  <c r="F38" i="9"/>
  <c r="G38" i="9" s="1"/>
  <c r="H38" i="9" s="1"/>
  <c r="F7" i="8"/>
  <c r="G7" i="8" s="1"/>
  <c r="H7" i="8" s="1"/>
  <c r="F15" i="8"/>
  <c r="G15" i="8" s="1"/>
  <c r="H15" i="8" s="1"/>
  <c r="F23" i="8"/>
  <c r="G23" i="8" s="1"/>
  <c r="H23" i="8" s="1"/>
  <c r="F31" i="8"/>
  <c r="G31" i="8" s="1"/>
  <c r="H31" i="8" s="1"/>
  <c r="F39" i="8"/>
  <c r="G39" i="8" s="1"/>
  <c r="H39" i="8" s="1"/>
  <c r="F7" i="7"/>
  <c r="G7" i="7" s="1"/>
  <c r="H7" i="7" s="1"/>
  <c r="F12" i="7"/>
  <c r="G12" i="7" s="1"/>
  <c r="H12" i="7" s="1"/>
  <c r="F23" i="7"/>
  <c r="G23" i="7" s="1"/>
  <c r="H23" i="7" s="1"/>
  <c r="F29" i="7"/>
  <c r="G29" i="7" s="1"/>
  <c r="H29" i="7" s="1"/>
  <c r="F33" i="7"/>
  <c r="G33" i="7" s="1"/>
  <c r="H33" i="7" s="1"/>
  <c r="F42" i="7"/>
  <c r="G42" i="7" s="1"/>
  <c r="H42" i="7" s="1"/>
  <c r="F8" i="6"/>
  <c r="G8" i="6" s="1"/>
  <c r="H8" i="6" s="1"/>
  <c r="F12" i="6"/>
  <c r="G12" i="6" s="1"/>
  <c r="H12" i="6" s="1"/>
  <c r="F18" i="6"/>
  <c r="G18" i="6" s="1"/>
  <c r="H18" i="6" s="1"/>
  <c r="F23" i="6"/>
  <c r="G23" i="6" s="1"/>
  <c r="H23" i="6" s="1"/>
  <c r="F38" i="6"/>
  <c r="G38" i="6" s="1"/>
  <c r="H38" i="6" s="1"/>
  <c r="F10" i="5"/>
  <c r="G10" i="5" s="1"/>
  <c r="H10" i="5" s="1"/>
  <c r="F16" i="5"/>
  <c r="G16" i="5" s="1"/>
  <c r="H16" i="5" s="1"/>
  <c r="F39" i="5"/>
  <c r="G39" i="5" s="1"/>
  <c r="H39" i="5" s="1"/>
  <c r="F5" i="10"/>
  <c r="G5" i="10" s="1"/>
  <c r="H5" i="10" s="1"/>
  <c r="F5" i="4"/>
  <c r="G5" i="4" s="1"/>
  <c r="H5" i="4" s="1"/>
  <c r="F13" i="4"/>
  <c r="G13" i="4" s="1"/>
  <c r="H13" i="4" s="1"/>
  <c r="F21" i="4"/>
  <c r="G21" i="4" s="1"/>
  <c r="H21" i="4" s="1"/>
  <c r="F29" i="4"/>
  <c r="G29" i="4" s="1"/>
  <c r="H29" i="4" s="1"/>
  <c r="F37" i="4"/>
  <c r="G37" i="4" s="1"/>
  <c r="H37" i="4" s="1"/>
  <c r="F9" i="3"/>
  <c r="G9" i="3" s="1"/>
  <c r="H9" i="3" s="1"/>
  <c r="F14" i="3"/>
  <c r="G14" i="3" s="1"/>
  <c r="H14" i="3" s="1"/>
  <c r="F20" i="3"/>
  <c r="G20" i="3" s="1"/>
  <c r="H20" i="3" s="1"/>
  <c r="F32" i="3"/>
  <c r="G32" i="3" s="1"/>
  <c r="H32" i="3" s="1"/>
  <c r="F43" i="3"/>
  <c r="G43" i="3" s="1"/>
  <c r="H43" i="3" s="1"/>
  <c r="F16" i="10"/>
  <c r="G16" i="10" s="1"/>
  <c r="H16" i="10" s="1"/>
  <c r="F9" i="8"/>
  <c r="G9" i="8" s="1"/>
  <c r="H9" i="8" s="1"/>
  <c r="F13" i="7"/>
  <c r="G13" i="7" s="1"/>
  <c r="H13" i="7" s="1"/>
  <c r="F23" i="5"/>
  <c r="G23" i="5" s="1"/>
  <c r="H23" i="5" s="1"/>
  <c r="F15" i="4"/>
  <c r="G15" i="4" s="1"/>
  <c r="H15" i="4" s="1"/>
  <c r="F16" i="3"/>
  <c r="G16" i="3" s="1"/>
  <c r="H16" i="3" s="1"/>
  <c r="F10" i="10"/>
  <c r="G10" i="10" s="1"/>
  <c r="H10" i="10" s="1"/>
  <c r="F15" i="10"/>
  <c r="G15" i="10" s="1"/>
  <c r="H15" i="10" s="1"/>
  <c r="F21" i="10"/>
  <c r="G21" i="10" s="1"/>
  <c r="H21" i="10" s="1"/>
  <c r="F33" i="10"/>
  <c r="G33" i="10" s="1"/>
  <c r="H33" i="10" s="1"/>
  <c r="F38" i="10"/>
  <c r="G38" i="10" s="1"/>
  <c r="H38" i="10" s="1"/>
  <c r="F9" i="11"/>
  <c r="G9" i="11" s="1"/>
  <c r="H9" i="11" s="1"/>
  <c r="F15" i="11"/>
  <c r="G15" i="11" s="1"/>
  <c r="H15" i="11" s="1"/>
  <c r="F21" i="11"/>
  <c r="G21" i="11" s="1"/>
  <c r="H21" i="11" s="1"/>
  <c r="F28" i="11"/>
  <c r="G28" i="11" s="1"/>
  <c r="H28" i="11" s="1"/>
  <c r="F34" i="11"/>
  <c r="G34" i="11" s="1"/>
  <c r="H34" i="11" s="1"/>
  <c r="F41" i="11"/>
  <c r="G41" i="11" s="1"/>
  <c r="H41" i="11" s="1"/>
  <c r="F7" i="9"/>
  <c r="G7" i="9" s="1"/>
  <c r="H7" i="9" s="1"/>
  <c r="F15" i="9"/>
  <c r="G15" i="9" s="1"/>
  <c r="H15" i="9" s="1"/>
  <c r="F23" i="9"/>
  <c r="G23" i="9" s="1"/>
  <c r="H23" i="9" s="1"/>
  <c r="F31" i="9"/>
  <c r="G31" i="9" s="1"/>
  <c r="H31" i="9" s="1"/>
  <c r="F39" i="9"/>
  <c r="G39" i="9" s="1"/>
  <c r="H39" i="9" s="1"/>
  <c r="F8" i="8"/>
  <c r="G8" i="8" s="1"/>
  <c r="H8" i="8" s="1"/>
  <c r="F16" i="8"/>
  <c r="G16" i="8" s="1"/>
  <c r="H16" i="8" s="1"/>
  <c r="F24" i="8"/>
  <c r="G24" i="8" s="1"/>
  <c r="H24" i="8" s="1"/>
  <c r="F32" i="8"/>
  <c r="G32" i="8" s="1"/>
  <c r="H32" i="8" s="1"/>
  <c r="F40" i="8"/>
  <c r="G40" i="8" s="1"/>
  <c r="H40" i="8" s="1"/>
  <c r="F8" i="7"/>
  <c r="G8" i="7" s="1"/>
  <c r="H8" i="7" s="1"/>
  <c r="F16" i="7"/>
  <c r="G16" i="7" s="1"/>
  <c r="H16" i="7" s="1"/>
  <c r="F24" i="7"/>
  <c r="G24" i="7" s="1"/>
  <c r="H24" i="7" s="1"/>
  <c r="F34" i="7"/>
  <c r="G34" i="7" s="1"/>
  <c r="H34" i="7" s="1"/>
  <c r="F38" i="7"/>
  <c r="G38" i="7" s="1"/>
  <c r="H38" i="7" s="1"/>
  <c r="F43" i="7"/>
  <c r="G43" i="7" s="1"/>
  <c r="H43" i="7" s="1"/>
  <c r="F9" i="6"/>
  <c r="G9" i="6" s="1"/>
  <c r="H9" i="6" s="1"/>
  <c r="F13" i="6"/>
  <c r="G13" i="6" s="1"/>
  <c r="H13" i="6" s="1"/>
  <c r="F24" i="6"/>
  <c r="G24" i="6" s="1"/>
  <c r="H24" i="6" s="1"/>
  <c r="F28" i="6"/>
  <c r="G28" i="6" s="1"/>
  <c r="H28" i="6" s="1"/>
  <c r="F34" i="6"/>
  <c r="G34" i="6" s="1"/>
  <c r="H34" i="6" s="1"/>
  <c r="F39" i="6"/>
  <c r="G39" i="6" s="1"/>
  <c r="H39" i="6" s="1"/>
  <c r="F11" i="5"/>
  <c r="G11" i="5" s="1"/>
  <c r="H11" i="5" s="1"/>
  <c r="F17" i="5"/>
  <c r="G17" i="5" s="1"/>
  <c r="H17" i="5" s="1"/>
  <c r="F22" i="5"/>
  <c r="G22" i="5" s="1"/>
  <c r="H22" i="5" s="1"/>
  <c r="F28" i="5"/>
  <c r="G28" i="5" s="1"/>
  <c r="H28" i="5" s="1"/>
  <c r="F34" i="5"/>
  <c r="G34" i="5" s="1"/>
  <c r="H34" i="5" s="1"/>
  <c r="F40" i="5"/>
  <c r="G40" i="5" s="1"/>
  <c r="H40" i="5" s="1"/>
  <c r="F5" i="11"/>
  <c r="G5" i="11" s="1"/>
  <c r="H5" i="11" s="1"/>
  <c r="F6" i="4"/>
  <c r="G6" i="4" s="1"/>
  <c r="H6" i="4" s="1"/>
  <c r="F14" i="4"/>
  <c r="G14" i="4" s="1"/>
  <c r="H14" i="4" s="1"/>
  <c r="F22" i="4"/>
  <c r="G22" i="4" s="1"/>
  <c r="H22" i="4" s="1"/>
  <c r="F30" i="4"/>
  <c r="G30" i="4" s="1"/>
  <c r="H30" i="4" s="1"/>
  <c r="F38" i="4"/>
  <c r="G38" i="4" s="1"/>
  <c r="H38" i="4" s="1"/>
  <c r="F15" i="3"/>
  <c r="G15" i="3" s="1"/>
  <c r="H15" i="3" s="1"/>
  <c r="F21" i="3"/>
  <c r="G21" i="3" s="1"/>
  <c r="H21" i="3" s="1"/>
  <c r="F26" i="3"/>
  <c r="G26" i="3" s="1"/>
  <c r="H26" i="3" s="1"/>
  <c r="F33" i="3"/>
  <c r="G33" i="3" s="1"/>
  <c r="H33" i="3" s="1"/>
  <c r="F38" i="3"/>
  <c r="G38" i="3" s="1"/>
  <c r="H38" i="3" s="1"/>
  <c r="F44" i="3"/>
  <c r="G44" i="3" s="1"/>
  <c r="H44" i="3" s="1"/>
  <c r="F11" i="10"/>
  <c r="G11" i="10" s="1"/>
  <c r="H11" i="10" s="1"/>
  <c r="F8" i="9"/>
  <c r="G8" i="9" s="1"/>
  <c r="H8" i="9" s="1"/>
  <c r="F17" i="8"/>
  <c r="G17" i="8" s="1"/>
  <c r="H17" i="8" s="1"/>
  <c r="F29" i="6"/>
  <c r="G29" i="6" s="1"/>
  <c r="H29" i="6" s="1"/>
  <c r="F35" i="5"/>
  <c r="G35" i="5" s="1"/>
  <c r="H35" i="5" s="1"/>
  <c r="F31" i="4"/>
  <c r="G31" i="4" s="1"/>
  <c r="H31" i="4" s="1"/>
  <c r="F39" i="3"/>
  <c r="G39" i="3" s="1"/>
  <c r="H39" i="3" s="1"/>
  <c r="F17" i="10"/>
  <c r="G17" i="10" s="1"/>
  <c r="H17" i="10" s="1"/>
  <c r="F22" i="10"/>
  <c r="G22" i="10" s="1"/>
  <c r="H22" i="10" s="1"/>
  <c r="F28" i="10"/>
  <c r="G28" i="10" s="1"/>
  <c r="H28" i="10" s="1"/>
  <c r="F35" i="10"/>
  <c r="G35" i="10" s="1"/>
  <c r="H35" i="10" s="1"/>
  <c r="F40" i="10"/>
  <c r="G40" i="10" s="1"/>
  <c r="H40" i="10" s="1"/>
  <c r="F23" i="11"/>
  <c r="G23" i="11" s="1"/>
  <c r="H23" i="11" s="1"/>
  <c r="F29" i="11"/>
  <c r="G29" i="11" s="1"/>
  <c r="H29" i="11" s="1"/>
  <c r="F35" i="11"/>
  <c r="G35" i="11" s="1"/>
  <c r="H35" i="11" s="1"/>
  <c r="F9" i="9"/>
  <c r="G9" i="9" s="1"/>
  <c r="H9" i="9" s="1"/>
  <c r="F17" i="9"/>
  <c r="G17" i="9" s="1"/>
  <c r="H17" i="9" s="1"/>
  <c r="F25" i="9"/>
  <c r="G25" i="9" s="1"/>
  <c r="H25" i="9" s="1"/>
  <c r="F33" i="9"/>
  <c r="G33" i="9" s="1"/>
  <c r="H33" i="9" s="1"/>
  <c r="F41" i="9"/>
  <c r="G41" i="9" s="1"/>
  <c r="H41" i="9" s="1"/>
  <c r="F10" i="8"/>
  <c r="G10" i="8" s="1"/>
  <c r="H10" i="8" s="1"/>
  <c r="F18" i="8"/>
  <c r="G18" i="8" s="1"/>
  <c r="H18" i="8" s="1"/>
  <c r="F26" i="8"/>
  <c r="G26" i="8" s="1"/>
  <c r="H26" i="8" s="1"/>
  <c r="F34" i="8"/>
  <c r="G34" i="8" s="1"/>
  <c r="H34" i="8" s="1"/>
  <c r="F42" i="8"/>
  <c r="G42" i="8" s="1"/>
  <c r="H42" i="8" s="1"/>
  <c r="F9" i="7"/>
  <c r="G9" i="7" s="1"/>
  <c r="H9" i="7" s="1"/>
  <c r="F21" i="7"/>
  <c r="G21" i="7" s="1"/>
  <c r="H21" i="7" s="1"/>
  <c r="F25" i="7"/>
  <c r="G25" i="7" s="1"/>
  <c r="H25" i="7" s="1"/>
  <c r="F35" i="7"/>
  <c r="G35" i="7" s="1"/>
  <c r="H35" i="7" s="1"/>
  <c r="F39" i="7"/>
  <c r="G39" i="7" s="1"/>
  <c r="H39" i="7" s="1"/>
  <c r="F10" i="6"/>
  <c r="G10" i="6" s="1"/>
  <c r="H10" i="6" s="1"/>
  <c r="F20" i="6"/>
  <c r="G20" i="6" s="1"/>
  <c r="H20" i="6" s="1"/>
  <c r="F30" i="6"/>
  <c r="G30" i="6" s="1"/>
  <c r="H30" i="6" s="1"/>
  <c r="F35" i="6"/>
  <c r="G35" i="6" s="1"/>
  <c r="H35" i="6" s="1"/>
  <c r="F41" i="6"/>
  <c r="G41" i="6" s="1"/>
  <c r="H41" i="6" s="1"/>
  <c r="F6" i="5"/>
  <c r="G6" i="5" s="1"/>
  <c r="H6" i="5" s="1"/>
  <c r="F12" i="5"/>
  <c r="G12" i="5" s="1"/>
  <c r="H12" i="5" s="1"/>
  <c r="F18" i="5"/>
  <c r="G18" i="5" s="1"/>
  <c r="H18" i="5" s="1"/>
  <c r="F24" i="5"/>
  <c r="G24" i="5" s="1"/>
  <c r="H24" i="5" s="1"/>
  <c r="F5" i="8"/>
  <c r="G5" i="8" s="1"/>
  <c r="H5" i="8" s="1"/>
  <c r="F8" i="4"/>
  <c r="G8" i="4" s="1"/>
  <c r="H8" i="4" s="1"/>
  <c r="F16" i="4"/>
  <c r="G16" i="4" s="1"/>
  <c r="H16" i="4" s="1"/>
  <c r="F24" i="4"/>
  <c r="G24" i="4" s="1"/>
  <c r="H24" i="4" s="1"/>
  <c r="F32" i="4"/>
  <c r="G32" i="4" s="1"/>
  <c r="H32" i="4" s="1"/>
  <c r="F40" i="4"/>
  <c r="G40" i="4" s="1"/>
  <c r="H40" i="4" s="1"/>
  <c r="F10" i="3"/>
  <c r="G10" i="3" s="1"/>
  <c r="H10" i="3" s="1"/>
  <c r="F17" i="3"/>
  <c r="G17" i="3" s="1"/>
  <c r="H17" i="3" s="1"/>
  <c r="F22" i="3"/>
  <c r="G22" i="3" s="1"/>
  <c r="H22" i="3" s="1"/>
  <c r="F28" i="3"/>
  <c r="G28" i="3" s="1"/>
  <c r="H28" i="3" s="1"/>
  <c r="F40" i="3"/>
  <c r="G40" i="3" s="1"/>
  <c r="H40" i="3" s="1"/>
  <c r="F5" i="3"/>
  <c r="G5" i="3" s="1"/>
  <c r="H5" i="3" s="1"/>
  <c r="F39" i="10"/>
  <c r="G39" i="10" s="1"/>
  <c r="H39" i="10" s="1"/>
  <c r="F24" i="9"/>
  <c r="G24" i="9" s="1"/>
  <c r="H24" i="9" s="1"/>
  <c r="F33" i="8"/>
  <c r="G33" i="8" s="1"/>
  <c r="H33" i="8" s="1"/>
  <c r="F30" i="7"/>
  <c r="G30" i="7" s="1"/>
  <c r="H30" i="7" s="1"/>
  <c r="F19" i="6"/>
  <c r="G19" i="6" s="1"/>
  <c r="H19" i="6" s="1"/>
  <c r="F40" i="6"/>
  <c r="G40" i="6" s="1"/>
  <c r="H40" i="6" s="1"/>
  <c r="F41" i="5"/>
  <c r="G41" i="5" s="1"/>
  <c r="H41" i="5" s="1"/>
  <c r="F39" i="4"/>
  <c r="G39" i="4" s="1"/>
  <c r="H39" i="4" s="1"/>
  <c r="F4" i="3"/>
  <c r="G4" i="3" s="1"/>
  <c r="H4" i="3" s="1"/>
  <c r="F5" i="2"/>
  <c r="G5" i="2" s="1"/>
  <c r="H5" i="2" s="1"/>
  <c r="F21" i="2"/>
  <c r="G21" i="2" s="1"/>
  <c r="H21" i="2" s="1"/>
  <c r="F29" i="2"/>
  <c r="G29" i="2" s="1"/>
  <c r="H29" i="2" s="1"/>
  <c r="F37" i="2"/>
  <c r="G37" i="2" s="1"/>
  <c r="H37" i="2" s="1"/>
  <c r="F6" i="1"/>
  <c r="G6" i="1" s="1"/>
  <c r="H6" i="1" s="1"/>
  <c r="F14" i="1"/>
  <c r="G14" i="1" s="1"/>
  <c r="H14" i="1" s="1"/>
  <c r="F30" i="1"/>
  <c r="G30" i="1" s="1"/>
  <c r="H30" i="1" s="1"/>
  <c r="F38" i="1"/>
  <c r="G38" i="1" s="1"/>
  <c r="H38" i="1" s="1"/>
  <c r="F6" i="2"/>
  <c r="G6" i="2" s="1"/>
  <c r="H6" i="2" s="1"/>
  <c r="F14" i="2"/>
  <c r="G14" i="2" s="1"/>
  <c r="H14" i="2" s="1"/>
  <c r="F22" i="2"/>
  <c r="G22" i="2" s="1"/>
  <c r="H22" i="2" s="1"/>
  <c r="F30" i="2"/>
  <c r="G30" i="2" s="1"/>
  <c r="H30" i="2" s="1"/>
  <c r="F38" i="2"/>
  <c r="G38" i="2" s="1"/>
  <c r="H38" i="2" s="1"/>
  <c r="F7" i="1"/>
  <c r="G7" i="1" s="1"/>
  <c r="H7" i="1" s="1"/>
  <c r="F15" i="1"/>
  <c r="G15" i="1" s="1"/>
  <c r="H15" i="1" s="1"/>
  <c r="F23" i="1"/>
  <c r="G23" i="1" s="1"/>
  <c r="H23" i="1" s="1"/>
  <c r="F31" i="1"/>
  <c r="G31" i="1" s="1"/>
  <c r="H31" i="1" s="1"/>
  <c r="F39" i="1"/>
  <c r="G39" i="1" s="1"/>
  <c r="H39" i="1" s="1"/>
  <c r="F7" i="2"/>
  <c r="G7" i="2" s="1"/>
  <c r="H7" i="2" s="1"/>
  <c r="F15" i="2"/>
  <c r="G15" i="2" s="1"/>
  <c r="H15" i="2" s="1"/>
  <c r="F23" i="2"/>
  <c r="G23" i="2" s="1"/>
  <c r="H23" i="2" s="1"/>
  <c r="F31" i="2"/>
  <c r="G31" i="2" s="1"/>
  <c r="H31" i="2" s="1"/>
  <c r="F39" i="2"/>
  <c r="G39" i="2" s="1"/>
  <c r="H39" i="2" s="1"/>
  <c r="F8" i="1"/>
  <c r="G8" i="1" s="1"/>
  <c r="H8" i="1" s="1"/>
  <c r="F16" i="1"/>
  <c r="G16" i="1" s="1"/>
  <c r="H16" i="1" s="1"/>
  <c r="F24" i="1"/>
  <c r="G24" i="1" s="1"/>
  <c r="H24" i="1" s="1"/>
  <c r="F32" i="1"/>
  <c r="G32" i="1" s="1"/>
  <c r="H32" i="1" s="1"/>
  <c r="F40" i="1"/>
  <c r="G40" i="1" s="1"/>
  <c r="H40" i="1" s="1"/>
  <c r="F8" i="2"/>
  <c r="G8" i="2" s="1"/>
  <c r="H8" i="2" s="1"/>
  <c r="F16" i="2"/>
  <c r="G16" i="2" s="1"/>
  <c r="H16" i="2" s="1"/>
  <c r="F24" i="2"/>
  <c r="G24" i="2" s="1"/>
  <c r="H24" i="2" s="1"/>
  <c r="F32" i="2"/>
  <c r="G32" i="2" s="1"/>
  <c r="H32" i="2" s="1"/>
  <c r="F40" i="2"/>
  <c r="G40" i="2" s="1"/>
  <c r="H40" i="2" s="1"/>
  <c r="F9" i="1"/>
  <c r="G9" i="1" s="1"/>
  <c r="H9" i="1" s="1"/>
  <c r="F17" i="1"/>
  <c r="G17" i="1" s="1"/>
  <c r="H17" i="1" s="1"/>
  <c r="F25" i="1"/>
  <c r="G25" i="1" s="1"/>
  <c r="H25" i="1" s="1"/>
  <c r="F33" i="1"/>
  <c r="G33" i="1" s="1"/>
  <c r="H33" i="1" s="1"/>
  <c r="F41" i="1"/>
  <c r="G41" i="1" s="1"/>
  <c r="H41" i="1" s="1"/>
  <c r="F26" i="2"/>
  <c r="G26" i="2" s="1"/>
  <c r="H26" i="2" s="1"/>
  <c r="F19" i="2"/>
  <c r="G19" i="2" s="1"/>
  <c r="H19" i="2" s="1"/>
  <c r="F4" i="2"/>
  <c r="G4" i="2" s="1"/>
  <c r="H4" i="2" s="1"/>
  <c r="F28" i="1"/>
  <c r="G28" i="1" s="1"/>
  <c r="H28" i="1" s="1"/>
  <c r="F9" i="2"/>
  <c r="G9" i="2" s="1"/>
  <c r="H9" i="2" s="1"/>
  <c r="F17" i="2"/>
  <c r="G17" i="2" s="1"/>
  <c r="H17" i="2" s="1"/>
  <c r="F25" i="2"/>
  <c r="G25" i="2" s="1"/>
  <c r="H25" i="2" s="1"/>
  <c r="F33" i="2"/>
  <c r="G33" i="2" s="1"/>
  <c r="H33" i="2" s="1"/>
  <c r="F41" i="2"/>
  <c r="G41" i="2" s="1"/>
  <c r="H41" i="2" s="1"/>
  <c r="F10" i="1"/>
  <c r="G10" i="1" s="1"/>
  <c r="H10" i="1" s="1"/>
  <c r="F18" i="1"/>
  <c r="G18" i="1" s="1"/>
  <c r="H18" i="1" s="1"/>
  <c r="F26" i="1"/>
  <c r="G26" i="1" s="1"/>
  <c r="H26" i="1" s="1"/>
  <c r="F34" i="1"/>
  <c r="G34" i="1" s="1"/>
  <c r="H34" i="1" s="1"/>
  <c r="F42" i="1"/>
  <c r="G42" i="1" s="1"/>
  <c r="H42" i="1" s="1"/>
  <c r="F18" i="2"/>
  <c r="G18" i="2" s="1"/>
  <c r="H18" i="2" s="1"/>
  <c r="F27" i="1"/>
  <c r="G27" i="1" s="1"/>
  <c r="H27" i="1" s="1"/>
  <c r="F11" i="2"/>
  <c r="G11" i="2" s="1"/>
  <c r="H11" i="2" s="1"/>
  <c r="F35" i="2"/>
  <c r="G35" i="2" s="1"/>
  <c r="H35" i="2" s="1"/>
  <c r="F12" i="1"/>
  <c r="G12" i="1" s="1"/>
  <c r="H12" i="1" s="1"/>
  <c r="F20" i="1"/>
  <c r="G20" i="1" s="1"/>
  <c r="H20" i="1" s="1"/>
  <c r="F36" i="1"/>
  <c r="G36" i="1" s="1"/>
  <c r="H36" i="1" s="1"/>
  <c r="F44" i="1"/>
  <c r="G44" i="1" s="1"/>
  <c r="H44" i="1" s="1"/>
  <c r="F10" i="2"/>
  <c r="G10" i="2" s="1"/>
  <c r="H10" i="2" s="1"/>
  <c r="F34" i="2"/>
  <c r="G34" i="2" s="1"/>
  <c r="H34" i="2" s="1"/>
  <c r="F42" i="2"/>
  <c r="G42" i="2" s="1"/>
  <c r="H42" i="2" s="1"/>
  <c r="F11" i="1"/>
  <c r="G11" i="1" s="1"/>
  <c r="H11" i="1" s="1"/>
  <c r="F19" i="1"/>
  <c r="G19" i="1" s="1"/>
  <c r="H19" i="1" s="1"/>
  <c r="F35" i="1"/>
  <c r="G35" i="1" s="1"/>
  <c r="H35" i="1" s="1"/>
  <c r="F43" i="1"/>
  <c r="G43" i="1" s="1"/>
  <c r="H43" i="1" s="1"/>
  <c r="F27" i="2"/>
  <c r="G27" i="2" s="1"/>
  <c r="H27" i="2" s="1"/>
  <c r="F12" i="2"/>
  <c r="G12" i="2" s="1"/>
  <c r="H12" i="2" s="1"/>
  <c r="F20" i="2"/>
  <c r="G20" i="2" s="1"/>
  <c r="H20" i="2" s="1"/>
  <c r="F28" i="2"/>
  <c r="G28" i="2" s="1"/>
  <c r="H28" i="2" s="1"/>
  <c r="F36" i="2"/>
  <c r="G36" i="2" s="1"/>
  <c r="H36" i="2" s="1"/>
  <c r="F13" i="1"/>
  <c r="G13" i="1" s="1"/>
  <c r="H13" i="1" s="1"/>
  <c r="F21" i="1"/>
  <c r="G21" i="1" s="1"/>
  <c r="H21" i="1" s="1"/>
  <c r="F29" i="1"/>
  <c r="G29" i="1" s="1"/>
  <c r="H29" i="1" s="1"/>
  <c r="F37" i="1"/>
  <c r="G37" i="1" s="1"/>
  <c r="H37" i="1" s="1"/>
  <c r="F4" i="1"/>
  <c r="G4" i="1" s="1"/>
  <c r="H4" i="1" s="1"/>
  <c r="F13" i="2"/>
  <c r="G13" i="2" s="1"/>
  <c r="H13" i="2" s="1"/>
  <c r="F22" i="1"/>
  <c r="G22" i="1" s="1"/>
  <c r="H22" i="1" s="1"/>
  <c r="C1" i="10"/>
  <c r="C1" i="11"/>
  <c r="C1" i="9"/>
  <c r="C1" i="8"/>
  <c r="C1" i="7"/>
  <c r="C1" i="6"/>
  <c r="C1" i="5"/>
  <c r="C1" i="4"/>
  <c r="C1" i="3"/>
  <c r="C1" i="2"/>
  <c r="C1" i="1"/>
</calcChain>
</file>

<file path=xl/sharedStrings.xml><?xml version="1.0" encoding="utf-8"?>
<sst xmlns="http://schemas.openxmlformats.org/spreadsheetml/2006/main" count="276" uniqueCount="27">
  <si>
    <t>alpha</t>
  </si>
  <si>
    <t>alpha(rad)</t>
  </si>
  <si>
    <t>CL_2D</t>
  </si>
  <si>
    <t>CD_2D</t>
  </si>
  <si>
    <t>CM</t>
  </si>
  <si>
    <t>CL_3D</t>
  </si>
  <si>
    <t>CD_i_3D</t>
  </si>
  <si>
    <t>CD_3D</t>
  </si>
  <si>
    <t>------</t>
  </si>
  <si>
    <t>--------</t>
  </si>
  <si>
    <t>---------</t>
  </si>
  <si>
    <t>S_projetée</t>
  </si>
  <si>
    <t>Corde Moyenne</t>
  </si>
  <si>
    <t>Viscosité cinematique eau</t>
  </si>
  <si>
    <t>Envergure</t>
  </si>
  <si>
    <t>AR</t>
  </si>
  <si>
    <t>K</t>
  </si>
  <si>
    <t>AR_efficace</t>
  </si>
  <si>
    <t>car 1 tourbillon marginal</t>
  </si>
  <si>
    <t>Xp_2D_%corde</t>
  </si>
  <si>
    <t>L1</t>
  </si>
  <si>
    <t>L2</t>
  </si>
  <si>
    <t>h</t>
  </si>
  <si>
    <t>delta</t>
  </si>
  <si>
    <t>SAFRAN</t>
  </si>
  <si>
    <t>Xp_3D_repSafran</t>
  </si>
  <si>
    <t>Zp_3D_repSafran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</si>
</sst>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44"/>
  <sheetViews>
    <sheetView tabSelected="1" zoomScale="94" workbookViewId="0">
      <selection activeCell="N9" sqref="N9"/>
    </sheetView>
  </sheetViews>
  <sheetFormatPr baseColWidth="10" defaultColWidth="8.88671875" defaultRowHeight="14.4" x14ac:dyDescent="0.3"/>
  <cols>
    <col min="1" max="8" width="11.44140625" customWidth="1"/>
    <col min="9" max="9" width="15.21875" customWidth="1"/>
    <col min="10" max="10" width="14.44140625" customWidth="1"/>
    <col min="11" max="11" width="16.21875" customWidth="1"/>
    <col min="12" max="12" width="10.44140625" customWidth="1"/>
  </cols>
  <sheetData>
    <row r="1" spans="1:12" x14ac:dyDescent="0.3">
      <c r="A1">
        <v>0.1</v>
      </c>
      <c r="C1" s="2">
        <f>A1*'Données géométriques'!B2/'Données géométriques'!F2</f>
        <v>15600.794438927505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2.7799999999999998E-2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2.7799999999999998E-2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(-1.4569*A4^3 +61.208*A4*2 - 95.626*A4 + 5538.4)*10^-6</f>
        <v>5.5383999999999997E-3</v>
      </c>
    </row>
    <row r="5" spans="1:12" x14ac:dyDescent="0.3">
      <c r="A5">
        <v>0.5</v>
      </c>
      <c r="B5">
        <f t="shared" ref="B5:B44" si="0">A5*PI()/180</f>
        <v>8.7266462599716477E-3</v>
      </c>
      <c r="C5">
        <f t="shared" ref="C5:E6" si="1">(C$7-C$4)/1.5*$A5+C$4</f>
        <v>3.3533333333333332E-2</v>
      </c>
      <c r="D5">
        <f t="shared" si="1"/>
        <v>2.8383333333333333E-2</v>
      </c>
      <c r="E5">
        <f t="shared" si="1"/>
        <v>4.3333333333333331E-4</v>
      </c>
      <c r="F5">
        <f>C5/(1+2/'Données géométriques'!$B$6)</f>
        <v>2.2491441347027179E-2</v>
      </c>
      <c r="G5">
        <f>F5^2/(PI()*'Données géométriques'!$B$6)</f>
        <v>3.9525822306471727E-5</v>
      </c>
      <c r="H5">
        <f t="shared" ref="H5:H44" si="2">D5+G5</f>
        <v>2.8422859155639805E-2</v>
      </c>
      <c r="I5">
        <f>0.25-E5/(C5*COS(B5)+D5*SIN(B5))</f>
        <v>0.23717179961573889</v>
      </c>
      <c r="J5">
        <f>XCP_3D('Données géométriques'!$B$9,'Données géométriques'!$B$10,'Données géométriques'!$B$11,'Données géométriques'!$B$12,I5)</f>
        <v>-3.7259689719636252E-2</v>
      </c>
      <c r="K5">
        <f>ZCP_3D('Données géométriques'!$B$9,'Données géométriques'!$B$10,'Données géométriques'!$B$11)</f>
        <v>-0.15998400159986725</v>
      </c>
      <c r="L5">
        <f t="shared" ref="L5:L44" si="3">(-1.4569*A5^3 +61.208*A5*2 - 95.626*A5 + 5538.4)*10^-6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f t="shared" si="1"/>
        <v>6.7066666666666663E-2</v>
      </c>
      <c r="D6">
        <f t="shared" si="1"/>
        <v>2.8966666666666665E-2</v>
      </c>
      <c r="E6">
        <f t="shared" si="1"/>
        <v>8.6666666666666663E-4</v>
      </c>
      <c r="F6">
        <f>C6/(1+2/'Données géométriques'!$B$6)</f>
        <v>4.4982882694054357E-2</v>
      </c>
      <c r="G6">
        <f>F6^2/(PI()*'Données géométriques'!$B$6)</f>
        <v>1.5810328922588691E-4</v>
      </c>
      <c r="H6">
        <f t="shared" si="2"/>
        <v>2.9124769955892551E-2</v>
      </c>
      <c r="I6">
        <f t="shared" ref="I6:I44" si="4">0.25-E6/(C6*COS(B6)+D6*SIN(B6))</f>
        <v>0.23717227445460065</v>
      </c>
      <c r="J6">
        <f>XCP_3D('Données géométriques'!$B$9,'Données géométriques'!$B$10,'Données géométriques'!$B$11,'Données géométriques'!$B$12,I6)</f>
        <v>-3.7259764316818288E-2</v>
      </c>
      <c r="K6">
        <f>ZCP_3D('Données géométriques'!$B$9,'Données géométriques'!$B$10,'Données géométriques'!$B$11)</f>
        <v>-0.15998400159986725</v>
      </c>
      <c r="L6">
        <f t="shared" si="3"/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0.10059999999999999</v>
      </c>
      <c r="D7">
        <v>2.955E-2</v>
      </c>
      <c r="E7">
        <v>1.2999999999999999E-3</v>
      </c>
      <c r="F7">
        <f>C7/(1+2/'Données géométriques'!$B$6)</f>
        <v>6.7474324041081543E-2</v>
      </c>
      <c r="G7">
        <f>F7^2/(PI()*'Données géométriques'!$B$6)</f>
        <v>3.5573240075824564E-4</v>
      </c>
      <c r="H7">
        <f t="shared" si="2"/>
        <v>2.9905732400758247E-2</v>
      </c>
      <c r="I7">
        <f t="shared" si="4"/>
        <v>0.23717177705251619</v>
      </c>
      <c r="J7">
        <f>XCP_3D('Données géométriques'!$B$9,'Données géométriques'!$B$10,'Données géométriques'!$B$11,'Données géométriques'!$B$12,I7)</f>
        <v>-3.7259686174962683E-2</v>
      </c>
      <c r="K7">
        <f>ZCP_3D('Données géométriques'!$B$9,'Données géométriques'!$B$10,'Données géométriques'!$B$11)</f>
        <v>-0.15998400159986725</v>
      </c>
      <c r="L7">
        <f t="shared" si="3"/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0.1946</v>
      </c>
      <c r="D8">
        <v>3.0380000000000001E-2</v>
      </c>
      <c r="E8">
        <v>-7.7000000000000002E-3</v>
      </c>
      <c r="F8">
        <f>C8/(1+2/'Données géométriques'!$B$6)</f>
        <v>0.13052190316495496</v>
      </c>
      <c r="G8">
        <f>F8^2/(PI()*'Données géométriques'!$B$6)</f>
        <v>1.3311075101575564E-3</v>
      </c>
      <c r="H8">
        <f t="shared" si="2"/>
        <v>3.1711107510157557E-2</v>
      </c>
      <c r="I8">
        <f t="shared" si="4"/>
        <v>0.28937778967409877</v>
      </c>
      <c r="J8">
        <f>XCP_3D('Données géométriques'!$B$9,'Données géométriques'!$B$10,'Données géométriques'!$B$11,'Données géométriques'!$B$12,I8)</f>
        <v>-4.5461250757811426E-2</v>
      </c>
      <c r="K8">
        <f>ZCP_3D('Données géométriques'!$B$9,'Données géométriques'!$B$10,'Données géométriques'!$B$11)</f>
        <v>-0.15998400159986725</v>
      </c>
      <c r="L8">
        <f t="shared" si="3"/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0.28920000000000001</v>
      </c>
      <c r="D9">
        <v>3.09E-2</v>
      </c>
      <c r="E9">
        <v>-1.5100000000000001E-2</v>
      </c>
      <c r="F9">
        <f>C9/(1+2/'Données géométriques'!$B$6)</f>
        <v>0.19397191364493821</v>
      </c>
      <c r="G9">
        <f>F9^2/(PI()*'Données géométriques'!$B$6)</f>
        <v>2.9398423315527434E-3</v>
      </c>
      <c r="H9">
        <f t="shared" si="2"/>
        <v>3.3839842331552746E-2</v>
      </c>
      <c r="I9">
        <f t="shared" si="4"/>
        <v>0.30202006938736486</v>
      </c>
      <c r="J9">
        <f>XCP_3D('Données géométriques'!$B$9,'Données géométriques'!$B$10,'Données géométriques'!$B$11,'Données géométriques'!$B$12,I9)</f>
        <v>-4.7447352900755663E-2</v>
      </c>
      <c r="K9">
        <f>ZCP_3D('Données géométriques'!$B$9,'Données géométriques'!$B$10,'Données géométriques'!$B$11)</f>
        <v>-0.15998400159986725</v>
      </c>
      <c r="L9">
        <f t="shared" si="3"/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0.36130000000000001</v>
      </c>
      <c r="D10">
        <v>3.1269999999999999E-2</v>
      </c>
      <c r="E10">
        <v>-1.72E-2</v>
      </c>
      <c r="F10">
        <f>C10/(1+2/'Données géométriques'!$B$6)</f>
        <v>0.24233074827080281</v>
      </c>
      <c r="G10">
        <f>F10^2/(PI()*'Données géométriques'!$B$6)</f>
        <v>4.5884223341003316E-3</v>
      </c>
      <c r="H10">
        <f t="shared" si="2"/>
        <v>3.5858422334100332E-2</v>
      </c>
      <c r="I10">
        <f t="shared" si="4"/>
        <v>0.29745594785130597</v>
      </c>
      <c r="J10">
        <f>XCP_3D('Données géométriques'!$B$9,'Données géométriques'!$B$10,'Données géométriques'!$B$11,'Données géométriques'!$B$12,I10)</f>
        <v>-4.6730329407452517E-2</v>
      </c>
      <c r="K10">
        <f>ZCP_3D('Données géométriques'!$B$9,'Données géométriques'!$B$10,'Données géométriques'!$B$11)</f>
        <v>-0.15998400159986725</v>
      </c>
      <c r="L10">
        <f t="shared" si="3"/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0.42320000000000002</v>
      </c>
      <c r="D11">
        <v>3.1600000000000003E-2</v>
      </c>
      <c r="E11">
        <v>-1.6400000000000001E-2</v>
      </c>
      <c r="F11">
        <f>C11/(1+2/'Données géométriques'!$B$6)</f>
        <v>0.28384824984280033</v>
      </c>
      <c r="G11">
        <f>F11^2/(PI()*'Données géométriques'!$B$6)</f>
        <v>6.2953340480750167E-3</v>
      </c>
      <c r="H11">
        <f t="shared" si="2"/>
        <v>3.7895334048075019E-2</v>
      </c>
      <c r="I11">
        <f t="shared" si="4"/>
        <v>0.28864827374674712</v>
      </c>
      <c r="J11">
        <f>XCP_3D('Données géométriques'!$B$9,'Données géométriques'!$B$10,'Données géométriques'!$B$11,'Données géométriques'!$B$12,I11)</f>
        <v>-4.5346643805621638E-2</v>
      </c>
      <c r="K11">
        <f>ZCP_3D('Données géométriques'!$B$9,'Données géométriques'!$B$10,'Données géométriques'!$B$11)</f>
        <v>-0.15998400159986725</v>
      </c>
      <c r="L11">
        <f t="shared" si="3"/>
        <v>5.5697004124999989E-3</v>
      </c>
    </row>
    <row r="12" spans="1:12" x14ac:dyDescent="0.3">
      <c r="A12">
        <v>4</v>
      </c>
      <c r="B12">
        <f>A12*PI()/180</f>
        <v>6.9813170079773182E-2</v>
      </c>
      <c r="C12">
        <v>0.4753</v>
      </c>
      <c r="D12">
        <v>3.2009999999999997E-2</v>
      </c>
      <c r="E12">
        <v>-1.34E-2</v>
      </c>
      <c r="F12">
        <f>C12/(1+2/'Données géométriques'!$B$6)</f>
        <v>0.31879270593167053</v>
      </c>
      <c r="G12">
        <f>F12^2/(PI()*'Données géométriques'!$B$6)</f>
        <v>7.9407786552268232E-3</v>
      </c>
      <c r="H12">
        <f t="shared" si="2"/>
        <v>3.9950778655226823E-2</v>
      </c>
      <c r="I12">
        <f t="shared" si="4"/>
        <v>0.27812909419807436</v>
      </c>
      <c r="J12">
        <f>XCP_3D('Données géométriques'!$B$9,'Données géométriques'!$B$10,'Données géométriques'!$B$11,'Données géométriques'!$B$12,I12)</f>
        <v>-4.369408069853549E-2</v>
      </c>
      <c r="K12">
        <f>ZCP_3D('Données géométriques'!$B$9,'Données géométriques'!$B$10,'Données géométriques'!$B$11)</f>
        <v>-0.15998400159986725</v>
      </c>
      <c r="L12">
        <f t="shared" si="3"/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0.52059999999999995</v>
      </c>
      <c r="D13">
        <v>3.2599999999999997E-2</v>
      </c>
      <c r="E13">
        <v>-8.9999999999999993E-3</v>
      </c>
      <c r="F13">
        <f>C13/(1+2/'Données géométriques'!$B$6)</f>
        <v>0.34917627331796269</v>
      </c>
      <c r="G13">
        <f>F13^2/(PI()*'Données géométriques'!$B$6)</f>
        <v>9.5265530323789885E-3</v>
      </c>
      <c r="H13">
        <f t="shared" si="2"/>
        <v>4.2126553032378986E-2</v>
      </c>
      <c r="I13">
        <f t="shared" si="4"/>
        <v>0.26725615843443601</v>
      </c>
      <c r="J13">
        <f>XCP_3D('Données géométriques'!$B$9,'Données géométriques'!$B$10,'Données géométriques'!$B$11,'Données géométriques'!$B$12,I13)</f>
        <v>-4.1985942490052469E-2</v>
      </c>
      <c r="K13">
        <f>ZCP_3D('Données géométriques'!$B$9,'Données géométriques'!$B$10,'Données géométriques'!$B$11)</f>
        <v>-0.15998400159986725</v>
      </c>
      <c r="L13">
        <f t="shared" si="3"/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0.56120000000000003</v>
      </c>
      <c r="D14">
        <v>3.3430000000000001E-2</v>
      </c>
      <c r="E14">
        <v>-4.1000000000000003E-3</v>
      </c>
      <c r="F14">
        <f>C14/(1+2/'Données géométriques'!$B$6)</f>
        <v>0.37640746174806128</v>
      </c>
      <c r="G14">
        <f>F14^2/(PI()*'Données géométriques'!$B$6)</f>
        <v>1.1070386575088438E-2</v>
      </c>
      <c r="H14">
        <f t="shared" si="2"/>
        <v>4.4500386575088438E-2</v>
      </c>
      <c r="I14">
        <f t="shared" si="4"/>
        <v>0.2572956582084942</v>
      </c>
      <c r="J14">
        <f>XCP_3D('Données géométriques'!$B$9,'Données géométriques'!$B$10,'Données géométriques'!$B$11,'Données géométriques'!$B$12,I14)</f>
        <v>-4.0421147904565094E-2</v>
      </c>
      <c r="K14">
        <f>ZCP_3D('Données géométriques'!$B$9,'Données géométriques'!$B$10,'Données géométriques'!$B$11)</f>
        <v>-0.15998400159986725</v>
      </c>
      <c r="L14">
        <f t="shared" si="3"/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0.59660000000000002</v>
      </c>
      <c r="D15">
        <v>3.4729999999999997E-2</v>
      </c>
      <c r="E15">
        <v>8.0000000000000004E-4</v>
      </c>
      <c r="F15">
        <f>C15/(1+2/'Données géométriques'!$B$6)</f>
        <v>0.40015091175854123</v>
      </c>
      <c r="G15">
        <f>F15^2/(PI()*'Données géométriques'!$B$6)</f>
        <v>1.2511055767228392E-2</v>
      </c>
      <c r="H15">
        <f t="shared" si="2"/>
        <v>4.7241055767228389E-2</v>
      </c>
      <c r="I15">
        <f t="shared" si="4"/>
        <v>0.24866037510703903</v>
      </c>
      <c r="J15">
        <f>XCP_3D('Données géométriques'!$B$9,'Données géométriques'!$B$10,'Données géométriques'!$B$11,'Données géométriques'!$B$12,I15)</f>
        <v>-3.9064544929325117E-2</v>
      </c>
      <c r="K15">
        <f>ZCP_3D('Données géométriques'!$B$9,'Données géométriques'!$B$10,'Données géométriques'!$B$11)</f>
        <v>-0.15998400159986725</v>
      </c>
      <c r="L15">
        <f t="shared" si="3"/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0.63029999999999997</v>
      </c>
      <c r="D16">
        <v>3.6400000000000002E-2</v>
      </c>
      <c r="E16">
        <v>5.4000000000000003E-3</v>
      </c>
      <c r="F16">
        <f>C16/(1+2/'Données géométriques'!$B$6)</f>
        <v>0.42275413959337671</v>
      </c>
      <c r="G16">
        <f>F16^2/(PI()*'Données géométriques'!$B$6)</f>
        <v>1.3964393433074552E-2</v>
      </c>
      <c r="H16">
        <f t="shared" si="2"/>
        <v>5.0364393433074556E-2</v>
      </c>
      <c r="I16">
        <f t="shared" si="4"/>
        <v>0.24143743282544733</v>
      </c>
      <c r="J16">
        <f>XCP_3D('Données géométriques'!$B$9,'Données géométriques'!$B$10,'Données géométriques'!$B$11,'Données géométriques'!$B$12,I16)</f>
        <v>-3.7929820696877475E-2</v>
      </c>
      <c r="K16">
        <f>ZCP_3D('Données géométriques'!$B$9,'Données géométriques'!$B$10,'Données géométriques'!$B$11)</f>
        <v>-0.15998400159986725</v>
      </c>
      <c r="L16">
        <f t="shared" si="3"/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0.6623</v>
      </c>
      <c r="D17">
        <v>3.8589999999999999E-2</v>
      </c>
      <c r="E17">
        <v>9.4999999999999998E-3</v>
      </c>
      <c r="F17">
        <f>C17/(1+2/'Données géométriques'!$B$6)</f>
        <v>0.44421714525256767</v>
      </c>
      <c r="G17">
        <f>F17^2/(PI()*'Données géométriques'!$B$6)</f>
        <v>1.5418317052297929E-2</v>
      </c>
      <c r="H17">
        <f t="shared" si="2"/>
        <v>5.400831705229793E-2</v>
      </c>
      <c r="I17">
        <f t="shared" si="4"/>
        <v>0.23565845401178614</v>
      </c>
      <c r="J17">
        <f>XCP_3D('Données géométriques'!$B$9,'Données géométriques'!$B$10,'Données géométriques'!$B$11,'Données géométriques'!$B$12,I17)</f>
        <v>-3.7021943125265189E-2</v>
      </c>
      <c r="K17">
        <f>ZCP_3D('Données géométriques'!$B$9,'Données géométriques'!$B$10,'Données géométriques'!$B$11)</f>
        <v>-0.15998400159986725</v>
      </c>
      <c r="L17">
        <f t="shared" si="3"/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0.69320000000000004</v>
      </c>
      <c r="D18">
        <v>4.1329999999999999E-2</v>
      </c>
      <c r="E18">
        <v>1.29E-2</v>
      </c>
      <c r="F18">
        <f>C18/(1+2/'Données géométriques'!$B$6)</f>
        <v>0.46494236009222395</v>
      </c>
      <c r="G18">
        <f>F18^2/(PI()*'Données géométriques'!$B$6)</f>
        <v>1.6890580274074533E-2</v>
      </c>
      <c r="H18">
        <f t="shared" si="2"/>
        <v>5.8220580274074535E-2</v>
      </c>
      <c r="I18">
        <f t="shared" si="4"/>
        <v>0.23138715750288416</v>
      </c>
      <c r="J18">
        <f>XCP_3D('Données géométriques'!$B$9,'Données géométriques'!$B$10,'Données géométriques'!$B$11,'Données géométriques'!$B$12,I18)</f>
        <v>-3.6350922443702818E-2</v>
      </c>
      <c r="K18">
        <f>ZCP_3D('Données géométriques'!$B$9,'Données géométriques'!$B$10,'Données géométriques'!$B$11)</f>
        <v>-0.15998400159986725</v>
      </c>
      <c r="L18">
        <f t="shared" si="3"/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0.72550000000000003</v>
      </c>
      <c r="D19">
        <v>4.462E-2</v>
      </c>
      <c r="E19">
        <v>1.5599999999999999E-2</v>
      </c>
      <c r="F19">
        <f>C19/(1+2/'Données géométriques'!$B$6)</f>
        <v>0.48660658142946978</v>
      </c>
      <c r="G19">
        <f>F19^2/(PI()*'Données géométriques'!$B$6)</f>
        <v>1.8501302134726706E-2</v>
      </c>
      <c r="H19">
        <f t="shared" si="2"/>
        <v>6.3121302134726706E-2</v>
      </c>
      <c r="I19">
        <f t="shared" si="4"/>
        <v>0.22848624015901853</v>
      </c>
      <c r="J19">
        <f>XCP_3D('Données géométriques'!$B$9,'Données géométriques'!$B$10,'Données géométriques'!$B$11,'Données géométriques'!$B$12,I19)</f>
        <v>-3.589518832899604E-2</v>
      </c>
      <c r="K19">
        <f>ZCP_3D('Données géométriques'!$B$9,'Données géométriques'!$B$10,'Données géométriques'!$B$11)</f>
        <v>-0.15998400159986725</v>
      </c>
      <c r="L19">
        <f t="shared" si="3"/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0.75490000000000002</v>
      </c>
      <c r="D20">
        <v>4.8649999999999999E-2</v>
      </c>
      <c r="E20">
        <v>1.78E-2</v>
      </c>
      <c r="F20">
        <f>C20/(1+2/'Données géométriques'!$B$6)</f>
        <v>0.5063257178788515</v>
      </c>
      <c r="G20">
        <f>F20^2/(PI()*'Données géométriques'!$B$6)</f>
        <v>2.0031169810859346E-2</v>
      </c>
      <c r="H20">
        <f t="shared" si="2"/>
        <v>6.8681169810859338E-2</v>
      </c>
      <c r="I20">
        <f t="shared" si="4"/>
        <v>0.22640271716127366</v>
      </c>
      <c r="J20">
        <f>XCP_3D('Données géométriques'!$B$9,'Données géométriques'!$B$10,'Données géométriques'!$B$11,'Données géométriques'!$B$12,I20)</f>
        <v>-3.5567866866034206E-2</v>
      </c>
      <c r="K20">
        <f>ZCP_3D('Données géométriques'!$B$9,'Données géométriques'!$B$10,'Données géométriques'!$B$11)</f>
        <v>-0.15998400159986725</v>
      </c>
      <c r="L20">
        <f t="shared" si="3"/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0.78349999999999997</v>
      </c>
      <c r="D21">
        <v>5.289E-2</v>
      </c>
      <c r="E21">
        <v>0.02</v>
      </c>
      <c r="F21">
        <f>C21/(1+2/'Données géométriques'!$B$6)</f>
        <v>0.52550827918675336</v>
      </c>
      <c r="G21">
        <f>F21^2/(PI()*'Données géométriques'!$B$6)</f>
        <v>2.1577715540886482E-2</v>
      </c>
      <c r="H21">
        <f t="shared" si="2"/>
        <v>7.4467715540886478E-2</v>
      </c>
      <c r="I21">
        <f t="shared" si="4"/>
        <v>0.22444780325241531</v>
      </c>
      <c r="J21">
        <f>XCP_3D('Données géométriques'!$B$9,'Données géométriques'!$B$10,'Données géométriques'!$B$11,'Données géométriques'!$B$12,I21)</f>
        <v>-3.5260749890963332E-2</v>
      </c>
      <c r="K21">
        <f>ZCP_3D('Données géométriques'!$B$9,'Données géométriques'!$B$10,'Données géométriques'!$B$11)</f>
        <v>-0.15998400159986725</v>
      </c>
      <c r="L21">
        <f t="shared" si="3"/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0.80069999999999997</v>
      </c>
      <c r="D22">
        <v>5.8459999999999998E-2</v>
      </c>
      <c r="E22">
        <v>2.1899999999999999E-2</v>
      </c>
      <c r="F22">
        <f>C22/(1+2/'Données géométriques'!$B$6)</f>
        <v>0.5370446447285685</v>
      </c>
      <c r="G22">
        <f>F22^2/(PI()*'Données géométriques'!$B$6)</f>
        <v>2.2535495879889924E-2</v>
      </c>
      <c r="H22">
        <f t="shared" si="2"/>
        <v>8.0995495879889925E-2</v>
      </c>
      <c r="I22">
        <f t="shared" si="4"/>
        <v>0.22262456244266729</v>
      </c>
      <c r="J22">
        <f>XCP_3D('Données géométriques'!$B$9,'Données géométriques'!$B$10,'Données géométriques'!$B$11,'Données géométriques'!$B$12,I22)</f>
        <v>-3.4974318759751398E-2</v>
      </c>
      <c r="K22">
        <f>ZCP_3D('Données géométriques'!$B$9,'Données géométriques'!$B$10,'Données géométriques'!$B$11)</f>
        <v>-0.15998400159986725</v>
      </c>
      <c r="L22">
        <f t="shared" si="3"/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0.80130000000000001</v>
      </c>
      <c r="D23">
        <v>6.5530000000000005E-2</v>
      </c>
      <c r="E23">
        <v>2.35E-2</v>
      </c>
      <c r="F23">
        <f>C23/(1+2/'Données géométriques'!$B$6)</f>
        <v>0.53744707608467834</v>
      </c>
      <c r="G23">
        <f>F23^2/(PI()*'Données géométriques'!$B$6)</f>
        <v>2.2569282225791538E-2</v>
      </c>
      <c r="H23">
        <f t="shared" si="2"/>
        <v>8.8099282225791539E-2</v>
      </c>
      <c r="I23">
        <f t="shared" si="4"/>
        <v>0.22066629533396112</v>
      </c>
      <c r="J23">
        <f>XCP_3D('Données géométriques'!$B$9,'Données géométriques'!$B$10,'Données géométriques'!$B$11,'Données géométriques'!$B$12,I23)</f>
        <v>-3.4666674996967975E-2</v>
      </c>
      <c r="K23">
        <f>ZCP_3D('Données géométriques'!$B$9,'Données géométriques'!$B$10,'Données géométriques'!$B$11)</f>
        <v>-0.15998400159986725</v>
      </c>
      <c r="L23">
        <f t="shared" si="3"/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0.77980000000000005</v>
      </c>
      <c r="D24">
        <v>7.4510000000000007E-2</v>
      </c>
      <c r="E24">
        <v>2.3800000000000002E-2</v>
      </c>
      <c r="F24">
        <f>C24/(1+2/'Données géométriques'!$B$6)</f>
        <v>0.52302661915740944</v>
      </c>
      <c r="G24">
        <f>F24^2/(PI()*'Données géométriques'!$B$6)</f>
        <v>2.1374399561040924E-2</v>
      </c>
      <c r="H24">
        <f t="shared" si="2"/>
        <v>9.5884399561040931E-2</v>
      </c>
      <c r="I24">
        <f t="shared" si="4"/>
        <v>0.2195220186143779</v>
      </c>
      <c r="J24">
        <f>XCP_3D('Données géométriques'!$B$9,'Données géométriques'!$B$10,'Données géométriques'!$B$11,'Données géométriques'!$B$12,I24)</f>
        <v>-3.448690912431724E-2</v>
      </c>
      <c r="K24">
        <f>ZCP_3D('Données géométriques'!$B$9,'Données géométriques'!$B$10,'Données géométriques'!$B$11)</f>
        <v>-0.15998400159986725</v>
      </c>
      <c r="L24">
        <f t="shared" si="3"/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0.73060000000000003</v>
      </c>
      <c r="D25">
        <v>8.7669999999999998E-2</v>
      </c>
      <c r="E25">
        <v>1.9099999999999999E-2</v>
      </c>
      <c r="F25">
        <f>C25/(1+2/'Données géométriques'!$B$6)</f>
        <v>0.49002724795640334</v>
      </c>
      <c r="G25">
        <f>F25^2/(PI()*'Données géométriques'!$B$6)</f>
        <v>1.8762331182961636E-2</v>
      </c>
      <c r="H25">
        <f t="shared" si="2"/>
        <v>0.10643233118296164</v>
      </c>
      <c r="I25">
        <f t="shared" si="4"/>
        <v>0.22399034268728357</v>
      </c>
      <c r="J25">
        <f>XCP_3D('Données géométriques'!$B$9,'Données géométriques'!$B$10,'Données géométriques'!$B$11,'Données géométriques'!$B$12,I25)</f>
        <v>-3.5188882836187416E-2</v>
      </c>
      <c r="K25">
        <f>ZCP_3D('Données géométriques'!$B$9,'Données géométriques'!$B$10,'Données géométriques'!$B$11)</f>
        <v>-0.15998400159986725</v>
      </c>
      <c r="L25">
        <f t="shared" si="3"/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0.69330000000000003</v>
      </c>
      <c r="D26">
        <v>0.10274999999999999</v>
      </c>
      <c r="E26">
        <v>1.06E-2</v>
      </c>
      <c r="F26">
        <f>C26/(1+2/'Données géométriques'!$B$6)</f>
        <v>0.46500943198490891</v>
      </c>
      <c r="G26">
        <f>F26^2/(PI()*'Données géométriques'!$B$6)</f>
        <v>1.6895453845505306E-2</v>
      </c>
      <c r="H26">
        <f t="shared" si="2"/>
        <v>0.1196454538455053</v>
      </c>
      <c r="I26">
        <f t="shared" si="4"/>
        <v>0.23486077087735896</v>
      </c>
      <c r="J26">
        <f>XCP_3D('Données géométriques'!$B$9,'Données géométriques'!$B$10,'Données géométriques'!$B$11,'Données géométriques'!$B$12,I26)</f>
        <v>-3.6896627104840589E-2</v>
      </c>
      <c r="K26">
        <f>ZCP_3D('Données géométriques'!$B$9,'Données géométriques'!$B$10,'Données géométriques'!$B$11)</f>
        <v>-0.15998400159986725</v>
      </c>
      <c r="L26">
        <f t="shared" si="3"/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0.69599999999999995</v>
      </c>
      <c r="D27">
        <v>0.11118</v>
      </c>
      <c r="E27">
        <v>8.3999999999999995E-3</v>
      </c>
      <c r="F27">
        <f>C27/(1+2/'Données géométriques'!$B$6)</f>
        <v>0.4668203730874031</v>
      </c>
      <c r="G27">
        <f>F27^2/(PI()*'Données géométriques'!$B$6)</f>
        <v>1.7027306009440999E-2</v>
      </c>
      <c r="H27">
        <f t="shared" si="2"/>
        <v>0.128207306009441</v>
      </c>
      <c r="I27">
        <f t="shared" si="4"/>
        <v>0.23807145744619915</v>
      </c>
      <c r="J27">
        <f>XCP_3D('Données géométriques'!$B$9,'Données géométriques'!$B$10,'Données géométriques'!$B$11,'Données géométriques'!$B$12,I27)</f>
        <v>-3.7401025964807738E-2</v>
      </c>
      <c r="K27">
        <f>ZCP_3D('Données géométriques'!$B$9,'Données géométriques'!$B$10,'Données géométriques'!$B$11)</f>
        <v>-0.15998400159986725</v>
      </c>
      <c r="L27">
        <f t="shared" si="3"/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0.67269999999999996</v>
      </c>
      <c r="D28">
        <v>0.12501000000000001</v>
      </c>
      <c r="E28">
        <v>6.9999999999999999E-4</v>
      </c>
      <c r="F28">
        <f>C28/(1+2/'Données géométriques'!$B$6)</f>
        <v>0.45119262209180466</v>
      </c>
      <c r="G28">
        <f>F28^2/(PI()*'Données géométriques'!$B$6)</f>
        <v>1.5906342048654522E-2</v>
      </c>
      <c r="H28">
        <f t="shared" si="2"/>
        <v>0.14091634204865452</v>
      </c>
      <c r="I28">
        <f t="shared" si="4"/>
        <v>0.24897659461875826</v>
      </c>
      <c r="J28">
        <f>XCP_3D('Données géométriques'!$B$9,'Données géométriques'!$B$10,'Données géométriques'!$B$11,'Données géométriques'!$B$12,I28)</f>
        <v>-3.9114223014619427E-2</v>
      </c>
      <c r="K28">
        <f>ZCP_3D('Données géométriques'!$B$9,'Données géométriques'!$B$10,'Données géométriques'!$B$11)</f>
        <v>-0.15998400159986725</v>
      </c>
      <c r="L28">
        <f t="shared" si="3"/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0.66239999999999999</v>
      </c>
      <c r="D29">
        <v>0.13603000000000001</v>
      </c>
      <c r="E29">
        <v>-4.7000000000000002E-3</v>
      </c>
      <c r="F29">
        <f>C29/(1+2/'Données géométriques'!$B$6)</f>
        <v>0.44428421714525262</v>
      </c>
      <c r="G29">
        <f>F29^2/(PI()*'Données géométriques'!$B$6)</f>
        <v>1.5422973395662039E-2</v>
      </c>
      <c r="H29">
        <f t="shared" si="2"/>
        <v>0.15145297339566205</v>
      </c>
      <c r="I29">
        <f t="shared" si="4"/>
        <v>0.25695121534929116</v>
      </c>
      <c r="J29">
        <f>XCP_3D('Données géométriques'!$B$9,'Données géométriques'!$B$10,'Données géométriques'!$B$11,'Données géométriques'!$B$12,I29)</f>
        <v>-4.0367035931384278E-2</v>
      </c>
      <c r="K29">
        <f>ZCP_3D('Données géométriques'!$B$9,'Données géométriques'!$B$10,'Données géométriques'!$B$11)</f>
        <v>-0.15998400159986725</v>
      </c>
      <c r="L29">
        <f t="shared" si="3"/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0.6623</v>
      </c>
      <c r="D30">
        <v>0.14537</v>
      </c>
      <c r="E30">
        <v>-8.8000000000000005E-3</v>
      </c>
      <c r="F30">
        <f>C30/(1+2/'Données géométriques'!$B$6)</f>
        <v>0.44421714525256767</v>
      </c>
      <c r="G30">
        <f>F30^2/(PI()*'Données géométriques'!$B$6)</f>
        <v>1.5418317052297929E-2</v>
      </c>
      <c r="H30">
        <f t="shared" si="2"/>
        <v>0.16078831705229793</v>
      </c>
      <c r="I30">
        <f t="shared" si="4"/>
        <v>0.26297884511252467</v>
      </c>
      <c r="J30">
        <f>XCP_3D('Données géométriques'!$B$9,'Données géométriques'!$B$10,'Données géométriques'!$B$11,'Données géométriques'!$B$12,I30)</f>
        <v>-4.131397656717984E-2</v>
      </c>
      <c r="K30">
        <f>ZCP_3D('Données géométriques'!$B$9,'Données géométriques'!$B$10,'Données géométriques'!$B$11)</f>
        <v>-0.15998400159986725</v>
      </c>
      <c r="L30">
        <f t="shared" si="3"/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0.66969999999999996</v>
      </c>
      <c r="D31">
        <v>0.15379999999999999</v>
      </c>
      <c r="E31">
        <v>-1.18E-2</v>
      </c>
      <c r="F31">
        <f>C31/(1+2/'Données géométriques'!$B$6)</f>
        <v>0.44918046531125555</v>
      </c>
      <c r="G31">
        <f>F31^2/(PI()*'Données géométriques'!$B$6)</f>
        <v>1.5764785273566128E-2</v>
      </c>
      <c r="H31">
        <f t="shared" si="2"/>
        <v>0.16956478527356611</v>
      </c>
      <c r="I31">
        <f t="shared" si="4"/>
        <v>0.26717362747672491</v>
      </c>
      <c r="J31">
        <f>XCP_3D('Données géométriques'!$B$9,'Données géométriques'!$B$10,'Données géométriques'!$B$11,'Données géométriques'!$B$12,I31)</f>
        <v>-4.197297687661089E-2</v>
      </c>
      <c r="K31">
        <f>ZCP_3D('Données géométriques'!$B$9,'Données géométriques'!$B$10,'Données géométriques'!$B$11)</f>
        <v>-0.15998400159986725</v>
      </c>
      <c r="L31">
        <f t="shared" si="3"/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0.67689999999999995</v>
      </c>
      <c r="D32">
        <v>0.16225000000000001</v>
      </c>
      <c r="E32">
        <v>-1.52E-2</v>
      </c>
      <c r="F32">
        <f>C32/(1+2/'Données géométriques'!$B$6)</f>
        <v>0.45400964158457346</v>
      </c>
      <c r="G32">
        <f>F32^2/(PI()*'Données géométriques'!$B$6)</f>
        <v>1.6105584474997655E-2</v>
      </c>
      <c r="H32">
        <f t="shared" si="2"/>
        <v>0.17835558447499766</v>
      </c>
      <c r="I32">
        <f t="shared" si="4"/>
        <v>0.27183766839480117</v>
      </c>
      <c r="J32">
        <f>XCP_3D('Données géométriques'!$B$9,'Données géométriques'!$B$10,'Données géométriques'!$B$11,'Données géométriques'!$B$12,I32)</f>
        <v>-4.2705697704825185E-2</v>
      </c>
      <c r="K32">
        <f>ZCP_3D('Données géométriques'!$B$9,'Données géométriques'!$B$10,'Données géométriques'!$B$11)</f>
        <v>-0.15998400159986725</v>
      </c>
      <c r="L32">
        <f t="shared" si="3"/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0.68089999999999995</v>
      </c>
      <c r="D33">
        <v>0.17113999999999999</v>
      </c>
      <c r="E33">
        <v>-1.9699999999999999E-2</v>
      </c>
      <c r="F33">
        <f>C33/(1+2/'Données géométriques'!$B$6)</f>
        <v>0.45669251729197236</v>
      </c>
      <c r="G33">
        <f>F33^2/(PI()*'Données géométriques'!$B$6)</f>
        <v>1.6296492092414249E-2</v>
      </c>
      <c r="H33">
        <f t="shared" si="2"/>
        <v>0.18743649209241423</v>
      </c>
      <c r="I33">
        <f t="shared" si="4"/>
        <v>0.27806020931477687</v>
      </c>
      <c r="J33">
        <f>XCP_3D('Données géométriques'!$B$9,'Données géométriques'!$B$10,'Données géométriques'!$B$11,'Données géométriques'!$B$12,I33)</f>
        <v>-4.3683258883369318E-2</v>
      </c>
      <c r="K33">
        <f>ZCP_3D('Données géométriques'!$B$9,'Données géométriques'!$B$10,'Données géométriques'!$B$11)</f>
        <v>-0.15998400159986725</v>
      </c>
      <c r="L33">
        <f t="shared" si="3"/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0.68679999999999997</v>
      </c>
      <c r="D34">
        <v>0.17937</v>
      </c>
      <c r="E34">
        <v>-2.4E-2</v>
      </c>
      <c r="F34">
        <f>C34/(1+2/'Données géométriques'!$B$6)</f>
        <v>0.46064975896038568</v>
      </c>
      <c r="G34">
        <f>F34^2/(PI()*'Données géométriques'!$B$6)</f>
        <v>1.6580133949685195E-2</v>
      </c>
      <c r="H34">
        <f t="shared" si="2"/>
        <v>0.19595013394968519</v>
      </c>
      <c r="I34">
        <f t="shared" si="4"/>
        <v>0.28381128259818628</v>
      </c>
      <c r="J34">
        <f>XCP_3D('Données géométriques'!$B$9,'Données géométriques'!$B$10,'Données géométriques'!$B$11,'Données géométriques'!$B$12,I34)</f>
        <v>-4.4586752496170418E-2</v>
      </c>
      <c r="K34">
        <f>ZCP_3D('Données géométriques'!$B$9,'Données géométriques'!$B$10,'Données géométriques'!$B$11)</f>
        <v>-0.15998400159986725</v>
      </c>
      <c r="L34">
        <f t="shared" si="3"/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0.69450000000000001</v>
      </c>
      <c r="D35">
        <v>0.18704999999999999</v>
      </c>
      <c r="E35">
        <v>-2.81E-2</v>
      </c>
      <c r="F35">
        <f>C35/(1+2/'Données géométriques'!$B$6)</f>
        <v>0.46581429469712854</v>
      </c>
      <c r="G35">
        <f>F35^2/(PI()*'Données géométriques'!$B$6)</f>
        <v>1.6953991536943824E-2</v>
      </c>
      <c r="H35">
        <f t="shared" si="2"/>
        <v>0.20400399153694382</v>
      </c>
      <c r="I35">
        <f t="shared" si="4"/>
        <v>0.28906965350067798</v>
      </c>
      <c r="J35">
        <f>XCP_3D('Données géométriques'!$B$9,'Données géométriques'!$B$10,'Données géométriques'!$B$11,'Données géométriques'!$B$12,I35)</f>
        <v>-4.5412842564962988E-2</v>
      </c>
      <c r="K35">
        <f>ZCP_3D('Données géométriques'!$B$9,'Données géométriques'!$B$10,'Données géométriques'!$B$11)</f>
        <v>-0.15998400159986725</v>
      </c>
      <c r="L35">
        <f t="shared" si="3"/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0.70609999999999995</v>
      </c>
      <c r="D36">
        <v>0.19489999999999999</v>
      </c>
      <c r="E36">
        <v>-3.2000000000000001E-2</v>
      </c>
      <c r="F36">
        <f>C36/(1+2/'Données géométriques'!$B$6)</f>
        <v>0.47359463424858522</v>
      </c>
      <c r="G36">
        <f>F36^2/(PI()*'Données géométriques'!$B$6)</f>
        <v>1.7525074985143607E-2</v>
      </c>
      <c r="H36">
        <f t="shared" si="2"/>
        <v>0.2124250749851436</v>
      </c>
      <c r="I36">
        <f t="shared" si="4"/>
        <v>0.29368787934207857</v>
      </c>
      <c r="J36">
        <f>XCP_3D('Données géométriques'!$B$9,'Données géométriques'!$B$10,'Données géométriques'!$B$11,'Données géométriques'!$B$12,I36)</f>
        <v>-4.61383658446404E-2</v>
      </c>
      <c r="K36">
        <f>ZCP_3D('Données géométriques'!$B$9,'Données géométriques'!$B$10,'Données géométriques'!$B$11)</f>
        <v>-0.15998400159986725</v>
      </c>
      <c r="L36">
        <f t="shared" si="3"/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0.71930000000000005</v>
      </c>
      <c r="D37">
        <v>0.20265</v>
      </c>
      <c r="E37">
        <v>-3.5799999999999998E-2</v>
      </c>
      <c r="F37">
        <f>C37/(1+2/'Données géométriques'!$B$6)</f>
        <v>0.48244812408300158</v>
      </c>
      <c r="G37">
        <f>F37^2/(PI()*'Données géométriques'!$B$6)</f>
        <v>1.8186435324631399E-2</v>
      </c>
      <c r="H37">
        <f t="shared" si="2"/>
        <v>0.2208364353246314</v>
      </c>
      <c r="I37">
        <f t="shared" si="4"/>
        <v>0.29790997774739902</v>
      </c>
      <c r="J37">
        <f>XCP_3D('Données géométriques'!$B$9,'Données géométriques'!$B$10,'Données géométriques'!$B$11,'Données géométriques'!$B$12,I37)</f>
        <v>-4.6801657504119833E-2</v>
      </c>
      <c r="K37">
        <f>ZCP_3D('Données géométriques'!$B$9,'Données géométriques'!$B$10,'Données géométriques'!$B$11)</f>
        <v>-0.15998400159986725</v>
      </c>
      <c r="L37">
        <f t="shared" si="3"/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0.73660000000000003</v>
      </c>
      <c r="D38">
        <v>0.21090999999999999</v>
      </c>
      <c r="E38">
        <v>-3.9E-2</v>
      </c>
      <c r="F38">
        <f>C38/(1+2/'Données géométriques'!$B$6)</f>
        <v>0.49405156151750168</v>
      </c>
      <c r="G38">
        <f>F38^2/(PI()*'Données géométriques'!$B$6)</f>
        <v>1.9071765182380136E-2</v>
      </c>
      <c r="H38">
        <f t="shared" si="2"/>
        <v>0.22998176518238012</v>
      </c>
      <c r="I38">
        <f t="shared" si="4"/>
        <v>0.3009086409536198</v>
      </c>
      <c r="J38">
        <f>XCP_3D('Données géométriques'!$B$9,'Données géométriques'!$B$10,'Données géométriques'!$B$11,'Données géométriques'!$B$12,I38)</f>
        <v>-4.7272747493822972E-2</v>
      </c>
      <c r="K38">
        <f>ZCP_3D('Données géométriques'!$B$9,'Données géométriques'!$B$10,'Données géométriques'!$B$11)</f>
        <v>-0.15998400159986725</v>
      </c>
      <c r="L38">
        <f t="shared" si="3"/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0.75090000000000001</v>
      </c>
      <c r="D39">
        <v>0.22525000000000001</v>
      </c>
      <c r="E39">
        <v>-4.6800000000000001E-2</v>
      </c>
      <c r="F39">
        <f>C39/(1+2/'Données géométriques'!$B$6)</f>
        <v>0.50364284217145261</v>
      </c>
      <c r="G39">
        <f>F39^2/(PI()*'Données géométriques'!$B$6)</f>
        <v>1.9819453291264482E-2</v>
      </c>
      <c r="H39">
        <f t="shared" si="2"/>
        <v>0.24506945329126448</v>
      </c>
      <c r="I39">
        <f t="shared" si="4"/>
        <v>0.30970301274744377</v>
      </c>
      <c r="J39">
        <f>XCP_3D('Données géométriques'!$B$9,'Données géométriques'!$B$10,'Données géométriques'!$B$11,'Données géométriques'!$B$12,I39)</f>
        <v>-4.8654343302638327E-2</v>
      </c>
      <c r="K39">
        <f>ZCP_3D('Données géométriques'!$B$9,'Données géométriques'!$B$10,'Données géométriques'!$B$11)</f>
        <v>-0.15998400159986725</v>
      </c>
      <c r="L39">
        <f t="shared" si="3"/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0.76539999999999997</v>
      </c>
      <c r="D40">
        <v>0.23236000000000001</v>
      </c>
      <c r="E40">
        <v>-5.0700000000000002E-2</v>
      </c>
      <c r="F40">
        <f>C40/(1+2/'Données géométriques'!$B$6)</f>
        <v>0.5133682666107735</v>
      </c>
      <c r="G40">
        <f>F40^2/(PI()*'Données géométriques'!$B$6)</f>
        <v>2.0592277288573969E-2</v>
      </c>
      <c r="H40">
        <f t="shared" si="2"/>
        <v>0.252952277288574</v>
      </c>
      <c r="I40">
        <f t="shared" si="4"/>
        <v>0.3133954572080444</v>
      </c>
      <c r="J40">
        <f>XCP_3D('Données géométriques'!$B$9,'Données géométriques'!$B$10,'Données géométriques'!$B$11,'Données géométriques'!$B$12,I40)</f>
        <v>-4.9234426327389544E-2</v>
      </c>
      <c r="K40">
        <f>ZCP_3D('Données géométriques'!$B$9,'Données géométriques'!$B$10,'Données géométriques'!$B$11)</f>
        <v>-0.15998400159986725</v>
      </c>
      <c r="L40">
        <f t="shared" si="3"/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0.77510000000000001</v>
      </c>
      <c r="D41">
        <v>0.23705000000000001</v>
      </c>
      <c r="E41">
        <v>-5.5399999999999998E-2</v>
      </c>
      <c r="F41">
        <f>C41/(1+2/'Données géométriques'!$B$6)</f>
        <v>0.51987424020121575</v>
      </c>
      <c r="G41">
        <f>F41^2/(PI()*'Données géométriques'!$B$6)</f>
        <v>2.1117521045186421E-2</v>
      </c>
      <c r="H41">
        <f t="shared" si="2"/>
        <v>0.25816752104518642</v>
      </c>
      <c r="I41">
        <f t="shared" si="4"/>
        <v>0.31837288410124492</v>
      </c>
      <c r="J41">
        <f>XCP_3D('Données géométriques'!$B$9,'Données géométriques'!$B$10,'Données géométriques'!$B$11,'Données géométriques'!$B$12,I41)</f>
        <v>-5.0016380092317007E-2</v>
      </c>
      <c r="K41">
        <f>ZCP_3D('Données géométriques'!$B$9,'Données géométriques'!$B$10,'Données géométriques'!$B$11)</f>
        <v>-0.15998400159986725</v>
      </c>
      <c r="L41">
        <f t="shared" si="3"/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0.78610000000000002</v>
      </c>
      <c r="D42">
        <v>0.24154999999999999</v>
      </c>
      <c r="E42">
        <v>-0.06</v>
      </c>
      <c r="F42">
        <f>C42/(1+2/'Données géométriques'!$B$6)</f>
        <v>0.52725214839656265</v>
      </c>
      <c r="G42">
        <f>F42^2/(PI()*'Données géométriques'!$B$6)</f>
        <v>2.1721161989253775E-2</v>
      </c>
      <c r="H42">
        <f t="shared" si="2"/>
        <v>0.26327116198925377</v>
      </c>
      <c r="I42">
        <f t="shared" si="4"/>
        <v>0.32300041461910967</v>
      </c>
      <c r="J42">
        <f>XCP_3D('Données géométriques'!$B$9,'Données géométriques'!$B$10,'Données géométriques'!$B$11,'Données géométriques'!$B$12,I42)</f>
        <v>-5.0743365136666163E-2</v>
      </c>
      <c r="K42">
        <f>ZCP_3D('Données géométriques'!$B$9,'Données géométriques'!$B$10,'Données géométriques'!$B$11)</f>
        <v>-0.15998400159986725</v>
      </c>
      <c r="L42">
        <f t="shared" si="3"/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0.80349999999999999</v>
      </c>
      <c r="D43">
        <v>0.24820999999999999</v>
      </c>
      <c r="E43">
        <v>-6.3500000000000001E-2</v>
      </c>
      <c r="F43">
        <f>C43/(1+2/'Données géométriques'!$B$6)</f>
        <v>0.5389226577237477</v>
      </c>
      <c r="G43">
        <f>F43^2/(PI()*'Données géométriques'!$B$6)</f>
        <v>2.2693382019160647E-2</v>
      </c>
      <c r="H43">
        <f t="shared" si="2"/>
        <v>0.27090338201916064</v>
      </c>
      <c r="I43">
        <f t="shared" si="4"/>
        <v>0.32557124974527507</v>
      </c>
      <c r="J43">
        <f>XCP_3D('Données géométriques'!$B$9,'Données géométriques'!$B$10,'Données géométriques'!$B$11,'Données géométriques'!$B$12,I43)</f>
        <v>-5.1147243334988761E-2</v>
      </c>
      <c r="K43">
        <f>ZCP_3D('Données géométriques'!$B$9,'Données géométriques'!$B$10,'Données géométriques'!$B$11)</f>
        <v>-0.15998400159986725</v>
      </c>
      <c r="L43">
        <f t="shared" si="3"/>
        <v>-4.7419263874999996E-3</v>
      </c>
    </row>
    <row r="44" spans="1:12" x14ac:dyDescent="0.3">
      <c r="A44">
        <v>20</v>
      </c>
      <c r="B44">
        <f t="shared" si="0"/>
        <v>0.3490658503988659</v>
      </c>
      <c r="C44">
        <v>0.82469999999999999</v>
      </c>
      <c r="D44">
        <v>0.25749</v>
      </c>
      <c r="E44">
        <v>-6.6400000000000001E-2</v>
      </c>
      <c r="F44">
        <f>C44/(1+2/'Données géométriques'!$B$6)</f>
        <v>0.55314189897296173</v>
      </c>
      <c r="G44">
        <f>F44^2/(PI()*'Données géométriques'!$B$6)</f>
        <v>2.3906690052885638E-2</v>
      </c>
      <c r="H44">
        <f t="shared" si="2"/>
        <v>0.28139669005288565</v>
      </c>
      <c r="I44">
        <f t="shared" si="4"/>
        <v>0.32693811594787525</v>
      </c>
      <c r="J44">
        <f>XCP_3D('Données géométriques'!$B$9,'Données géométriques'!$B$10,'Données géométriques'!$B$11,'Données géométriques'!$B$12,I44)</f>
        <v>-5.1361978015426232E-2</v>
      </c>
      <c r="K44">
        <f>ZCP_3D('Données géométriques'!$B$9,'Données géométriques'!$B$10,'Données géométriques'!$B$11)</f>
        <v>-0.15998400159986725</v>
      </c>
      <c r="L44">
        <f t="shared" si="3"/>
        <v>-5.5810000000000018E-3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51CA4-7620-4268-9F96-F91EA7AFF5F6}">
  <sheetPr codeName="Feuil2"/>
  <dimension ref="A1:L42"/>
  <sheetViews>
    <sheetView workbookViewId="0">
      <selection activeCell="A2" sqref="A2:L3"/>
    </sheetView>
  </sheetViews>
  <sheetFormatPr baseColWidth="10" defaultRowHeight="14.4" x14ac:dyDescent="0.3"/>
  <cols>
    <col min="10" max="10" width="14.5546875" bestFit="1" customWidth="1"/>
    <col min="11" max="11" width="14.44140625" bestFit="1" customWidth="1"/>
  </cols>
  <sheetData>
    <row r="1" spans="1:12" x14ac:dyDescent="0.3">
      <c r="A1">
        <v>0.5</v>
      </c>
      <c r="C1" s="2">
        <f>A1*'Données géométriques'!B2/'Données géométriques'!F2</f>
        <v>78003.972194637521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1.2189999999999999E-2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1.2189999999999999E-2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2" si="0">A5*PI()/180</f>
        <v>8.7266462599716477E-3</v>
      </c>
      <c r="C5">
        <v>6.3E-2</v>
      </c>
      <c r="D5">
        <v>1.2239999999999999E-2</v>
      </c>
      <c r="E5">
        <v>-1E-4</v>
      </c>
      <c r="F5">
        <f>C5/(1+2/'Données géométriques'!$B$6)</f>
        <v>4.2255292391532182E-2</v>
      </c>
      <c r="G5">
        <f>F5^2/(PI()*'Données géométriques'!$B$6)</f>
        <v>1.3951103504316814E-4</v>
      </c>
      <c r="H5">
        <f t="shared" ref="H5:H42" si="1">D5+G5</f>
        <v>1.2379511035043167E-2</v>
      </c>
      <c r="I5">
        <f>0.25-E5/(C5*COS(B5)+D5*SIN(B5))</f>
        <v>0.25158467520327704</v>
      </c>
      <c r="J5">
        <f>XCP_3D('Données géométriques'!$B$9,'Données géométriques'!$B$10,'Données géométriques'!$B$11,'Données géométriques'!$B$12,I5)</f>
        <v>-3.9523952474437712E-2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0.12659999999999999</v>
      </c>
      <c r="D6">
        <v>1.2370000000000001E-2</v>
      </c>
      <c r="E6">
        <v>-5.0000000000000001E-4</v>
      </c>
      <c r="F6">
        <f>C6/(1+2/'Données géométriques'!$B$6)</f>
        <v>8.491301613917418E-2</v>
      </c>
      <c r="G6">
        <f>F6^2/(PI()*'Données géométriques'!$B$6)</f>
        <v>5.6337150033169037E-4</v>
      </c>
      <c r="H6">
        <f t="shared" si="1"/>
        <v>1.2933371500331692E-2</v>
      </c>
      <c r="I6">
        <f t="shared" ref="I6:I42" si="2">0.25-E6/(C6*COS(B6)+D6*SIN(B6))</f>
        <v>0.25394332326226321</v>
      </c>
      <c r="J6">
        <f>XCP_3D('Données géométriques'!$B$9,'Données géométriques'!$B$10,'Données géométriques'!$B$11,'Données géométriques'!$B$12,I6)</f>
        <v>-3.9894496084512815E-2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0.18890000000000001</v>
      </c>
      <c r="D7">
        <v>1.259E-2</v>
      </c>
      <c r="E7">
        <v>-8.9999999999999998E-4</v>
      </c>
      <c r="F7">
        <f>C7/(1+2/'Données géométriques'!$B$6)</f>
        <v>0.12669880528191158</v>
      </c>
      <c r="G7">
        <f>F7^2/(PI()*'Données géométriques'!$B$6)</f>
        <v>1.2542709903660186E-3</v>
      </c>
      <c r="H7">
        <f t="shared" si="1"/>
        <v>1.3844270990366019E-2</v>
      </c>
      <c r="I7">
        <f t="shared" si="2"/>
        <v>0.25475775528268768</v>
      </c>
      <c r="J7">
        <f>XCP_3D('Données géométriques'!$B$9,'Données géométriques'!$B$10,'Données géométriques'!$B$11,'Données géométriques'!$B$12,I7)</f>
        <v>-4.0022443354920612E-2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0.25640000000000002</v>
      </c>
      <c r="D8">
        <v>1.29E-2</v>
      </c>
      <c r="E8">
        <v>-2.5999999999999999E-3</v>
      </c>
      <c r="F8">
        <f>C8/(1+2/'Données géométriques'!$B$6)</f>
        <v>0.17197233284426749</v>
      </c>
      <c r="G8">
        <f>F8^2/(PI()*'Données géométriques'!$B$6)</f>
        <v>2.3108060907864741E-3</v>
      </c>
      <c r="H8">
        <f t="shared" si="1"/>
        <v>1.5210806090786474E-2</v>
      </c>
      <c r="I8">
        <f t="shared" si="2"/>
        <v>0.26012879102339836</v>
      </c>
      <c r="J8">
        <f>XCP_3D('Données géométriques'!$B$9,'Données géométriques'!$B$10,'Données géométriques'!$B$11,'Données géométriques'!$B$12,I8)</f>
        <v>-4.0866233069778275E-2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0.3251</v>
      </c>
      <c r="D9">
        <v>1.3270000000000001E-2</v>
      </c>
      <c r="E9">
        <v>-4.8999999999999998E-3</v>
      </c>
      <c r="F9">
        <f>C9/(1+2/'Données géométriques'!$B$6)</f>
        <v>0.21805072311884305</v>
      </c>
      <c r="G9">
        <f>F9^2/(PI()*'Données géométriques'!$B$6)</f>
        <v>3.7150220934297779E-3</v>
      </c>
      <c r="H9">
        <f t="shared" si="1"/>
        <v>1.698502209342978E-2</v>
      </c>
      <c r="I9">
        <f t="shared" si="2"/>
        <v>0.26505980558723652</v>
      </c>
      <c r="J9">
        <f>XCP_3D('Données géométriques'!$B$9,'Données géométriques'!$B$10,'Données géométriques'!$B$11,'Données géométriques'!$B$12,I9)</f>
        <v>-4.164089545776925E-2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0.39500000000000002</v>
      </c>
      <c r="D10">
        <v>1.371E-2</v>
      </c>
      <c r="E10">
        <v>-7.7999999999999996E-3</v>
      </c>
      <c r="F10">
        <f>C10/(1+2/'Données géométriques'!$B$6)</f>
        <v>0.26493397610563829</v>
      </c>
      <c r="G10">
        <f>F10^2/(PI()*'Données géométriques'!$B$6)</f>
        <v>5.4843056796700209E-3</v>
      </c>
      <c r="H10">
        <f t="shared" si="1"/>
        <v>1.919430567967002E-2</v>
      </c>
      <c r="I10">
        <f t="shared" si="2"/>
        <v>0.26973803117240003</v>
      </c>
      <c r="J10">
        <f>XCP_3D('Données géométriques'!$B$9,'Données géométriques'!$B$10,'Données géométriques'!$B$11,'Données géométriques'!$B$12,I10)</f>
        <v>-4.237584469719418E-2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0.46629999999999999</v>
      </c>
      <c r="D11">
        <v>1.4239999999999999E-2</v>
      </c>
      <c r="E11">
        <v>-1.14E-2</v>
      </c>
      <c r="F11">
        <f>C11/(1+2/'Données géométriques'!$B$6)</f>
        <v>0.31275623559002308</v>
      </c>
      <c r="G11">
        <f>F11^2/(PI()*'Données géométriques'!$B$6)</f>
        <v>7.6429020325586884E-3</v>
      </c>
      <c r="H11">
        <f t="shared" si="1"/>
        <v>2.1882902032558688E-2</v>
      </c>
      <c r="I11">
        <f t="shared" si="2"/>
        <v>0.27444780201513053</v>
      </c>
      <c r="J11">
        <f>XCP_3D('Données géométriques'!$B$9,'Données géométriques'!$B$10,'Données géométriques'!$B$11,'Données géométriques'!$B$12,I11)</f>
        <v>-4.3115749696582467E-2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0.52010000000000001</v>
      </c>
      <c r="D12">
        <v>1.481E-2</v>
      </c>
      <c r="E12">
        <v>-1.15E-2</v>
      </c>
      <c r="F12">
        <f>C12/(1+2/'Données géométriques'!$B$6)</f>
        <v>0.34884091385453786</v>
      </c>
      <c r="G12">
        <f>F12^2/(PI()*'Données géométriques'!$B$6)</f>
        <v>9.5082626400673966E-3</v>
      </c>
      <c r="H12">
        <f t="shared" si="1"/>
        <v>2.4318262640067395E-2</v>
      </c>
      <c r="I12">
        <f t="shared" si="2"/>
        <v>0.27212107841436761</v>
      </c>
      <c r="J12">
        <f>XCP_3D('Données géométriques'!$B$9,'Données géométriques'!$B$10,'Données géométriques'!$B$11,'Données géométriques'!$B$12,I12)</f>
        <v>-4.275022141889985E-2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0.56169999999999998</v>
      </c>
      <c r="D13">
        <v>1.5469999999999999E-2</v>
      </c>
      <c r="E13">
        <v>-9.2999999999999992E-3</v>
      </c>
      <c r="F13">
        <f>C13/(1+2/'Données géométriques'!$B$6)</f>
        <v>0.37674282121148611</v>
      </c>
      <c r="G13">
        <f>F13^2/(PI()*'Données géométriques'!$B$6)</f>
        <v>1.1090121639493826E-2</v>
      </c>
      <c r="H13">
        <f t="shared" si="1"/>
        <v>2.6560121639493825E-2</v>
      </c>
      <c r="I13">
        <f t="shared" si="2"/>
        <v>0.26657215700454012</v>
      </c>
      <c r="J13">
        <f>XCP_3D('Données géométriques'!$B$9,'Données géométriques'!$B$10,'Données géométriques'!$B$11,'Données géométriques'!$B$12,I13)</f>
        <v>-4.1878485865425863E-2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0.60270000000000001</v>
      </c>
      <c r="D14">
        <v>1.626E-2</v>
      </c>
      <c r="E14">
        <v>-6.8999999999999999E-3</v>
      </c>
      <c r="F14">
        <f>C14/(1+2/'Données géométriques'!$B$6)</f>
        <v>0.40424229721232452</v>
      </c>
      <c r="G14">
        <f>F14^2/(PI()*'Données géométriques'!$B$6)</f>
        <v>1.2768204939411906E-2</v>
      </c>
      <c r="H14">
        <f t="shared" si="1"/>
        <v>2.9028204939411904E-2</v>
      </c>
      <c r="I14">
        <f t="shared" si="2"/>
        <v>0.26146515173022827</v>
      </c>
      <c r="J14">
        <f>XCP_3D('Données géométriques'!$B$9,'Données géométriques'!$B$10,'Données géométriques'!$B$11,'Données géométriques'!$B$12,I14)</f>
        <v>-4.1076175336830278E-2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0.64319999999999999</v>
      </c>
      <c r="D15">
        <v>1.7160000000000002E-2</v>
      </c>
      <c r="E15">
        <v>-4.4000000000000003E-3</v>
      </c>
      <c r="F15">
        <f>C15/(1+2/'Données géométriques'!$B$6)</f>
        <v>0.43140641374973804</v>
      </c>
      <c r="G15">
        <f>F15^2/(PI()*'Données géométriques'!$B$6)</f>
        <v>1.4541845741047447E-2</v>
      </c>
      <c r="H15">
        <f t="shared" si="1"/>
        <v>3.1701845741047452E-2</v>
      </c>
      <c r="I15">
        <f t="shared" si="2"/>
        <v>0.25685482594837405</v>
      </c>
      <c r="J15">
        <f>XCP_3D('Données géométriques'!$B$9,'Données géométriques'!$B$10,'Données géométriques'!$B$11,'Données géométriques'!$B$12,I15)</f>
        <v>-4.0351893156498772E-2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0.68310000000000004</v>
      </c>
      <c r="D16">
        <v>1.8180000000000002E-2</v>
      </c>
      <c r="E16">
        <v>-1.9E-3</v>
      </c>
      <c r="F16">
        <f>C16/(1+2/'Données géométriques'!$B$6)</f>
        <v>0.45816809893104182</v>
      </c>
      <c r="G16">
        <f>F16^2/(PI()*'Données géométriques'!$B$6)</f>
        <v>1.6401970730347621E-2</v>
      </c>
      <c r="H16">
        <f t="shared" si="1"/>
        <v>3.4581970730347619E-2</v>
      </c>
      <c r="I16">
        <f t="shared" si="2"/>
        <v>0.25278895711589289</v>
      </c>
      <c r="J16">
        <f>XCP_3D('Données géométriques'!$B$9,'Données géométriques'!$B$10,'Données géométriques'!$B$11,'Données géométriques'!$B$12,I16)</f>
        <v>-3.9713145162919648E-2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0.72260000000000002</v>
      </c>
      <c r="D17">
        <v>1.9269999999999999E-2</v>
      </c>
      <c r="E17">
        <v>6.9999999999999999E-4</v>
      </c>
      <c r="F17">
        <f>C17/(1+2/'Données géométriques'!$B$6)</f>
        <v>0.48466149654160562</v>
      </c>
      <c r="G17">
        <f>F17^2/(PI()*'Données géométriques'!$B$6)</f>
        <v>1.8353689336401326E-2</v>
      </c>
      <c r="H17">
        <f t="shared" si="1"/>
        <v>3.7623689336401325E-2</v>
      </c>
      <c r="I17">
        <f t="shared" si="2"/>
        <v>0.24902796199091659</v>
      </c>
      <c r="J17">
        <f>XCP_3D('Données géométriques'!$B$9,'Données géométriques'!$B$10,'Données géométriques'!$B$11,'Données géométriques'!$B$12,I17)</f>
        <v>-3.9122292828787458E-2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0.76160000000000005</v>
      </c>
      <c r="D18">
        <v>2.0459999999999999E-2</v>
      </c>
      <c r="E18">
        <v>3.3999999999999998E-3</v>
      </c>
      <c r="F18">
        <f>C18/(1+2/'Données géométriques'!$B$6)</f>
        <v>0.51081953468874464</v>
      </c>
      <c r="G18">
        <f>F18^2/(PI()*'Données géométriques'!$B$6)</f>
        <v>2.0388314897054324E-2</v>
      </c>
      <c r="H18">
        <f t="shared" si="1"/>
        <v>4.0848314897054323E-2</v>
      </c>
      <c r="I18">
        <f t="shared" si="2"/>
        <v>0.24551697573790288</v>
      </c>
      <c r="J18">
        <f>XCP_3D('Données géométriques'!$B$9,'Données géométriques'!$B$10,'Données géométriques'!$B$11,'Données géométriques'!$B$12,I18)</f>
        <v>-3.8570716888436121E-2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0.80020000000000002</v>
      </c>
      <c r="D19">
        <v>2.1760000000000002E-2</v>
      </c>
      <c r="E19">
        <v>6.0000000000000001E-3</v>
      </c>
      <c r="F19">
        <f>C19/(1+2/'Données géométriques'!$B$6)</f>
        <v>0.53670928526514361</v>
      </c>
      <c r="G19">
        <f>F19^2/(PI()*'Données géométriques'!$B$6)</f>
        <v>2.250735992423351E-2</v>
      </c>
      <c r="H19">
        <f t="shared" si="1"/>
        <v>4.4267359924233515E-2</v>
      </c>
      <c r="I19">
        <f t="shared" si="2"/>
        <v>0.24246415223607384</v>
      </c>
      <c r="J19">
        <f>XCP_3D('Données géométriques'!$B$9,'Données géométriques'!$B$10,'Données géométriques'!$B$11,'Données géométriques'!$B$12,I19)</f>
        <v>-3.8091118316287378E-2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0.83799999999999997</v>
      </c>
      <c r="D20">
        <v>2.3210000000000001E-2</v>
      </c>
      <c r="E20">
        <v>8.6999999999999994E-3</v>
      </c>
      <c r="F20">
        <f>C20/(1+2/'Données géométriques'!$B$6)</f>
        <v>0.56206246070006294</v>
      </c>
      <c r="G20">
        <f>F20^2/(PI()*'Données géométriques'!$B$6)</f>
        <v>2.4683997806211777E-2</v>
      </c>
      <c r="H20">
        <f t="shared" si="1"/>
        <v>4.7893997806211779E-2</v>
      </c>
      <c r="I20">
        <f t="shared" si="2"/>
        <v>0.23955676070699708</v>
      </c>
      <c r="J20">
        <f>XCP_3D('Données géométriques'!$B$9,'Données géométriques'!$B$10,'Données géométriques'!$B$11,'Données géométriques'!$B$12,I20)</f>
        <v>-3.763436710706982E-2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0.87460000000000004</v>
      </c>
      <c r="D21">
        <v>2.4830000000000001E-2</v>
      </c>
      <c r="E21">
        <v>1.1299999999999999E-2</v>
      </c>
      <c r="F21">
        <f>C21/(1+2/'Données géométriques'!$B$6)</f>
        <v>0.58661077342276258</v>
      </c>
      <c r="G21">
        <f>F21^2/(PI()*'Données géométriques'!$B$6)</f>
        <v>2.6887251398881575E-2</v>
      </c>
      <c r="H21">
        <f t="shared" si="1"/>
        <v>5.1717251398881572E-2</v>
      </c>
      <c r="I21">
        <f t="shared" si="2"/>
        <v>0.23699150875116426</v>
      </c>
      <c r="J21">
        <f>XCP_3D('Données géométriques'!$B$9,'Données géométriques'!$B$10,'Données géométriques'!$B$11,'Données géométriques'!$B$12,I21)</f>
        <v>-3.7231366024807068E-2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0.90959999999999996</v>
      </c>
      <c r="D22">
        <v>2.6579999999999999E-2</v>
      </c>
      <c r="E22">
        <v>1.4E-2</v>
      </c>
      <c r="F22">
        <f>C22/(1+2/'Données géométriques'!$B$6)</f>
        <v>0.6100859358625027</v>
      </c>
      <c r="G22">
        <f>F22^2/(PI()*'Données géométriques'!$B$6)</f>
        <v>2.9082274227135729E-2</v>
      </c>
      <c r="H22">
        <f t="shared" si="1"/>
        <v>5.5662274227135725E-2</v>
      </c>
      <c r="I22">
        <f t="shared" si="2"/>
        <v>0.23448855456048506</v>
      </c>
      <c r="J22">
        <f>XCP_3D('Données géométriques'!$B$9,'Données géométriques'!$B$10,'Données géométriques'!$B$11,'Données géométriques'!$B$12,I22)</f>
        <v>-3.6838151921463842E-2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0.94430000000000003</v>
      </c>
      <c r="D23">
        <v>2.8510000000000001E-2</v>
      </c>
      <c r="E23">
        <v>1.66E-2</v>
      </c>
      <c r="F23">
        <f>C23/(1+2/'Données géométriques'!$B$6)</f>
        <v>0.63335988262418785</v>
      </c>
      <c r="G23">
        <f>F23^2/(PI()*'Données géométriques'!$B$6)</f>
        <v>3.1343496429949672E-2</v>
      </c>
      <c r="H23">
        <f t="shared" si="1"/>
        <v>5.9853496429949672E-2</v>
      </c>
      <c r="I23">
        <f t="shared" si="2"/>
        <v>0.23226599934163961</v>
      </c>
      <c r="J23">
        <f>XCP_3D('Données géométriques'!$B$9,'Données géométriques'!$B$10,'Données géométriques'!$B$11,'Données géométriques'!$B$12,I23)</f>
        <v>-3.6488988496581921E-2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0.97540000000000004</v>
      </c>
      <c r="D24">
        <v>3.066E-2</v>
      </c>
      <c r="E24">
        <v>1.9400000000000001E-2</v>
      </c>
      <c r="F24">
        <f>C24/(1+2/'Données géométriques'!$B$6)</f>
        <v>0.65421924124921416</v>
      </c>
      <c r="G24">
        <f>F24^2/(PI()*'Données géométriques'!$B$6)</f>
        <v>3.3442055585036781E-2</v>
      </c>
      <c r="H24">
        <f t="shared" si="1"/>
        <v>6.4102055585036788E-2</v>
      </c>
      <c r="I24">
        <f t="shared" si="2"/>
        <v>0.22991522018593955</v>
      </c>
      <c r="J24">
        <f>XCP_3D('Données géométriques'!$B$9,'Données géométriques'!$B$10,'Données géométriques'!$B$11,'Données géométriques'!$B$12,I24)</f>
        <v>-3.611968109121215E-2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1.0043</v>
      </c>
      <c r="D25">
        <v>3.3059999999999999E-2</v>
      </c>
      <c r="E25">
        <v>2.2200000000000001E-2</v>
      </c>
      <c r="F25">
        <f>C25/(1+2/'Données géométriques'!$B$6)</f>
        <v>0.67360301823517088</v>
      </c>
      <c r="G25">
        <f>F25^2/(PI()*'Données géométriques'!$B$6)</f>
        <v>3.5453114009467698E-2</v>
      </c>
      <c r="H25">
        <f t="shared" si="1"/>
        <v>6.851311400946769E-2</v>
      </c>
      <c r="I25">
        <f t="shared" si="2"/>
        <v>0.22765492707510468</v>
      </c>
      <c r="J25">
        <f>XCP_3D('Données géométriques'!$B$9,'Données géométriques'!$B$10,'Données géométriques'!$B$11,'Données géométriques'!$B$12,I25)</f>
        <v>-3.5764589043502035E-2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1.0278</v>
      </c>
      <c r="D26">
        <v>3.5659999999999997E-2</v>
      </c>
      <c r="E26">
        <v>2.53E-2</v>
      </c>
      <c r="F26">
        <f>C26/(1+2/'Données géométriques'!$B$6)</f>
        <v>0.68936491301613934</v>
      </c>
      <c r="G26">
        <f>F26^2/(PI()*'Données géométriques'!$B$6)</f>
        <v>3.713168765429354E-2</v>
      </c>
      <c r="H26">
        <f t="shared" si="1"/>
        <v>7.279168765429353E-2</v>
      </c>
      <c r="I26">
        <f t="shared" si="2"/>
        <v>0.22509157704574051</v>
      </c>
      <c r="J26">
        <f>XCP_3D('Données géométriques'!$B$9,'Données géométriques'!$B$10,'Données géométriques'!$B$11,'Données géométriques'!$B$12,I26)</f>
        <v>-3.5361886753885609E-2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1.0430999999999999</v>
      </c>
      <c r="D27">
        <v>3.8739999999999997E-2</v>
      </c>
      <c r="E27">
        <v>2.9100000000000001E-2</v>
      </c>
      <c r="F27">
        <f>C27/(1+2/'Données géométriques'!$B$6)</f>
        <v>0.69962691259693988</v>
      </c>
      <c r="G27">
        <f>F27^2/(PI()*'Données géométriques'!$B$6)</f>
        <v>3.8245412788535077E-2</v>
      </c>
      <c r="H27">
        <f t="shared" si="1"/>
        <v>7.6985412788535074E-2</v>
      </c>
      <c r="I27">
        <f t="shared" si="2"/>
        <v>0.22174436245853338</v>
      </c>
      <c r="J27">
        <f>XCP_3D('Données géométriques'!$B$9,'Données géométriques'!$B$10,'Données géométriques'!$B$11,'Données géométriques'!$B$12,I27)</f>
        <v>-3.4836039342238244E-2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1.0528</v>
      </c>
      <c r="D28">
        <v>4.2119999999999998E-2</v>
      </c>
      <c r="E28">
        <v>3.2399999999999998E-2</v>
      </c>
      <c r="F28">
        <f>C28/(1+2/'Données géométriques'!$B$6)</f>
        <v>0.70613288618738212</v>
      </c>
      <c r="G28">
        <f>F28^2/(PI()*'Données géométriques'!$B$6)</f>
        <v>3.8960023882000851E-2</v>
      </c>
      <c r="H28">
        <f t="shared" si="1"/>
        <v>8.1080023882000848E-2</v>
      </c>
      <c r="I28">
        <f t="shared" si="2"/>
        <v>0.21880268862613864</v>
      </c>
      <c r="J28">
        <f>XCP_3D('Données géométriques'!$B$9,'Données géométriques'!$B$10,'Données géométriques'!$B$11,'Données géométriques'!$B$12,I28)</f>
        <v>-3.4373902383172533E-2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1.0589</v>
      </c>
      <c r="D29">
        <v>4.6050000000000001E-2</v>
      </c>
      <c r="E29">
        <v>3.4500000000000003E-2</v>
      </c>
      <c r="F29">
        <f>C29/(1+2/'Données géométriques'!$B$6)</f>
        <v>0.71022427164116542</v>
      </c>
      <c r="G29">
        <f>F29^2/(PI()*'Données géométriques'!$B$6)</f>
        <v>3.9412806260805094E-2</v>
      </c>
      <c r="H29">
        <f t="shared" si="1"/>
        <v>8.5462806260805102E-2</v>
      </c>
      <c r="I29">
        <f t="shared" si="2"/>
        <v>0.21694664253348084</v>
      </c>
      <c r="J29">
        <f>XCP_3D('Données géométriques'!$B$9,'Données géométriques'!$B$10,'Données géométriques'!$B$11,'Données géométriques'!$B$12,I29)</f>
        <v>-3.4082317542020291E-2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1.0476000000000001</v>
      </c>
      <c r="D30">
        <v>5.2429999999999997E-2</v>
      </c>
      <c r="E30">
        <v>3.5200000000000002E-2</v>
      </c>
      <c r="F30">
        <f>C30/(1+2/'Données géométriques'!$B$6)</f>
        <v>0.70264514776776377</v>
      </c>
      <c r="G30">
        <f>F30^2/(PI()*'Données géométriques'!$B$6)</f>
        <v>3.8576110884867017E-2</v>
      </c>
      <c r="H30">
        <f t="shared" si="1"/>
        <v>9.1006110884867014E-2</v>
      </c>
      <c r="I30">
        <f t="shared" si="2"/>
        <v>0.21590945178889592</v>
      </c>
      <c r="J30">
        <f>XCP_3D('Données géométriques'!$B$9,'Données géométriques'!$B$10,'Données géométriques'!$B$11,'Données géométriques'!$B$12,I30)</f>
        <v>-3.3919374876049291E-2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1.0274000000000001</v>
      </c>
      <c r="D31">
        <v>6.071E-2</v>
      </c>
      <c r="E31">
        <v>3.27E-2</v>
      </c>
      <c r="F31">
        <f>C31/(1+2/'Données géométriques'!$B$6)</f>
        <v>0.6890966254453994</v>
      </c>
      <c r="G31">
        <f>F31^2/(PI()*'Données géométriques'!$B$6)</f>
        <v>3.7102791400403817E-2</v>
      </c>
      <c r="H31">
        <f t="shared" si="1"/>
        <v>9.7812791400403817E-2</v>
      </c>
      <c r="I31">
        <f t="shared" si="2"/>
        <v>0.21772554910030537</v>
      </c>
      <c r="J31">
        <f>XCP_3D('Données géométriques'!$B$9,'Données géométriques'!$B$10,'Données géométriques'!$B$11,'Données géométriques'!$B$12,I31)</f>
        <v>-3.4204683763660058E-2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0.99470000000000003</v>
      </c>
      <c r="D32">
        <v>7.2249999999999995E-2</v>
      </c>
      <c r="E32">
        <v>2.6499999999999999E-2</v>
      </c>
      <c r="F32">
        <f>C32/(1+2/'Données géométriques'!$B$6)</f>
        <v>0.6671641165374137</v>
      </c>
      <c r="G32">
        <f>F32^2/(PI()*'Données géométriques'!$B$6)</f>
        <v>3.4778568137234803E-2</v>
      </c>
      <c r="H32">
        <f t="shared" si="1"/>
        <v>0.1070285681372348</v>
      </c>
      <c r="I32">
        <f t="shared" si="2"/>
        <v>0.22303161349148076</v>
      </c>
      <c r="J32">
        <f>XCP_3D('Données géométriques'!$B$9,'Données géométriques'!$B$10,'Données géométriques'!$B$11,'Données géométriques'!$B$12,I32)</f>
        <v>-3.5038266479514267E-2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0.92300000000000004</v>
      </c>
      <c r="D33">
        <v>9.3420000000000003E-2</v>
      </c>
      <c r="E33">
        <v>1.2500000000000001E-2</v>
      </c>
      <c r="F33">
        <f>C33/(1+2/'Données géométriques'!$B$6)</f>
        <v>0.61907356948228898</v>
      </c>
      <c r="G33">
        <f>F33^2/(PI()*'Données géométriques'!$B$6)</f>
        <v>2.9945451391607758E-2</v>
      </c>
      <c r="H33">
        <f t="shared" si="1"/>
        <v>0.12336545139160776</v>
      </c>
      <c r="I33">
        <f t="shared" si="2"/>
        <v>0.23636845606190138</v>
      </c>
      <c r="J33">
        <f>XCP_3D('Données géométriques'!$B$9,'Données géométriques'!$B$10,'Données géométriques'!$B$11,'Données géométriques'!$B$12,I33)</f>
        <v>-3.7133484447324755E-2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15.5</v>
      </c>
      <c r="B34">
        <f t="shared" si="0"/>
        <v>0.27052603405912107</v>
      </c>
      <c r="C34">
        <v>0.73550000000000004</v>
      </c>
      <c r="D34">
        <v>0.16169</v>
      </c>
      <c r="E34">
        <v>-2.4199999999999999E-2</v>
      </c>
      <c r="F34">
        <f>C34/(1+2/'Données géométriques'!$B$6)</f>
        <v>0.493313770697967</v>
      </c>
      <c r="G34">
        <f>F34^2/(PI()*'Données géométriques'!$B$6)</f>
        <v>1.9014846156389771E-2</v>
      </c>
      <c r="H34">
        <f t="shared" si="1"/>
        <v>0.18070484615638976</v>
      </c>
      <c r="I34">
        <f t="shared" si="2"/>
        <v>0.28218256412789366</v>
      </c>
      <c r="J34">
        <f>XCP_3D('Données géométriques'!$B$9,'Données géométriques'!$B$10,'Données géométriques'!$B$11,'Données géométriques'!$B$12,I34)</f>
        <v>-4.4330880824503614E-2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16</v>
      </c>
      <c r="B35">
        <f t="shared" si="0"/>
        <v>0.27925268031909273</v>
      </c>
      <c r="C35">
        <v>0.7409</v>
      </c>
      <c r="D35">
        <v>0.17069999999999999</v>
      </c>
      <c r="E35">
        <v>-2.8400000000000002E-2</v>
      </c>
      <c r="F35">
        <f>C35/(1+2/'Données géométriques'!$B$6)</f>
        <v>0.49693565290295544</v>
      </c>
      <c r="G35">
        <f>F35^2/(PI()*'Données géométriques'!$B$6)</f>
        <v>1.9295083016441106E-2</v>
      </c>
      <c r="H35">
        <f t="shared" si="1"/>
        <v>0.18999508301644111</v>
      </c>
      <c r="I35">
        <f t="shared" si="2"/>
        <v>0.28740532991742046</v>
      </c>
      <c r="J35">
        <f>XCP_3D('Données géométriques'!$B$9,'Données géométriques'!$B$10,'Données géométriques'!$B$11,'Données géométriques'!$B$12,I35)</f>
        <v>-4.5151377330026783E-2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16.5</v>
      </c>
      <c r="B36">
        <f t="shared" si="0"/>
        <v>0.28797932657906439</v>
      </c>
      <c r="C36">
        <v>0.7429</v>
      </c>
      <c r="D36">
        <v>0.18165999999999999</v>
      </c>
      <c r="E36">
        <v>-3.39E-2</v>
      </c>
      <c r="F36">
        <f>C36/(1+2/'Données géométriques'!$B$6)</f>
        <v>0.49827709075665488</v>
      </c>
      <c r="G36">
        <f>F36^2/(PI()*'Données géométriques'!$B$6)</f>
        <v>1.9399394668644206E-2</v>
      </c>
      <c r="H36">
        <f t="shared" si="1"/>
        <v>0.2010593946686442</v>
      </c>
      <c r="I36">
        <f t="shared" si="2"/>
        <v>0.29437745449931368</v>
      </c>
      <c r="J36">
        <f>XCP_3D('Données géométriques'!$B$9,'Données géométriques'!$B$10,'Données géométriques'!$B$11,'Données géométriques'!$B$12,I36)</f>
        <v>-4.6246698101856658E-2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17</v>
      </c>
      <c r="B37">
        <f t="shared" si="0"/>
        <v>0.29670597283903605</v>
      </c>
      <c r="C37">
        <v>0.74739999999999995</v>
      </c>
      <c r="D37">
        <v>0.19222</v>
      </c>
      <c r="E37">
        <v>-3.95E-2</v>
      </c>
      <c r="F37">
        <f>C37/(1+2/'Données géométriques'!$B$6)</f>
        <v>0.5012953259274785</v>
      </c>
      <c r="G37">
        <f>F37^2/(PI()*'Données géométriques'!$B$6)</f>
        <v>1.963512402864968E-2</v>
      </c>
      <c r="H37">
        <f t="shared" si="1"/>
        <v>0.21185512402864967</v>
      </c>
      <c r="I37">
        <f t="shared" si="2"/>
        <v>0.30123602940825128</v>
      </c>
      <c r="J37">
        <f>XCP_3D('Données géométriques'!$B$9,'Données géométriques'!$B$10,'Données géométriques'!$B$11,'Données géométriques'!$B$12,I37)</f>
        <v>-4.7324180220044296E-2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17.5</v>
      </c>
      <c r="B38">
        <f t="shared" si="0"/>
        <v>0.30543261909900765</v>
      </c>
      <c r="C38">
        <v>0.75639999999999996</v>
      </c>
      <c r="D38">
        <v>0.20125000000000001</v>
      </c>
      <c r="E38">
        <v>-4.4400000000000002E-2</v>
      </c>
      <c r="F38">
        <f>C38/(1+2/'Données géométriques'!$B$6)</f>
        <v>0.50733179626912606</v>
      </c>
      <c r="G38">
        <f>F38^2/(PI()*'Données géométriques'!$B$6)</f>
        <v>2.0110853494631355E-2</v>
      </c>
      <c r="H38">
        <f t="shared" si="1"/>
        <v>0.22136085349463136</v>
      </c>
      <c r="I38">
        <f t="shared" si="2"/>
        <v>0.306784134612617</v>
      </c>
      <c r="J38">
        <f>XCP_3D('Données géométriques'!$B$9,'Données géométriques'!$B$10,'Données géométriques'!$B$11,'Données géométriques'!$B$12,I38)</f>
        <v>-4.8195787547655002E-2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18</v>
      </c>
      <c r="B39">
        <f t="shared" si="0"/>
        <v>0.31415926535897931</v>
      </c>
      <c r="C39">
        <v>0.76759999999999995</v>
      </c>
      <c r="D39">
        <v>0.20959</v>
      </c>
      <c r="E39">
        <v>-4.9000000000000002E-2</v>
      </c>
      <c r="F39">
        <f>C39/(1+2/'Données géométriques'!$B$6)</f>
        <v>0.51484384824984286</v>
      </c>
      <c r="G39">
        <f>F39^2/(PI()*'Données géométriques'!$B$6)</f>
        <v>2.0710824760679432E-2</v>
      </c>
      <c r="H39">
        <f t="shared" si="1"/>
        <v>0.23030082476067942</v>
      </c>
      <c r="I39">
        <f t="shared" si="2"/>
        <v>0.31165089622253211</v>
      </c>
      <c r="J39">
        <f>XCP_3D('Données géométriques'!$B$9,'Données géométriques'!$B$10,'Données géométriques'!$B$11,'Données géométriques'!$B$12,I39)</f>
        <v>-4.8960355796578439E-2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18.5</v>
      </c>
      <c r="B40">
        <f t="shared" si="0"/>
        <v>0.32288591161895097</v>
      </c>
      <c r="C40">
        <v>0.7833</v>
      </c>
      <c r="D40">
        <v>0.21587999999999999</v>
      </c>
      <c r="E40">
        <v>-5.2600000000000001E-2</v>
      </c>
      <c r="F40">
        <f>C40/(1+2/'Données géométriques'!$B$6)</f>
        <v>0.52537413540138345</v>
      </c>
      <c r="G40">
        <f>F40^2/(PI()*'Données géométriques'!$B$6)</f>
        <v>2.1566700882801042E-2</v>
      </c>
      <c r="H40">
        <f t="shared" si="1"/>
        <v>0.23744670088280104</v>
      </c>
      <c r="I40">
        <f t="shared" si="2"/>
        <v>0.31483248672967085</v>
      </c>
      <c r="J40">
        <f>XCP_3D('Données géométriques'!$B$9,'Données géométriques'!$B$10,'Données géométriques'!$B$11,'Données géométriques'!$B$12,I40)</f>
        <v>-4.9460183665230022E-2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19</v>
      </c>
      <c r="B41">
        <f t="shared" si="0"/>
        <v>0.33161255787892258</v>
      </c>
      <c r="C41">
        <v>0.79700000000000004</v>
      </c>
      <c r="D41">
        <v>0.22331000000000001</v>
      </c>
      <c r="E41">
        <v>-5.6899999999999999E-2</v>
      </c>
      <c r="F41">
        <f>C41/(1+2/'Données géométriques'!$B$6)</f>
        <v>0.53456298469922459</v>
      </c>
      <c r="G41">
        <f>F41^2/(PI()*'Données géométriques'!$B$6)</f>
        <v>2.2327705986076037E-2</v>
      </c>
      <c r="H41">
        <f t="shared" si="1"/>
        <v>0.24563770598607604</v>
      </c>
      <c r="I41">
        <f t="shared" si="2"/>
        <v>0.31886277775588739</v>
      </c>
      <c r="J41">
        <f>XCP_3D('Données géométriques'!$B$9,'Données géométriques'!$B$10,'Données géométriques'!$B$11,'Données géométriques'!$B$12,I41)</f>
        <v>-5.009334238545813E-2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19.5</v>
      </c>
      <c r="B42">
        <f t="shared" si="0"/>
        <v>0.34033920413889424</v>
      </c>
      <c r="C42">
        <v>0.81130000000000002</v>
      </c>
      <c r="D42">
        <v>0.23082</v>
      </c>
      <c r="E42">
        <v>-6.1199999999999997E-2</v>
      </c>
      <c r="F42">
        <f>C42/(1+2/'Données géométriques'!$B$6)</f>
        <v>0.54415426535317557</v>
      </c>
      <c r="G42">
        <f>F42^2/(PI()*'Données géométriques'!$B$6)</f>
        <v>2.3136113909113822E-2</v>
      </c>
      <c r="H42">
        <f t="shared" si="1"/>
        <v>0.25395611390911382</v>
      </c>
      <c r="I42">
        <f t="shared" si="2"/>
        <v>0.32270011571598722</v>
      </c>
      <c r="J42">
        <f>XCP_3D('Données géométriques'!$B$9,'Données géométriques'!$B$10,'Données géométriques'!$B$11,'Données géométriques'!$B$12,I42)</f>
        <v>-5.0696188178988418E-2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2A36-DBB2-426D-A76D-B788AAD0C0FB}">
  <sheetPr codeName="Feuil3"/>
  <dimension ref="A1:L44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1</v>
      </c>
      <c r="C1" s="2">
        <f>A1*'Données géométriques'!B2/'Données géométriques'!F2</f>
        <v>156007.94438927504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8.8900000000000003E-3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8.8900000000000003E-3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4" si="0">A5*PI()/180</f>
        <v>8.7266462599716477E-3</v>
      </c>
      <c r="C5">
        <v>5.1900000000000002E-2</v>
      </c>
      <c r="D5">
        <v>8.94E-3</v>
      </c>
      <c r="E5">
        <v>1.5E-3</v>
      </c>
      <c r="F5">
        <f>C5/(1+2/'Données géométriques'!$B$6)</f>
        <v>3.4810312303500318E-2</v>
      </c>
      <c r="G5">
        <f>F5^2/(PI()*'Données géométriques'!$B$6)</f>
        <v>9.4680856412856655E-5</v>
      </c>
      <c r="H5">
        <f>D5+G5</f>
        <v>9.0346808564128571E-3</v>
      </c>
      <c r="I5">
        <f>0.25-E5/(C5*COS(B5)+D5*SIN(B5))</f>
        <v>0.22114054807047454</v>
      </c>
      <c r="J5">
        <f>XCP_3D('Données géométriques'!$B$9,'Données géométriques'!$B$10,'Données géométriques'!$B$11,'Données géométriques'!$B$12,I5)</f>
        <v>-3.474118010188159E-2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0.1042</v>
      </c>
      <c r="D6">
        <v>9.0900000000000009E-3</v>
      </c>
      <c r="E6">
        <v>3.0000000000000001E-3</v>
      </c>
      <c r="F6">
        <f>C6/(1+2/'Données géométriques'!$B$6)</f>
        <v>6.9888912177740528E-2</v>
      </c>
      <c r="G6">
        <f>F6^2/(PI()*'Données géométriques'!$B$6)</f>
        <v>3.8164792001161603E-4</v>
      </c>
      <c r="H6">
        <f t="shared" ref="H6:H44" si="1">D6+G6</f>
        <v>9.4716479200116169E-3</v>
      </c>
      <c r="I6">
        <f t="shared" ref="I6:I44" si="2">0.25-E6/(C6*COS(B6)+D6*SIN(B6))</f>
        <v>0.22124860748411357</v>
      </c>
      <c r="J6">
        <f>XCP_3D('Données géométriques'!$B$9,'Données géométriques'!$B$10,'Données géométriques'!$B$11,'Données géométriques'!$B$12,I6)</f>
        <v>-3.4758156235767737E-2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0.1575</v>
      </c>
      <c r="D7">
        <v>9.3399999999999993E-3</v>
      </c>
      <c r="E7">
        <v>4.1000000000000003E-3</v>
      </c>
      <c r="F7">
        <f>C7/(1+2/'Données géométriques'!$B$6)</f>
        <v>0.10563823097883045</v>
      </c>
      <c r="G7">
        <f>F7^2/(PI()*'Données géométriques'!$B$6)</f>
        <v>8.7194396901980073E-4</v>
      </c>
      <c r="H7">
        <f t="shared" si="1"/>
        <v>1.02119439690198E-2</v>
      </c>
      <c r="I7">
        <f t="shared" si="2"/>
        <v>0.22399970547311529</v>
      </c>
      <c r="J7">
        <f>XCP_3D('Données géométriques'!$B$9,'Données géométriques'!$B$10,'Données géométriques'!$B$11,'Données géométriques'!$B$12,I7)</f>
        <v>-3.5190353729825687E-2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0.21299999999999999</v>
      </c>
      <c r="D8">
        <v>9.6699999999999998E-3</v>
      </c>
      <c r="E8">
        <v>4.7999999999999996E-3</v>
      </c>
      <c r="F8">
        <f>C8/(1+2/'Données géométriques'!$B$6)</f>
        <v>0.14286313141898974</v>
      </c>
      <c r="G8">
        <f>F8^2/(PI()*'Données géométriques'!$B$6)</f>
        <v>1.5947281806181642E-3</v>
      </c>
      <c r="H8">
        <f t="shared" si="1"/>
        <v>1.1264728180618164E-2</v>
      </c>
      <c r="I8">
        <f t="shared" si="2"/>
        <v>0.22748674436620261</v>
      </c>
      <c r="J8">
        <f>XCP_3D('Données géométriques'!$B$9,'Données géométriques'!$B$10,'Données géométriques'!$B$11,'Données géométriques'!$B$12,I8)</f>
        <v>-3.573816753992682E-2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0.27200000000000002</v>
      </c>
      <c r="D9">
        <v>1.01E-2</v>
      </c>
      <c r="E9">
        <v>4.4999999999999997E-3</v>
      </c>
      <c r="F9">
        <f>C9/(1+2/'Données géométriques'!$B$6)</f>
        <v>0.18243554810312307</v>
      </c>
      <c r="G9">
        <f>F9^2/(PI()*'Données géométriques'!$B$6)</f>
        <v>2.6005503695222349E-3</v>
      </c>
      <c r="H9">
        <f t="shared" si="1"/>
        <v>1.2700550369522234E-2</v>
      </c>
      <c r="I9">
        <f t="shared" si="2"/>
        <v>0.23346692499326899</v>
      </c>
      <c r="J9">
        <f>XCP_3D('Données géométriques'!$B$9,'Données géométriques'!$B$10,'Données géométriques'!$B$11,'Données géométriques'!$B$12,I9)</f>
        <v>-3.667765391645602E-2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0.33110000000000001</v>
      </c>
      <c r="D10">
        <v>1.0580000000000001E-2</v>
      </c>
      <c r="E10">
        <v>3.8999999999999998E-3</v>
      </c>
      <c r="F10">
        <f>C10/(1+2/'Données géométriques'!$B$6)</f>
        <v>0.22207503667994136</v>
      </c>
      <c r="G10">
        <f>F10^2/(PI()*'Données géométriques'!$B$6)</f>
        <v>3.8534153529843165E-3</v>
      </c>
      <c r="H10">
        <f t="shared" si="1"/>
        <v>1.4433415352984317E-2</v>
      </c>
      <c r="I10">
        <f t="shared" si="2"/>
        <v>0.23822463602344593</v>
      </c>
      <c r="J10">
        <f>XCP_3D('Données géométriques'!$B$9,'Données géométriques'!$B$10,'Données géométriques'!$B$11,'Données géométriques'!$B$12,I10)</f>
        <v>-3.7425090319281679E-2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0.39429999999999998</v>
      </c>
      <c r="D11">
        <v>1.1140000000000001E-2</v>
      </c>
      <c r="E11">
        <v>2.3E-3</v>
      </c>
      <c r="F11">
        <f>C11/(1+2/'Données géométriques'!$B$6)</f>
        <v>0.26446447285684344</v>
      </c>
      <c r="G11">
        <f>F11^2/(PI()*'Données géométriques'!$B$6)</f>
        <v>5.4648848578076597E-3</v>
      </c>
      <c r="H11">
        <f t="shared" si="1"/>
        <v>1.6604884857807659E-2</v>
      </c>
      <c r="I11">
        <f t="shared" si="2"/>
        <v>0.24416605880008732</v>
      </c>
      <c r="J11">
        <f>XCP_3D('Données géométriques'!$B$9,'Données géométriques'!$B$10,'Données géométriques'!$B$11,'Données géométriques'!$B$12,I11)</f>
        <v>-3.8358487837507407E-2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0.45850000000000002</v>
      </c>
      <c r="D12">
        <v>1.1769999999999999E-2</v>
      </c>
      <c r="E12">
        <v>2.9999999999999997E-4</v>
      </c>
      <c r="F12">
        <f>C12/(1+2/'Données géométriques'!$B$6)</f>
        <v>0.30752462796059532</v>
      </c>
      <c r="G12">
        <f>F12^2/(PI()*'Données géométriques'!$B$6)</f>
        <v>7.3893483715302723E-3</v>
      </c>
      <c r="H12">
        <f t="shared" si="1"/>
        <v>1.9159348371530271E-2</v>
      </c>
      <c r="I12">
        <f t="shared" si="2"/>
        <v>0.24934527000788745</v>
      </c>
      <c r="J12">
        <f>XCP_3D('Données géométriques'!$B$9,'Données géométriques'!$B$10,'Données géométriques'!$B$11,'Données géométriques'!$B$12,I12)</f>
        <v>-3.9172141918248742E-2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0.52459999999999996</v>
      </c>
      <c r="D13">
        <v>1.2489999999999999E-2</v>
      </c>
      <c r="E13">
        <v>-2.3999999999999998E-3</v>
      </c>
      <c r="F13">
        <f>C13/(1+2/'Données géométriques'!$B$6)</f>
        <v>0.35185914902536158</v>
      </c>
      <c r="G13">
        <f>F13^2/(PI()*'Données géométriques'!$B$6)</f>
        <v>9.673508873978505E-3</v>
      </c>
      <c r="H13">
        <f t="shared" si="1"/>
        <v>2.2163508873978506E-2</v>
      </c>
      <c r="I13">
        <f t="shared" si="2"/>
        <v>0.25458047796102373</v>
      </c>
      <c r="J13">
        <f>XCP_3D('Données géométriques'!$B$9,'Données géométriques'!$B$10,'Données géométriques'!$B$11,'Données géométriques'!$B$12,I13)</f>
        <v>-3.9994593087694034E-2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0.59209999999999996</v>
      </c>
      <c r="D14">
        <v>1.325E-2</v>
      </c>
      <c r="E14">
        <v>-5.4000000000000003E-3</v>
      </c>
      <c r="F14">
        <f>C14/(1+2/'Données géométriques'!$B$6)</f>
        <v>0.3971326765877175</v>
      </c>
      <c r="G14">
        <f>F14^2/(PI()*'Données géométriques'!$B$6)</f>
        <v>1.2323032221473504E-2</v>
      </c>
      <c r="H14">
        <f t="shared" si="1"/>
        <v>2.5573032221473502E-2</v>
      </c>
      <c r="I14">
        <f t="shared" si="2"/>
        <v>0.25913702964271168</v>
      </c>
      <c r="J14">
        <f>XCP_3D('Données géométriques'!$B$9,'Données géométriques'!$B$10,'Données géométriques'!$B$11,'Données géométriques'!$B$12,I14)</f>
        <v>-4.0710427356881872E-2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0.65620000000000001</v>
      </c>
      <c r="D15">
        <v>1.4030000000000001E-2</v>
      </c>
      <c r="E15">
        <v>-7.7999999999999996E-3</v>
      </c>
      <c r="F15">
        <f>C15/(1+2/'Données géométriques'!$B$6)</f>
        <v>0.44012575979878438</v>
      </c>
      <c r="G15">
        <f>F15^2/(PI()*'Données géométriques'!$B$6)</f>
        <v>1.5135609486614644E-2</v>
      </c>
      <c r="H15">
        <f t="shared" si="1"/>
        <v>2.9165609486614646E-2</v>
      </c>
      <c r="I15">
        <f t="shared" si="2"/>
        <v>0.26191706272024839</v>
      </c>
      <c r="J15">
        <f>XCP_3D('Données géométriques'!$B$9,'Données géométriques'!$B$10,'Données géométriques'!$B$11,'Données géométriques'!$B$12,I15)</f>
        <v>-4.1147170553359695E-2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0.69769999999999999</v>
      </c>
      <c r="D16">
        <v>1.4760000000000001E-2</v>
      </c>
      <c r="E16">
        <v>-5.4000000000000003E-3</v>
      </c>
      <c r="F16">
        <f>C16/(1+2/'Données géométriques'!$B$6)</f>
        <v>0.46796059526304762</v>
      </c>
      <c r="G16">
        <f>F16^2/(PI()*'Données géométriques'!$B$6)</f>
        <v>1.7110586961876732E-2</v>
      </c>
      <c r="H16">
        <f t="shared" si="1"/>
        <v>3.187058696187673E-2</v>
      </c>
      <c r="I16">
        <f t="shared" si="2"/>
        <v>0.25776508304037482</v>
      </c>
      <c r="J16">
        <f>XCP_3D('Données géométriques'!$B$9,'Données géométriques'!$B$10,'Données géométriques'!$B$11,'Données géométriques'!$B$12,I16)</f>
        <v>-4.0494894545646802E-2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0.73939999999999995</v>
      </c>
      <c r="D17">
        <v>1.549E-2</v>
      </c>
      <c r="E17">
        <v>-2.8999999999999998E-3</v>
      </c>
      <c r="F17">
        <f>C17/(1+2/'Données géométriques'!$B$6)</f>
        <v>0.49592957451268083</v>
      </c>
      <c r="G17">
        <f>F17^2/(PI()*'Données géométriques'!$B$6)</f>
        <v>1.9217033815694919E-2</v>
      </c>
      <c r="H17">
        <f t="shared" si="1"/>
        <v>3.470703381569492E-2</v>
      </c>
      <c r="I17">
        <f t="shared" si="2"/>
        <v>0.25393807420213615</v>
      </c>
      <c r="J17">
        <f>XCP_3D('Données géométriques'!$B$9,'Données géométriques'!$B$10,'Données géométriques'!$B$11,'Données géométriques'!$B$12,I17)</f>
        <v>-3.9893671457156422E-2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0.78069999999999995</v>
      </c>
      <c r="D18">
        <v>1.6320000000000001E-2</v>
      </c>
      <c r="E18">
        <v>-5.0000000000000001E-4</v>
      </c>
      <c r="F18">
        <f>C18/(1+2/'Données géométriques'!$B$6)</f>
        <v>0.52363026619157416</v>
      </c>
      <c r="G18">
        <f>F18^2/(PI()*'Données géométriques'!$B$6)</f>
        <v>2.1423766220946786E-2</v>
      </c>
      <c r="H18">
        <f t="shared" si="1"/>
        <v>3.7743766220946787E-2</v>
      </c>
      <c r="I18">
        <f t="shared" si="2"/>
        <v>0.25064360858397366</v>
      </c>
      <c r="J18">
        <f>XCP_3D('Données géométriques'!$B$9,'Données géométriques'!$B$10,'Données géométriques'!$B$11,'Données géométriques'!$B$12,I18)</f>
        <v>-3.9376110908553988E-2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0.82169999999999999</v>
      </c>
      <c r="D19">
        <v>1.72E-2</v>
      </c>
      <c r="E19">
        <v>2E-3</v>
      </c>
      <c r="F19">
        <f>C19/(1+2/'Données géométriques'!$B$6)</f>
        <v>0.55112974219241251</v>
      </c>
      <c r="G19">
        <f>F19^2/(PI()*'Données géométriques'!$B$6)</f>
        <v>2.3733076320387465E-2</v>
      </c>
      <c r="H19">
        <f t="shared" si="1"/>
        <v>4.0933076320387465E-2</v>
      </c>
      <c r="I19">
        <f t="shared" si="2"/>
        <v>0.24755176574988857</v>
      </c>
      <c r="J19">
        <f>XCP_3D('Données géométriques'!$B$9,'Données géométriques'!$B$10,'Données géométriques'!$B$11,'Données géométriques'!$B$12,I19)</f>
        <v>-3.8890382399317053E-2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0.86250000000000004</v>
      </c>
      <c r="D20">
        <v>1.8169999999999999E-2</v>
      </c>
      <c r="E20">
        <v>4.4999999999999997E-3</v>
      </c>
      <c r="F20">
        <f>C20/(1+2/'Données géométriques'!$B$6)</f>
        <v>0.57849507440788106</v>
      </c>
      <c r="G20">
        <f>F20^2/(PI()*'Données géométriques'!$B$6)</f>
        <v>2.6148433084550719E-2</v>
      </c>
      <c r="H20">
        <f t="shared" si="1"/>
        <v>4.4318433084550718E-2</v>
      </c>
      <c r="I20">
        <f t="shared" si="2"/>
        <v>0.24474688743602074</v>
      </c>
      <c r="J20">
        <f>XCP_3D('Données géométriques'!$B$9,'Données géométriques'!$B$10,'Données géométriques'!$B$11,'Données géométriques'!$B$12,I20)</f>
        <v>-3.8449736016199498E-2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0.90290000000000004</v>
      </c>
      <c r="D21">
        <v>1.925E-2</v>
      </c>
      <c r="E21">
        <v>6.8999999999999999E-3</v>
      </c>
      <c r="F21">
        <f>C21/(1+2/'Données géométriques'!$B$6)</f>
        <v>0.60559211905260957</v>
      </c>
      <c r="G21">
        <f>F21^2/(PI()*'Données géométriques'!$B$6)</f>
        <v>2.865541931864354E-2</v>
      </c>
      <c r="H21">
        <f t="shared" si="1"/>
        <v>4.790541931864354E-2</v>
      </c>
      <c r="I21">
        <f t="shared" si="2"/>
        <v>0.24229762644917127</v>
      </c>
      <c r="J21">
        <f>XCP_3D('Données géométriques'!$B$9,'Données géométriques'!$B$10,'Données géométriques'!$B$11,'Données géométriques'!$B$12,I21)</f>
        <v>-3.8064957115166963E-2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0.94230000000000003</v>
      </c>
      <c r="D22">
        <v>2.0469999999999999E-2</v>
      </c>
      <c r="E22">
        <v>9.1999999999999998E-3</v>
      </c>
      <c r="F22">
        <f>C22/(1+2/'Données géométriques'!$B$6)</f>
        <v>0.63201844477048852</v>
      </c>
      <c r="G22">
        <f>F22^2/(PI()*'Données géométriques'!$B$6)</f>
        <v>3.1210867798701289E-2</v>
      </c>
      <c r="H22">
        <f t="shared" si="1"/>
        <v>5.1680867798701291E-2</v>
      </c>
      <c r="I22">
        <f t="shared" si="2"/>
        <v>0.24014884808756243</v>
      </c>
      <c r="J22">
        <f>XCP_3D('Données géométriques'!$B$9,'Données géométriques'!$B$10,'Données géométriques'!$B$11,'Données géométriques'!$B$12,I22)</f>
        <v>-3.7727384034566741E-2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0.98180000000000001</v>
      </c>
      <c r="D23">
        <v>2.171E-2</v>
      </c>
      <c r="E23">
        <v>1.15E-2</v>
      </c>
      <c r="F23">
        <f>C23/(1+2/'Données géométriques'!$B$6)</f>
        <v>0.65851184238105231</v>
      </c>
      <c r="G23">
        <f>F23^2/(PI()*'Données géométriques'!$B$6)</f>
        <v>3.3882349459018524E-2</v>
      </c>
      <c r="H23">
        <f t="shared" si="1"/>
        <v>5.5592349459018524E-2</v>
      </c>
      <c r="I23">
        <f t="shared" si="2"/>
        <v>0.23816773079665074</v>
      </c>
      <c r="J23">
        <f>XCP_3D('Données géométriques'!$B$9,'Données géométriques'!$B$10,'Données géométriques'!$B$11,'Données géométriques'!$B$12,I23)</f>
        <v>-3.7416150508155686E-2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1.0184</v>
      </c>
      <c r="D24">
        <v>2.3179999999999999E-2</v>
      </c>
      <c r="E24">
        <v>1.4E-2</v>
      </c>
      <c r="F24">
        <f>C24/(1+2/'Données géométriques'!$B$6)</f>
        <v>0.68306015510375195</v>
      </c>
      <c r="G24">
        <f>F24^2/(PI()*'Données géométriques'!$B$6)</f>
        <v>3.6455599392487006E-2</v>
      </c>
      <c r="H24">
        <f t="shared" si="1"/>
        <v>5.9635599392487006E-2</v>
      </c>
      <c r="I24">
        <f t="shared" si="2"/>
        <v>0.23609667510716548</v>
      </c>
      <c r="J24">
        <f>XCP_3D('Données géométriques'!$B$9,'Données géométriques'!$B$10,'Données géométriques'!$B$11,'Données géométriques'!$B$12,I24)</f>
        <v>-3.7090787659339729E-2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1.0532999999999999</v>
      </c>
      <c r="D25">
        <v>2.4729999999999999E-2</v>
      </c>
      <c r="E25">
        <v>1.6500000000000001E-2</v>
      </c>
      <c r="F25">
        <f>C25/(1+2/'Données géométriques'!$B$6)</f>
        <v>0.70646824565080701</v>
      </c>
      <c r="G25">
        <f>F25^2/(PI()*'Données géométriques'!$B$6)</f>
        <v>3.8997038771255634E-2</v>
      </c>
      <c r="H25">
        <f t="shared" si="1"/>
        <v>6.3727038771255629E-2</v>
      </c>
      <c r="I25">
        <f t="shared" si="2"/>
        <v>0.23413719429066407</v>
      </c>
      <c r="J25">
        <f>XCP_3D('Données géométriques'!$B$9,'Données géométriques'!$B$10,'Données géométriques'!$B$11,'Données géométriques'!$B$12,I25)</f>
        <v>-3.678295322306159E-2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1.0837000000000001</v>
      </c>
      <c r="D26">
        <v>2.6519999999999998E-2</v>
      </c>
      <c r="E26">
        <v>1.9400000000000001E-2</v>
      </c>
      <c r="F26">
        <f>C26/(1+2/'Données géométriques'!$B$6)</f>
        <v>0.72685810102703852</v>
      </c>
      <c r="G26">
        <f>F26^2/(PI()*'Données géométriques'!$B$6)</f>
        <v>4.1280562704078115E-2</v>
      </c>
      <c r="H26">
        <f t="shared" si="1"/>
        <v>6.780056270407811E-2</v>
      </c>
      <c r="I26">
        <f t="shared" si="2"/>
        <v>0.23184964526690555</v>
      </c>
      <c r="J26">
        <f>XCP_3D('Données géométriques'!$B$9,'Données géométriques'!$B$10,'Données géométriques'!$B$11,'Données géométriques'!$B$12,I26)</f>
        <v>-3.6423579271430272E-2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1.1104000000000001</v>
      </c>
      <c r="D27">
        <v>2.8410000000000001E-2</v>
      </c>
      <c r="E27">
        <v>2.2700000000000001E-2</v>
      </c>
      <c r="F27">
        <f>C27/(1+2/'Données géométriques'!$B$6)</f>
        <v>0.74476629637392588</v>
      </c>
      <c r="G27">
        <f>F27^2/(PI()*'Données géométriques'!$B$6)</f>
        <v>4.3339746635820457E-2</v>
      </c>
      <c r="H27">
        <f t="shared" si="1"/>
        <v>7.1749746635820455E-2</v>
      </c>
      <c r="I27">
        <f t="shared" si="2"/>
        <v>0.22924613998941759</v>
      </c>
      <c r="J27">
        <f>XCP_3D('Données géométriques'!$B$9,'Données géométriques'!$B$10,'Données géométriques'!$B$11,'Données géométriques'!$B$12,I27)</f>
        <v>-3.601456859234612E-2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1.129</v>
      </c>
      <c r="D28">
        <v>3.056E-2</v>
      </c>
      <c r="E28">
        <v>2.6599999999999999E-2</v>
      </c>
      <c r="F28">
        <f>C28/(1+2/'Données géométriques'!$B$6)</f>
        <v>0.75724166841333063</v>
      </c>
      <c r="G28">
        <f>F28^2/(PI()*'Données géométriques'!$B$6)</f>
        <v>4.4803851151035239E-2</v>
      </c>
      <c r="H28">
        <f t="shared" si="1"/>
        <v>7.5363851151035235E-2</v>
      </c>
      <c r="I28">
        <f t="shared" si="2"/>
        <v>0.22605075991017279</v>
      </c>
      <c r="J28">
        <f>XCP_3D('Données géométriques'!$B$9,'Données géométriques'!$B$10,'Données géométriques'!$B$11,'Données géométriques'!$B$12,I28)</f>
        <v>-3.5512574381896742E-2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1.1418999999999999</v>
      </c>
      <c r="D29">
        <v>3.3340000000000002E-2</v>
      </c>
      <c r="E29">
        <v>2.9899999999999999E-2</v>
      </c>
      <c r="F29">
        <f>C29/(1+2/'Données géométriques'!$B$6)</f>
        <v>0.7658939425696919</v>
      </c>
      <c r="G29">
        <f>F29^2/(PI()*'Données géométriques'!$B$6)</f>
        <v>4.5833561748738913E-2</v>
      </c>
      <c r="H29">
        <f t="shared" si="1"/>
        <v>7.9173561748738908E-2</v>
      </c>
      <c r="I29">
        <f t="shared" si="2"/>
        <v>0.22335231070086026</v>
      </c>
      <c r="J29">
        <f>XCP_3D('Données géométriques'!$B$9,'Données géométriques'!$B$10,'Données géométriques'!$B$11,'Données géométriques'!$B$12,I29)</f>
        <v>-3.5088648011104243E-2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1.1529</v>
      </c>
      <c r="D30">
        <v>3.6720000000000003E-2</v>
      </c>
      <c r="E30">
        <v>3.2199999999999999E-2</v>
      </c>
      <c r="F30">
        <f>C30/(1+2/'Données géométriques'!$B$6)</f>
        <v>0.7732718507650389</v>
      </c>
      <c r="G30">
        <f>F30^2/(PI()*'Données géométriques'!$B$6)</f>
        <v>4.6720850525606573E-2</v>
      </c>
      <c r="H30">
        <f t="shared" si="1"/>
        <v>8.3440850525606569E-2</v>
      </c>
      <c r="I30">
        <f t="shared" si="2"/>
        <v>0.22154500337687838</v>
      </c>
      <c r="J30">
        <f>XCP_3D('Données géométriques'!$B$9,'Données géométriques'!$B$10,'Données géométriques'!$B$11,'Données géométriques'!$B$12,I30)</f>
        <v>-3.480472003051948E-2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1.1594</v>
      </c>
      <c r="D31">
        <v>4.0910000000000002E-2</v>
      </c>
      <c r="E31">
        <v>3.3099999999999997E-2</v>
      </c>
      <c r="F31">
        <f>C31/(1+2/'Données géométriques'!$B$6)</f>
        <v>0.77763152378956202</v>
      </c>
      <c r="G31">
        <f>F31^2/(PI()*'Données géométriques'!$B$6)</f>
        <v>4.724915586225234E-2</v>
      </c>
      <c r="H31">
        <f t="shared" si="1"/>
        <v>8.8159155862252342E-2</v>
      </c>
      <c r="I31">
        <f t="shared" si="2"/>
        <v>0.2208861500088394</v>
      </c>
      <c r="J31">
        <f>XCP_3D('Données géométriques'!$B$9,'Données géométriques'!$B$10,'Données géométriques'!$B$11,'Données géométriques'!$B$12,I31)</f>
        <v>-3.4701214166402511E-2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1.161</v>
      </c>
      <c r="D32">
        <v>4.6179999999999999E-2</v>
      </c>
      <c r="E32">
        <v>3.2500000000000001E-2</v>
      </c>
      <c r="F32">
        <f>C32/(1+2/'Données géométriques'!$B$6)</f>
        <v>0.77870467407252164</v>
      </c>
      <c r="G32">
        <f>F32^2/(PI()*'Données géométriques'!$B$6)</f>
        <v>4.7379655799048181E-2</v>
      </c>
      <c r="H32">
        <f t="shared" si="1"/>
        <v>9.355965579904818E-2</v>
      </c>
      <c r="I32">
        <f t="shared" si="2"/>
        <v>0.22143322477029542</v>
      </c>
      <c r="J32">
        <f>XCP_3D('Données géométriques'!$B$9,'Données géométriques'!$B$10,'Données géométriques'!$B$11,'Données géométriques'!$B$12,I32)</f>
        <v>-3.4787159611415895E-2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1.1566000000000001</v>
      </c>
      <c r="D33">
        <v>5.287E-2</v>
      </c>
      <c r="E33">
        <v>3.0099999999999998E-2</v>
      </c>
      <c r="F33">
        <f>C33/(1+2/'Données géométriques'!$B$6)</f>
        <v>0.77575351079438293</v>
      </c>
      <c r="G33">
        <f>F33^2/(PI()*'Données géométriques'!$B$6)</f>
        <v>4.7021214022986056E-2</v>
      </c>
      <c r="H33">
        <f t="shared" si="1"/>
        <v>9.9891214022986063E-2</v>
      </c>
      <c r="I33">
        <f t="shared" si="2"/>
        <v>0.22343329596594064</v>
      </c>
      <c r="J33">
        <f>XCP_3D('Données géométriques'!$B$9,'Données géométriques'!$B$10,'Données géométriques'!$B$11,'Données géométriques'!$B$12,I33)</f>
        <v>-3.5101370796249337E-2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1.1444000000000001</v>
      </c>
      <c r="D34">
        <v>6.1280000000000001E-2</v>
      </c>
      <c r="E34">
        <v>2.6200000000000001E-2</v>
      </c>
      <c r="F34">
        <f>C34/(1+2/'Données géométriques'!$B$6)</f>
        <v>0.76757073988681634</v>
      </c>
      <c r="G34">
        <f>F34^2/(PI()*'Données géométriques'!$B$6)</f>
        <v>4.6034471347768405E-2</v>
      </c>
      <c r="H34">
        <f t="shared" si="1"/>
        <v>0.10731447134776841</v>
      </c>
      <c r="I34">
        <f t="shared" si="2"/>
        <v>0.22663355417386558</v>
      </c>
      <c r="J34">
        <f>XCP_3D('Données géométriques'!$B$9,'Données géométriques'!$B$10,'Données géométriques'!$B$11,'Données géométriques'!$B$12,I34)</f>
        <v>-3.5604131360728285E-2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1.1218999999999999</v>
      </c>
      <c r="D35">
        <v>7.2040000000000007E-2</v>
      </c>
      <c r="E35">
        <v>2.07E-2</v>
      </c>
      <c r="F35">
        <f>C35/(1+2/'Données géométriques'!$B$6)</f>
        <v>0.75247956403269756</v>
      </c>
      <c r="G35">
        <f>F35^2/(PI()*'Données géométriques'!$B$6)</f>
        <v>4.4242102534172399E-2</v>
      </c>
      <c r="H35">
        <f t="shared" si="1"/>
        <v>0.1162821025341724</v>
      </c>
      <c r="I35">
        <f t="shared" si="2"/>
        <v>0.23118778435744833</v>
      </c>
      <c r="J35">
        <f>XCP_3D('Données géométriques'!$B$9,'Données géométriques'!$B$10,'Données géométriques'!$B$11,'Données géométriques'!$B$12,I35)</f>
        <v>-3.6319600922567877E-2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1.0895999999999999</v>
      </c>
      <c r="D36">
        <v>8.5120000000000001E-2</v>
      </c>
      <c r="E36">
        <v>1.35E-2</v>
      </c>
      <c r="F36">
        <f>C36/(1+2/'Données géométriques'!$B$6)</f>
        <v>0.73081534269545168</v>
      </c>
      <c r="G36">
        <f>F36^2/(PI()*'Données géométriques'!$B$6)</f>
        <v>4.173127473771629E-2</v>
      </c>
      <c r="H36">
        <f t="shared" si="1"/>
        <v>0.12685127473771629</v>
      </c>
      <c r="I36">
        <f t="shared" si="2"/>
        <v>0.23739322759034312</v>
      </c>
      <c r="J36">
        <f>XCP_3D('Données géométriques'!$B$9,'Données géométriques'!$B$10,'Données géométriques'!$B$11,'Données géométriques'!$B$12,I36)</f>
        <v>-3.7294476054439557E-2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1.0464</v>
      </c>
      <c r="D37">
        <v>0.10129000000000001</v>
      </c>
      <c r="E37">
        <v>4.3E-3</v>
      </c>
      <c r="F37">
        <f>C37/(1+2/'Données géométriques'!$B$6)</f>
        <v>0.70184028505554397</v>
      </c>
      <c r="G37">
        <f>F37^2/(PI()*'Données géométriques'!$B$6)</f>
        <v>3.848778553116166E-2</v>
      </c>
      <c r="H37">
        <f t="shared" si="1"/>
        <v>0.13977778553116166</v>
      </c>
      <c r="I37">
        <f t="shared" si="2"/>
        <v>0.24583364373023087</v>
      </c>
      <c r="J37">
        <f>XCP_3D('Données géométriques'!$B$9,'Données géométriques'!$B$10,'Données géométriques'!$B$11,'Données géométriques'!$B$12,I37)</f>
        <v>-3.8620465430029567E-2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0.98109999999999997</v>
      </c>
      <c r="D38">
        <v>0.12359000000000001</v>
      </c>
      <c r="E38">
        <v>-8.3999999999999995E-3</v>
      </c>
      <c r="F38">
        <f>C38/(1+2/'Données géométriques'!$B$6)</f>
        <v>0.6580423391322574</v>
      </c>
      <c r="G38">
        <f>F38^2/(PI()*'Données géométriques'!$B$6)</f>
        <v>3.3834052067363091E-2</v>
      </c>
      <c r="H38">
        <f t="shared" si="1"/>
        <v>0.1574240520673631</v>
      </c>
      <c r="I38">
        <f t="shared" si="2"/>
        <v>0.25862100095380125</v>
      </c>
      <c r="J38">
        <f>XCP_3D('Données géométriques'!$B$9,'Données géométriques'!$B$10,'Données géométriques'!$B$11,'Données géométriques'!$B$12,I38)</f>
        <v>-4.0629359249850769E-2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0.7853</v>
      </c>
      <c r="D39">
        <v>0.18894</v>
      </c>
      <c r="E39">
        <v>-4.1500000000000002E-2</v>
      </c>
      <c r="F39">
        <f>C39/(1+2/'Données géométriques'!$B$6)</f>
        <v>0.52671557325508289</v>
      </c>
      <c r="G39">
        <f>F39^2/(PI()*'Données géométriques'!$B$6)</f>
        <v>2.1676974004276837E-2</v>
      </c>
      <c r="H39">
        <f t="shared" si="1"/>
        <v>0.21061697400427684</v>
      </c>
      <c r="I39">
        <f t="shared" si="2"/>
        <v>0.30150357711353781</v>
      </c>
      <c r="J39">
        <f>XCP_3D('Données géométriques'!$B$9,'Données géométriques'!$B$10,'Données géométriques'!$B$11,'Données géométriques'!$B$12,I39)</f>
        <v>-4.7366211964545331E-2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0.78539999999999999</v>
      </c>
      <c r="D40">
        <v>0.20152999999999999</v>
      </c>
      <c r="E40">
        <v>-4.7800000000000002E-2</v>
      </c>
      <c r="F40">
        <f>C40/(1+2/'Données géométriques'!$B$6)</f>
        <v>0.52678264514776785</v>
      </c>
      <c r="G40">
        <f>F40^2/(PI()*'Données géométriques'!$B$6)</f>
        <v>2.1682495041886872E-2</v>
      </c>
      <c r="H40">
        <f t="shared" si="1"/>
        <v>0.22321249504188687</v>
      </c>
      <c r="I40">
        <f t="shared" si="2"/>
        <v>0.30906806051321389</v>
      </c>
      <c r="J40">
        <f>XCP_3D('Données géométriques'!$B$9,'Données géométriques'!$B$10,'Données géométriques'!$B$11,'Données géométriques'!$B$12,I40)</f>
        <v>-4.8554592306636862E-2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0.79300000000000004</v>
      </c>
      <c r="D41">
        <v>0.21151</v>
      </c>
      <c r="E41">
        <v>-5.3100000000000001E-2</v>
      </c>
      <c r="F41">
        <f>C41/(1+2/'Données géométriques'!$B$6)</f>
        <v>0.5318801089918257</v>
      </c>
      <c r="G41">
        <f>F41^2/(PI()*'Données géométriques'!$B$6)</f>
        <v>2.2104150888350022E-2</v>
      </c>
      <c r="H41">
        <f t="shared" si="1"/>
        <v>0.23361415088835003</v>
      </c>
      <c r="I41">
        <f t="shared" si="2"/>
        <v>0.31482457710151401</v>
      </c>
      <c r="J41">
        <f>XCP_3D('Données géométriques'!$B$9,'Données géométriques'!$B$10,'Données géométriques'!$B$11,'Données géométriques'!$B$12,I41)</f>
        <v>-4.9458941062657399E-2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0.80449999999999999</v>
      </c>
      <c r="D42">
        <v>0.21992</v>
      </c>
      <c r="E42">
        <v>-5.79E-2</v>
      </c>
      <c r="F42">
        <f>C42/(1+2/'Données géométriques'!$B$6)</f>
        <v>0.53959337665059748</v>
      </c>
      <c r="G42">
        <f>F42^2/(PI()*'Données géométriques'!$B$6)</f>
        <v>2.274990349669893E-2</v>
      </c>
      <c r="H42">
        <f t="shared" si="1"/>
        <v>0.24266990349669892</v>
      </c>
      <c r="I42">
        <f t="shared" si="2"/>
        <v>0.3195688832145222</v>
      </c>
      <c r="J42">
        <f>XCP_3D('Données géométriques'!$B$9,'Données géométriques'!$B$10,'Données géométriques'!$B$11,'Données géométriques'!$B$12,I42)</f>
        <v>-5.0204271553019646E-2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0.82089999999999996</v>
      </c>
      <c r="D43">
        <v>0.22555</v>
      </c>
      <c r="E43">
        <v>-6.1600000000000002E-2</v>
      </c>
      <c r="F43">
        <f>C43/(1+2/'Données géométriques'!$B$6)</f>
        <v>0.55059316705093275</v>
      </c>
      <c r="G43">
        <f>F43^2/(PI()*'Données géométriques'!$B$6)</f>
        <v>2.3686886181579322E-2</v>
      </c>
      <c r="H43">
        <f t="shared" si="1"/>
        <v>0.24923688618157933</v>
      </c>
      <c r="I43">
        <f t="shared" si="2"/>
        <v>0.32254701548015274</v>
      </c>
      <c r="J43">
        <f>XCP_3D('Données géométriques'!$B$9,'Données géométriques'!$B$10,'Données géométriques'!$B$11,'Données géométriques'!$B$12,I43)</f>
        <v>-5.067213613194959E-2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  <row r="44" spans="1:12" x14ac:dyDescent="0.3">
      <c r="A44">
        <v>20</v>
      </c>
      <c r="B44">
        <f t="shared" si="0"/>
        <v>0.3490658503988659</v>
      </c>
      <c r="C44">
        <v>0.83179999999999998</v>
      </c>
      <c r="D44">
        <v>0.2349</v>
      </c>
      <c r="E44">
        <v>-6.7000000000000004E-2</v>
      </c>
      <c r="F44">
        <f>C44/(1+2/'Données géométriques'!$B$6)</f>
        <v>0.55790400335359469</v>
      </c>
      <c r="G44">
        <f>F44^2/(PI()*'Données géométriques'!$B$6)</f>
        <v>2.4320096505341657E-2</v>
      </c>
      <c r="H44">
        <f t="shared" si="1"/>
        <v>0.25922009650534167</v>
      </c>
      <c r="I44">
        <f t="shared" si="2"/>
        <v>0.32772830525240731</v>
      </c>
      <c r="J44">
        <f>XCP_3D('Données géométriques'!$B$9,'Données géométriques'!$B$10,'Données géométriques'!$B$11,'Données géométriques'!$B$12,I44)</f>
        <v>-5.1486116755156082E-2</v>
      </c>
      <c r="K44">
        <f>ZCP_3D('Données géométriques'!$B$9,'Données géométriques'!$B$10,'Données géométriques'!$B$11)</f>
        <v>-0.15998400159986725</v>
      </c>
      <c r="L44">
        <f>'0.1kts'!L44</f>
        <v>-5.5810000000000018E-3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6ACC0-5A7A-44C3-9A09-A9422B43CF47}">
  <sheetPr codeName="Feuil4"/>
  <dimension ref="A1:L41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1.5</v>
      </c>
      <c r="C1" s="2">
        <f>A1*'Données géométriques'!B2/'Données géométriques'!F2</f>
        <v>234011.91658391256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8.0300000000000007E-3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8.0300000000000007E-3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36" si="0">A5*PI()/180</f>
        <v>8.7266462599716477E-3</v>
      </c>
      <c r="C5">
        <v>5.2200000000000003E-2</v>
      </c>
      <c r="D5">
        <v>8.0599999999999995E-3</v>
      </c>
      <c r="E5">
        <v>1.1000000000000001E-3</v>
      </c>
      <c r="F5">
        <f>C5/(1+2/'Données géométriques'!$B$6)</f>
        <v>3.5011527981555234E-2</v>
      </c>
      <c r="G5">
        <f>F5^2/(PI()*'Données géométriques'!$B$6)</f>
        <v>9.5778596303105611E-5</v>
      </c>
      <c r="H5">
        <f>D5+G5</f>
        <v>8.1557785963031048E-3</v>
      </c>
      <c r="I5">
        <f>0.25-E5/(C5*COS(B5)+D5*SIN(B5))</f>
        <v>0.22895475872842136</v>
      </c>
      <c r="J5">
        <f>XCP_3D('Données géométriques'!$B$9,'Données géométriques'!$B$10,'Données géométriques'!$B$11,'Données géométriques'!$B$12,I5)</f>
        <v>-3.5968792596238724E-2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0.1043</v>
      </c>
      <c r="D6">
        <v>8.1499999999999993E-3</v>
      </c>
      <c r="E6">
        <v>2.2000000000000001E-3</v>
      </c>
      <c r="F6">
        <f>C6/(1+2/'Données géométriques'!$B$6)</f>
        <v>6.9955984070425498E-2</v>
      </c>
      <c r="G6">
        <f>F6^2/(PI()*'Données géométriques'!$B$6)</f>
        <v>3.8238080111029326E-4</v>
      </c>
      <c r="H6">
        <f t="shared" ref="H6:H36" si="1">D6+G6</f>
        <v>8.5323808011102918E-3</v>
      </c>
      <c r="I6">
        <f t="shared" ref="I6:I36" si="2">0.25-E6/(C6*COS(B6)+D6*SIN(B6))</f>
        <v>0.22893252073043505</v>
      </c>
      <c r="J6">
        <f>XCP_3D('Données géométriques'!$B$9,'Données géométriques'!$B$10,'Données géométriques'!$B$11,'Données géométriques'!$B$12,I6)</f>
        <v>-3.5965299006760917E-2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0.15640000000000001</v>
      </c>
      <c r="D7">
        <v>8.3000000000000001E-3</v>
      </c>
      <c r="E7">
        <v>3.3999999999999998E-3</v>
      </c>
      <c r="F7">
        <f>C7/(1+2/'Données géométriques'!$B$6)</f>
        <v>0.10490044015929577</v>
      </c>
      <c r="G7">
        <f>F7^2/(PI()*'Données géométriques'!$B$6)</f>
        <v>8.5980696592328901E-4</v>
      </c>
      <c r="H7">
        <f t="shared" si="1"/>
        <v>9.1598069659232888E-3</v>
      </c>
      <c r="I7">
        <f t="shared" si="2"/>
        <v>0.22828359601763465</v>
      </c>
      <c r="J7">
        <f>XCP_3D('Données géométriques'!$B$9,'Données géométriques'!$B$10,'Données géométriques'!$B$11,'Données géométriques'!$B$12,I7)</f>
        <v>-3.5863352934373434E-2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0.20880000000000001</v>
      </c>
      <c r="D8">
        <v>8.5400000000000007E-3</v>
      </c>
      <c r="E8">
        <v>4.4999999999999997E-3</v>
      </c>
      <c r="F8">
        <f>C8/(1+2/'Données géométriques'!$B$6)</f>
        <v>0.14004611192622093</v>
      </c>
      <c r="G8">
        <f>F8^2/(PI()*'Données géométriques'!$B$6)</f>
        <v>1.5324575408496898E-3</v>
      </c>
      <c r="H8">
        <f t="shared" si="1"/>
        <v>1.0072457540849691E-2</v>
      </c>
      <c r="I8">
        <f t="shared" si="2"/>
        <v>0.22846589570803932</v>
      </c>
      <c r="J8">
        <f>XCP_3D('Données géométriques'!$B$9,'Données géométriques'!$B$10,'Données géométriques'!$B$11,'Données géométriques'!$B$12,I8)</f>
        <v>-3.5891992215742234E-2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0.2621</v>
      </c>
      <c r="D9">
        <v>8.8699999999999994E-3</v>
      </c>
      <c r="E9">
        <v>5.4000000000000003E-3</v>
      </c>
      <c r="F9">
        <f>C9/(1+2/'Données géométriques'!$B$6)</f>
        <v>0.17579543072731085</v>
      </c>
      <c r="G9">
        <f>F9^2/(PI()*'Données géométriques'!$B$6)</f>
        <v>2.414690668392503E-3</v>
      </c>
      <c r="H9">
        <f t="shared" si="1"/>
        <v>1.1284690668392503E-2</v>
      </c>
      <c r="I9">
        <f t="shared" si="2"/>
        <v>0.22940797491972756</v>
      </c>
      <c r="J9">
        <f>XCP_3D('Données géométriques'!$B$9,'Données géométriques'!$B$10,'Données géométriques'!$B$11,'Données géométriques'!$B$12,I9)</f>
        <v>-3.6039992859888903E-2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0.31709999999999999</v>
      </c>
      <c r="D10">
        <v>9.2999999999999992E-3</v>
      </c>
      <c r="E10">
        <v>5.7999999999999996E-3</v>
      </c>
      <c r="F10">
        <f>C10/(1+2/'Données géométriques'!$B$6)</f>
        <v>0.21268497170404529</v>
      </c>
      <c r="G10">
        <f>F10^2/(PI()*'Données géométriques'!$B$6)</f>
        <v>3.5344345666880844E-3</v>
      </c>
      <c r="H10">
        <f t="shared" si="1"/>
        <v>1.2834434566688084E-2</v>
      </c>
      <c r="I10">
        <f t="shared" si="2"/>
        <v>0.23171224756795125</v>
      </c>
      <c r="J10">
        <f>XCP_3D('Données géométriques'!$B$9,'Données géométriques'!$B$10,'Données géométriques'!$B$11,'Données géométriques'!$B$12,I10)</f>
        <v>-3.6401994092935604E-2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0.37519999999999998</v>
      </c>
      <c r="D11">
        <v>9.8099999999999993E-3</v>
      </c>
      <c r="E11">
        <v>5.4000000000000003E-3</v>
      </c>
      <c r="F11">
        <f>C11/(1+2/'Données géométriques'!$B$6)</f>
        <v>0.25165374135401386</v>
      </c>
      <c r="G11">
        <f>F11^2/(PI()*'Données géométriques'!$B$6)</f>
        <v>4.9482669535508674E-3</v>
      </c>
      <c r="H11">
        <f t="shared" si="1"/>
        <v>1.4758266953550866E-2</v>
      </c>
      <c r="I11">
        <f t="shared" si="2"/>
        <v>0.23560380299693826</v>
      </c>
      <c r="J11">
        <f>XCP_3D('Données géométriques'!$B$9,'Données géométriques'!$B$10,'Données géométriques'!$B$11,'Données géométriques'!$B$12,I11)</f>
        <v>-3.7013357450830009E-2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0.43459999999999999</v>
      </c>
      <c r="D12">
        <v>1.04E-2</v>
      </c>
      <c r="E12">
        <v>4.4999999999999997E-3</v>
      </c>
      <c r="F12">
        <f>C12/(1+2/'Données géométriques'!$B$6)</f>
        <v>0.29149444560888704</v>
      </c>
      <c r="G12">
        <f>F12^2/(PI()*'Données géométriques'!$B$6)</f>
        <v>6.6390647739012522E-3</v>
      </c>
      <c r="H12">
        <f t="shared" si="1"/>
        <v>1.7039064773901252E-2</v>
      </c>
      <c r="I12">
        <f t="shared" si="2"/>
        <v>0.23963770667477211</v>
      </c>
      <c r="J12">
        <f>XCP_3D('Données géométriques'!$B$9,'Données géométriques'!$B$10,'Données géométriques'!$B$11,'Données géométriques'!$B$12,I12)</f>
        <v>-3.7647083718620029E-2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0.49640000000000001</v>
      </c>
      <c r="D13">
        <v>1.1039999999999999E-2</v>
      </c>
      <c r="E13">
        <v>3.0000000000000001E-3</v>
      </c>
      <c r="F13">
        <f>C13/(1+2/'Données géométriques'!$B$6)</f>
        <v>0.3329448752881996</v>
      </c>
      <c r="G13">
        <f>F13^2/(PI()*'Données géométriques'!$B$6)</f>
        <v>8.6614580744899944E-3</v>
      </c>
      <c r="H13">
        <f t="shared" si="1"/>
        <v>1.9701458074489996E-2</v>
      </c>
      <c r="I13">
        <f t="shared" si="2"/>
        <v>0.24394839131081877</v>
      </c>
      <c r="J13">
        <f>XCP_3D('Données géométriques'!$B$9,'Données géométriques'!$B$10,'Données géométriques'!$B$11,'Données géométriques'!$B$12,I13)</f>
        <v>-3.8324292274945673E-2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0.5605</v>
      </c>
      <c r="D14">
        <v>1.1730000000000001E-2</v>
      </c>
      <c r="E14">
        <v>8.9999999999999998E-4</v>
      </c>
      <c r="F14">
        <f>C14/(1+2/'Données géométriques'!$B$6)</f>
        <v>0.37593795849926642</v>
      </c>
      <c r="G14">
        <f>F14^2/(PI()*'Données géométriques'!$B$6)</f>
        <v>1.1042787011065872E-2</v>
      </c>
      <c r="H14">
        <f t="shared" si="1"/>
        <v>2.2772787011065873E-2</v>
      </c>
      <c r="I14">
        <f t="shared" si="2"/>
        <v>0.24839110305774142</v>
      </c>
      <c r="J14">
        <f>XCP_3D('Données géométriques'!$B$9,'Données géométriques'!$B$10,'Données géométriques'!$B$11,'Données géométriques'!$B$12,I14)</f>
        <v>-3.9022242290386172E-2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0.62619999999999998</v>
      </c>
      <c r="D15">
        <v>1.242E-2</v>
      </c>
      <c r="E15">
        <v>-1.6000000000000001E-3</v>
      </c>
      <c r="F15">
        <f>C15/(1+2/'Données géométriques'!$B$6)</f>
        <v>0.42000419199329286</v>
      </c>
      <c r="G15">
        <f>F15^2/(PI()*'Données géométriques'!$B$6)</f>
        <v>1.378331204640785E-2</v>
      </c>
      <c r="H15">
        <f t="shared" si="1"/>
        <v>2.6203312046407849E-2</v>
      </c>
      <c r="I15">
        <f t="shared" si="2"/>
        <v>0.25256201885583951</v>
      </c>
      <c r="J15">
        <f>XCP_3D('Données géométriques'!$B$9,'Données géométriques'!$B$10,'Données géométriques'!$B$11,'Données géométriques'!$B$12,I15)</f>
        <v>-3.9677493162255571E-2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0.69140000000000001</v>
      </c>
      <c r="D16">
        <v>1.3140000000000001E-2</v>
      </c>
      <c r="E16">
        <v>-4.1000000000000003E-3</v>
      </c>
      <c r="F16">
        <f>C16/(1+2/'Données géométriques'!$B$6)</f>
        <v>0.46373506602389442</v>
      </c>
      <c r="G16">
        <f>F16^2/(PI()*'Données géométriques'!$B$6)</f>
        <v>1.6802976201910916E-2</v>
      </c>
      <c r="H16">
        <f t="shared" si="1"/>
        <v>2.9942976201910915E-2</v>
      </c>
      <c r="I16">
        <f t="shared" si="2"/>
        <v>0.25595077453297749</v>
      </c>
      <c r="J16">
        <f>XCP_3D('Données géométriques'!$B$9,'Données géométriques'!$B$10,'Données géométriques'!$B$11,'Données géométriques'!$B$12,I16)</f>
        <v>-4.0209866679147319E-2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0.75009999999999999</v>
      </c>
      <c r="D17">
        <v>1.3860000000000001E-2</v>
      </c>
      <c r="E17">
        <v>-5.1999999999999998E-3</v>
      </c>
      <c r="F17">
        <f>C17/(1+2/'Données géométriques'!$B$6)</f>
        <v>0.50310626702997285</v>
      </c>
      <c r="G17">
        <f>F17^2/(PI()*'Données géométriques'!$B$6)</f>
        <v>1.9777244964008289E-2</v>
      </c>
      <c r="H17">
        <f t="shared" si="1"/>
        <v>3.3637244964008287E-2</v>
      </c>
      <c r="I17">
        <f t="shared" si="2"/>
        <v>0.25696260183247693</v>
      </c>
      <c r="J17">
        <f>XCP_3D('Données géométriques'!$B$9,'Données géométriques'!$B$10,'Données géométriques'!$B$11,'Données géométriques'!$B$12,I17)</f>
        <v>-4.0368824747881581E-2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0.79200000000000004</v>
      </c>
      <c r="D18">
        <v>1.4540000000000001E-2</v>
      </c>
      <c r="E18">
        <v>-2.8E-3</v>
      </c>
      <c r="F18">
        <f>C18/(1+2/'Données géométriques'!$B$6)</f>
        <v>0.53120939006497603</v>
      </c>
      <c r="G18">
        <f>F18^2/(PI()*'Données géométriques'!$B$6)</f>
        <v>2.2048437864781514E-2</v>
      </c>
      <c r="H18">
        <f t="shared" si="1"/>
        <v>3.6588437864781512E-2</v>
      </c>
      <c r="I18">
        <f t="shared" si="2"/>
        <v>0.25355389241354465</v>
      </c>
      <c r="J18">
        <f>XCP_3D('Données géométriques'!$B$9,'Données géométriques'!$B$10,'Données géométriques'!$B$11,'Données géométriques'!$B$12,I18)</f>
        <v>-3.9833316498181739E-2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0.83409999999999995</v>
      </c>
      <c r="D19">
        <v>1.5259999999999999E-2</v>
      </c>
      <c r="E19">
        <v>-2.9999999999999997E-4</v>
      </c>
      <c r="F19">
        <f>C19/(1+2/'Données géométriques'!$B$6)</f>
        <v>0.559446656885349</v>
      </c>
      <c r="G19">
        <f>F19^2/(PI()*'Données géométriques'!$B$6)</f>
        <v>2.4454776852164618E-2</v>
      </c>
      <c r="H19">
        <f t="shared" si="1"/>
        <v>3.9714776852164617E-2</v>
      </c>
      <c r="I19">
        <f t="shared" si="2"/>
        <v>0.25036190099853101</v>
      </c>
      <c r="J19">
        <f>XCP_3D('Données géométriques'!$B$9,'Données géométriques'!$B$10,'Données géométriques'!$B$11,'Données géométriques'!$B$12,I19)</f>
        <v>-3.9331854646882228E-2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0.876</v>
      </c>
      <c r="D20">
        <v>1.6039999999999999E-2</v>
      </c>
      <c r="E20">
        <v>2E-3</v>
      </c>
      <c r="F20">
        <f>C20/(1+2/'Données géométriques'!$B$6)</f>
        <v>0.58754977992035218</v>
      </c>
      <c r="G20">
        <f>F20^2/(PI()*'Données géométriques'!$B$6)</f>
        <v>2.697339884789271E-2</v>
      </c>
      <c r="H20">
        <f t="shared" si="1"/>
        <v>4.3013398847892709E-2</v>
      </c>
      <c r="I20">
        <f t="shared" si="2"/>
        <v>0.24770037538950393</v>
      </c>
      <c r="J20">
        <f>XCP_3D('Données géométriques'!$B$9,'Données géométriques'!$B$10,'Données géométriques'!$B$11,'Données géométriques'!$B$12,I20)</f>
        <v>-3.8913728973687105E-2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0.91779999999999995</v>
      </c>
      <c r="D21">
        <v>1.6899999999999998E-2</v>
      </c>
      <c r="E21">
        <v>4.4000000000000003E-3</v>
      </c>
      <c r="F21">
        <f>C21/(1+2/'Données géométriques'!$B$6)</f>
        <v>0.6155858310626704</v>
      </c>
      <c r="G21">
        <f>F21^2/(PI()*'Données géométriques'!$B$6)</f>
        <v>2.9608988315467967E-2</v>
      </c>
      <c r="H21">
        <f t="shared" si="1"/>
        <v>4.6508988315467965E-2</v>
      </c>
      <c r="I21">
        <f t="shared" si="2"/>
        <v>0.24516598650170612</v>
      </c>
      <c r="J21">
        <f>XCP_3D('Données géométriques'!$B$9,'Données géométriques'!$B$10,'Données géométriques'!$B$11,'Données géométriques'!$B$12,I21)</f>
        <v>-3.8515576479420138E-2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0.95920000000000005</v>
      </c>
      <c r="D22">
        <v>1.788E-2</v>
      </c>
      <c r="E22">
        <v>6.6E-3</v>
      </c>
      <c r="F22">
        <f>C22/(1+2/'Données géométriques'!$B$6)</f>
        <v>0.64335359463424868</v>
      </c>
      <c r="G22">
        <f>F22^2/(PI()*'Données géométriques'!$B$6)</f>
        <v>3.2340430897712234E-2</v>
      </c>
      <c r="H22">
        <f t="shared" si="1"/>
        <v>5.0220430897712234E-2</v>
      </c>
      <c r="I22">
        <f t="shared" si="2"/>
        <v>0.24305400399467555</v>
      </c>
      <c r="J22">
        <f>XCP_3D('Données géométriques'!$B$9,'Données géométriques'!$B$10,'Données géométriques'!$B$11,'Données géométriques'!$B$12,I22)</f>
        <v>-3.8183784027575621E-2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1.0009999999999999</v>
      </c>
      <c r="D23">
        <v>1.8890000000000001E-2</v>
      </c>
      <c r="E23">
        <v>8.6999999999999994E-3</v>
      </c>
      <c r="F23">
        <f>C23/(1+2/'Données géométriques'!$B$6)</f>
        <v>0.67138964577656679</v>
      </c>
      <c r="G23">
        <f>F23^2/(PI()*'Données géométriques'!$B$6)</f>
        <v>3.5220508093799313E-2</v>
      </c>
      <c r="H23">
        <f t="shared" si="1"/>
        <v>5.4110508093799317E-2</v>
      </c>
      <c r="I23">
        <f t="shared" si="2"/>
        <v>0.24121557851563802</v>
      </c>
      <c r="J23">
        <f>XCP_3D('Données géométriques'!$B$9,'Données géométriques'!$B$10,'Données géométriques'!$B$11,'Données géométriques'!$B$12,I23)</f>
        <v>-3.7894967384809429E-2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1.0408999999999999</v>
      </c>
      <c r="D24">
        <v>2.0070000000000001E-2</v>
      </c>
      <c r="E24">
        <v>1.09E-2</v>
      </c>
      <c r="F24">
        <f>C24/(1+2/'Données géométriques'!$B$6)</f>
        <v>0.69815133095787052</v>
      </c>
      <c r="G24">
        <f>F24^2/(PI()*'Données géométriques'!$B$6)</f>
        <v>3.8084256277205797E-2</v>
      </c>
      <c r="H24">
        <f t="shared" si="1"/>
        <v>5.8154256277205801E-2</v>
      </c>
      <c r="I24">
        <f t="shared" si="2"/>
        <v>0.2394027786067944</v>
      </c>
      <c r="J24">
        <f>XCP_3D('Données géométriques'!$B$9,'Données géométriques'!$B$10,'Données géométriques'!$B$11,'Données géométriques'!$B$12,I24)</f>
        <v>-3.7610176519138228E-2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1.0803</v>
      </c>
      <c r="D25">
        <v>2.1270000000000001E-2</v>
      </c>
      <c r="E25">
        <v>1.2999999999999999E-2</v>
      </c>
      <c r="F25">
        <f>C25/(1+2/'Données géométriques'!$B$6)</f>
        <v>0.72457765667574947</v>
      </c>
      <c r="G25">
        <f>F25^2/(PI()*'Données géométriques'!$B$6)</f>
        <v>4.1021941794167911E-2</v>
      </c>
      <c r="H25">
        <f t="shared" si="1"/>
        <v>6.2291941794167915E-2</v>
      </c>
      <c r="I25">
        <f t="shared" si="2"/>
        <v>0.2378058666917825</v>
      </c>
      <c r="J25">
        <f>XCP_3D('Données géométriques'!$B$9,'Données géométriques'!$B$10,'Données géométriques'!$B$11,'Données géométriques'!$B$12,I25)</f>
        <v>-3.7359301657283274E-2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1.1155999999999999</v>
      </c>
      <c r="D26">
        <v>2.2749999999999999E-2</v>
      </c>
      <c r="E26">
        <v>1.55E-2</v>
      </c>
      <c r="F26">
        <f>C26/(1+2/'Données géométriques'!$B$6)</f>
        <v>0.74825403479354435</v>
      </c>
      <c r="G26">
        <f>F26^2/(PI()*'Données géométriques'!$B$6)</f>
        <v>4.3746616913681785E-2</v>
      </c>
      <c r="H26">
        <f t="shared" si="1"/>
        <v>6.6496616913681778E-2</v>
      </c>
      <c r="I26">
        <f t="shared" si="2"/>
        <v>0.23590196743595993</v>
      </c>
      <c r="J26">
        <f>XCP_3D('Données géométriques'!$B$9,'Données géométriques'!$B$10,'Données géométriques'!$B$11,'Données géométriques'!$B$12,I26)</f>
        <v>-3.7060199084200086E-2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1.1492</v>
      </c>
      <c r="D27">
        <v>2.4250000000000001E-2</v>
      </c>
      <c r="E27">
        <v>1.8200000000000001E-2</v>
      </c>
      <c r="F27">
        <f>C27/(1+2/'Données géométriques'!$B$6)</f>
        <v>0.77079019073569488</v>
      </c>
      <c r="G27">
        <f>F27^2/(PI()*'Données géométriques'!$B$6)</f>
        <v>4.6421449439952835E-2</v>
      </c>
      <c r="H27">
        <f t="shared" si="1"/>
        <v>7.0671449439952835E-2</v>
      </c>
      <c r="I27">
        <f t="shared" si="2"/>
        <v>0.23390753578414225</v>
      </c>
      <c r="J27">
        <f>XCP_3D('Données géométriques'!$B$9,'Données géométriques'!$B$10,'Données géométriques'!$B$11,'Données géométriques'!$B$12,I27)</f>
        <v>-3.6746873871688582E-2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1.1777</v>
      </c>
      <c r="D28">
        <v>2.588E-2</v>
      </c>
      <c r="E28">
        <v>2.1299999999999999E-2</v>
      </c>
      <c r="F28">
        <f>C28/(1+2/'Données géométriques'!$B$6)</f>
        <v>0.78990568015091189</v>
      </c>
      <c r="G28">
        <f>F28^2/(PI()*'Données géométriques'!$B$6)</f>
        <v>4.8752491133602506E-2</v>
      </c>
      <c r="H28">
        <f t="shared" si="1"/>
        <v>7.4632491133602513E-2</v>
      </c>
      <c r="I28">
        <f t="shared" si="2"/>
        <v>0.23159581057101714</v>
      </c>
      <c r="J28">
        <f>XCP_3D('Données géométriques'!$B$9,'Données géométriques'!$B$10,'Données géométriques'!$B$11,'Données géométriques'!$B$12,I28)</f>
        <v>-3.6383701840717167E-2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1.1964999999999999</v>
      </c>
      <c r="D29">
        <v>2.7910000000000001E-2</v>
      </c>
      <c r="E29">
        <v>2.53E-2</v>
      </c>
      <c r="F29">
        <f>C29/(1+2/'Données géométriques'!$B$6)</f>
        <v>0.80251519597568644</v>
      </c>
      <c r="G29">
        <f>F29^2/(PI()*'Données géométriques'!$B$6)</f>
        <v>5.0321417681526509E-2</v>
      </c>
      <c r="H29">
        <f t="shared" si="1"/>
        <v>7.8231417681526513E-2</v>
      </c>
      <c r="I29">
        <f t="shared" si="2"/>
        <v>0.22845302977331139</v>
      </c>
      <c r="J29">
        <f>XCP_3D('Données géométriques'!$B$9,'Données géométriques'!$B$10,'Données géométriques'!$B$11,'Données géométriques'!$B$12,I29)</f>
        <v>-3.5889970977385853E-2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1.2136</v>
      </c>
      <c r="D30">
        <v>3.032E-2</v>
      </c>
      <c r="E30">
        <v>2.86E-2</v>
      </c>
      <c r="F30">
        <f>C30/(1+2/'Données géométriques'!$B$6)</f>
        <v>0.81398448962481673</v>
      </c>
      <c r="G30">
        <f>F30^2/(PI()*'Données géométriques'!$B$6)</f>
        <v>5.1770051551275557E-2</v>
      </c>
      <c r="H30">
        <f t="shared" si="1"/>
        <v>8.209005155127555E-2</v>
      </c>
      <c r="I30">
        <f t="shared" si="2"/>
        <v>0.22595256486875395</v>
      </c>
      <c r="J30">
        <f>XCP_3D('Données géométriques'!$B$9,'Données géométriques'!$B$10,'Données géométriques'!$B$11,'Données géométriques'!$B$12,I30)</f>
        <v>-3.549714794089083E-2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1.2262999999999999</v>
      </c>
      <c r="D31">
        <v>3.3360000000000001E-2</v>
      </c>
      <c r="E31">
        <v>3.09E-2</v>
      </c>
      <c r="F31">
        <f>C31/(1+2/'Données géométriques'!$B$6)</f>
        <v>0.82250261999580809</v>
      </c>
      <c r="G31">
        <f>F31^2/(PI()*'Données géométriques'!$B$6)</f>
        <v>5.2859240459036498E-2</v>
      </c>
      <c r="H31">
        <f t="shared" si="1"/>
        <v>8.6219240459036506E-2</v>
      </c>
      <c r="I31">
        <f t="shared" si="2"/>
        <v>0.2242543975789284</v>
      </c>
      <c r="J31">
        <f>XCP_3D('Données géométriques'!$B$9,'Données géométriques'!$B$10,'Données géométriques'!$B$11,'Données géométriques'!$B$12,I31)</f>
        <v>-3.5230365859657949E-2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1.2346999999999999</v>
      </c>
      <c r="D32">
        <v>3.7249999999999998E-2</v>
      </c>
      <c r="E32">
        <v>3.2000000000000001E-2</v>
      </c>
      <c r="F32">
        <f>C32/(1+2/'Données géométriques'!$B$6)</f>
        <v>0.8281366589813457</v>
      </c>
      <c r="G32">
        <f>F32^2/(PI()*'Données géométriques'!$B$6)</f>
        <v>5.3585878887060276E-2</v>
      </c>
      <c r="H32">
        <f t="shared" si="1"/>
        <v>9.0835878887060267E-2</v>
      </c>
      <c r="I32">
        <f t="shared" si="2"/>
        <v>0.22348877140264811</v>
      </c>
      <c r="J32">
        <f>XCP_3D('Données géométriques'!$B$9,'Données géométriques'!$B$10,'Données géométriques'!$B$11,'Données géométriques'!$B$12,I32)</f>
        <v>-3.5110085987356564E-2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1.2372000000000001</v>
      </c>
      <c r="D33">
        <v>4.2380000000000001E-2</v>
      </c>
      <c r="E33">
        <v>3.1399999999999997E-2</v>
      </c>
      <c r="F33">
        <f>C33/(1+2/'Données géométriques'!$B$6)</f>
        <v>0.82981345629847003</v>
      </c>
      <c r="G33">
        <f>F33^2/(PI()*'Données géométriques'!$B$6)</f>
        <v>5.3803098166175435E-2</v>
      </c>
      <c r="H33">
        <f t="shared" si="1"/>
        <v>9.6183098166175429E-2</v>
      </c>
      <c r="I33">
        <f t="shared" si="2"/>
        <v>0.22401529911035492</v>
      </c>
      <c r="J33">
        <f>XCP_3D('Données géométriques'!$B$9,'Données géométriques'!$B$10,'Données géométriques'!$B$11,'Données géométriques'!$B$12,I33)</f>
        <v>-3.5192803490245846E-2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1.2305999999999999</v>
      </c>
      <c r="D34">
        <v>4.9410000000000003E-2</v>
      </c>
      <c r="E34">
        <v>2.9000000000000001E-2</v>
      </c>
      <c r="F34">
        <f>C34/(1+2/'Données géométriques'!$B$6)</f>
        <v>0.82538671138126185</v>
      </c>
      <c r="G34">
        <f>F34^2/(PI()*'Données géométriques'!$B$6)</f>
        <v>5.3230590432981943E-2</v>
      </c>
      <c r="H34">
        <f t="shared" si="1"/>
        <v>0.10264059043298195</v>
      </c>
      <c r="I34">
        <f t="shared" si="2"/>
        <v>0.22586263148947031</v>
      </c>
      <c r="J34">
        <f>XCP_3D('Données géométriques'!$B$9,'Données géométriques'!$B$10,'Données géométriques'!$B$11,'Données géométriques'!$B$12,I34)</f>
        <v>-3.548301940700644E-2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1.2195</v>
      </c>
      <c r="D35">
        <v>5.7829999999999999E-2</v>
      </c>
      <c r="E35">
        <v>2.5100000000000001E-2</v>
      </c>
      <c r="F35">
        <f>C35/(1+2/'Données géométriques'!$B$6)</f>
        <v>0.81794173129323011</v>
      </c>
      <c r="G35">
        <f>F35^2/(PI()*'Données géométriques'!$B$6)</f>
        <v>5.2274642472476082E-2</v>
      </c>
      <c r="H35">
        <f t="shared" si="1"/>
        <v>0.11010464247247609</v>
      </c>
      <c r="I35">
        <f t="shared" si="2"/>
        <v>0.22891822319353622</v>
      </c>
      <c r="J35">
        <f>XCP_3D('Données géométriques'!$B$9,'Données géométriques'!$B$10,'Données géométriques'!$B$11,'Données géométriques'!$B$12,I35)</f>
        <v>-3.5963052863714172E-2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1.1984999999999999</v>
      </c>
      <c r="D36">
        <v>6.83E-2</v>
      </c>
      <c r="E36">
        <v>1.9800000000000002E-2</v>
      </c>
      <c r="F36">
        <f>C36/(1+2/'Données géométriques'!$B$6)</f>
        <v>0.80385663382938588</v>
      </c>
      <c r="G36">
        <f>F36^2/(PI()*'Données géométriques'!$B$6)</f>
        <v>5.0489787008272988E-2</v>
      </c>
      <c r="H36">
        <f t="shared" si="1"/>
        <v>0.11878978700827299</v>
      </c>
      <c r="I36">
        <f t="shared" si="2"/>
        <v>0.23308990445119251</v>
      </c>
      <c r="J36">
        <f>XCP_3D('Données géométriques'!$B$9,'Données géométriques'!$B$10,'Données géométriques'!$B$11,'Données géométriques'!$B$12,I36)</f>
        <v>-3.6618423989296059E-2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>A37*PI()/180</f>
        <v>0.28797932657906439</v>
      </c>
      <c r="C37">
        <v>1.1680999999999999</v>
      </c>
      <c r="D37">
        <v>8.0750000000000002E-2</v>
      </c>
      <c r="E37">
        <v>1.32E-2</v>
      </c>
      <c r="F37">
        <f>C37/(1+2/'Données géométriques'!$B$6)</f>
        <v>0.78346677845315449</v>
      </c>
      <c r="G37">
        <f>F37^2/(PI()*'Données géométriques'!$B$6)</f>
        <v>4.7960920494741092E-2</v>
      </c>
      <c r="H37">
        <f>D37+G37</f>
        <v>0.12871092049474109</v>
      </c>
      <c r="I37">
        <f>0.25-E37/(C37*COS(B37)+D37*SIN(B37))</f>
        <v>0.23845075214431999</v>
      </c>
      <c r="J37">
        <f>XCP_3D('Données géométriques'!$B$9,'Données géométriques'!$B$10,'Données géométriques'!$B$11,'Données géométriques'!$B$12,I37)</f>
        <v>-3.7460613161874524E-2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>A38*PI()/180</f>
        <v>0.29670597283903605</v>
      </c>
      <c r="C38">
        <v>1.1303000000000001</v>
      </c>
      <c r="D38">
        <v>9.5159999999999995E-2</v>
      </c>
      <c r="E38">
        <v>5.5999999999999999E-3</v>
      </c>
      <c r="F38">
        <f>C38/(1+2/'Données géométriques'!$B$6)</f>
        <v>0.75811360301823527</v>
      </c>
      <c r="G38">
        <f>F38^2/(PI()*'Données géométriques'!$B$6)</f>
        <v>4.4907090371472363E-2</v>
      </c>
      <c r="H38">
        <f>D38+G38</f>
        <v>0.14006709037147236</v>
      </c>
      <c r="I38">
        <f>0.25-E38/(C38*COS(B38)+D38*SIN(B38))</f>
        <v>0.24494919137752302</v>
      </c>
      <c r="J38">
        <f>XCP_3D('Données géométriques'!$B$9,'Données géométriques'!$B$10,'Données géométriques'!$B$11,'Données géométriques'!$B$12,I38)</f>
        <v>-3.8481517965410016E-2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>A39*PI()/180</f>
        <v>0.30543261909900765</v>
      </c>
      <c r="C39">
        <v>1.0872999999999999</v>
      </c>
      <c r="D39">
        <v>0.11133</v>
      </c>
      <c r="E39">
        <v>-3.0999999999999999E-3</v>
      </c>
      <c r="F39">
        <f>C39/(1+2/'Données géométriques'!$B$6)</f>
        <v>0.72927268916369736</v>
      </c>
      <c r="G39">
        <f>F39^2/(PI()*'Données géométriques'!$B$6)</f>
        <v>4.1555282393038399E-2</v>
      </c>
      <c r="H39">
        <f>D39+G39</f>
        <v>0.15288528239303839</v>
      </c>
      <c r="I39">
        <f>0.25-E39/(C39*COS(B39)+D39*SIN(B39))</f>
        <v>0.25289596745882403</v>
      </c>
      <c r="J39">
        <f>XCP_3D('Données géométriques'!$B$9,'Données géométriques'!$B$10,'Données géométriques'!$B$11,'Données géométriques'!$B$12,I39)</f>
        <v>-3.9729956487784379E-2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>A40*PI()/180</f>
        <v>0.31415926535897931</v>
      </c>
      <c r="C40">
        <v>1.0371999999999999</v>
      </c>
      <c r="D40">
        <v>0.12998000000000001</v>
      </c>
      <c r="E40">
        <v>-1.32E-2</v>
      </c>
      <c r="F40">
        <f>C40/(1+2/'Données géométriques'!$B$6)</f>
        <v>0.6956696709285265</v>
      </c>
      <c r="G40">
        <f>F40^2/(PI()*'Données géométriques'!$B$6)</f>
        <v>3.7813987654601644E-2</v>
      </c>
      <c r="H40">
        <f>D40+G40</f>
        <v>0.16779398765460166</v>
      </c>
      <c r="I40">
        <f>0.25-E40/(C40*COS(B40)+D40*SIN(B40))</f>
        <v>0.26285795464957612</v>
      </c>
      <c r="J40">
        <f>XCP_3D('Données géométriques'!$B$9,'Données géométriques'!$B$10,'Données géométriques'!$B$11,'Données géométriques'!$B$12,I40)</f>
        <v>-4.1294984675458453E-2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20</v>
      </c>
      <c r="B41">
        <f>A41*PI()/180</f>
        <v>0.3490658503988659</v>
      </c>
      <c r="C41">
        <v>0.83789999999999998</v>
      </c>
      <c r="D41">
        <v>0.23218</v>
      </c>
      <c r="E41">
        <v>-6.6799999999999998E-2</v>
      </c>
      <c r="F41">
        <f>C41/(1+2/'Données géométriques'!$B$6)</f>
        <v>0.56199538880737798</v>
      </c>
      <c r="G41">
        <f>F41^2/(PI()*'Données géométriques'!$B$6)</f>
        <v>2.467810698878601E-2</v>
      </c>
      <c r="H41">
        <f>D41+G41</f>
        <v>0.25685810698878603</v>
      </c>
      <c r="I41">
        <f>0.25-E41/(C41*COS(B41)+D41*SIN(B41))</f>
        <v>0.32706696212755898</v>
      </c>
      <c r="J41">
        <f>XCP_3D('Données géométriques'!$B$9,'Données géométriques'!$B$10,'Données géométriques'!$B$11,'Données géométriques'!$B$12,I41)</f>
        <v>-5.1382219750250722E-2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36F7-4354-4DC0-88B5-43DABD77F786}">
  <sheetPr codeName="Feuil5"/>
  <dimension ref="A1:L43"/>
  <sheetViews>
    <sheetView workbookViewId="0">
      <selection activeCell="A2" sqref="A2:L3"/>
    </sheetView>
  </sheetViews>
  <sheetFormatPr baseColWidth="10" defaultRowHeight="14.4" x14ac:dyDescent="0.3"/>
  <sheetData>
    <row r="1" spans="1:12" ht="15.6" x14ac:dyDescent="0.3">
      <c r="A1" s="1">
        <v>2</v>
      </c>
      <c r="B1" s="1"/>
      <c r="C1" s="2">
        <f>A1*'Données géométriques'!B2/'Données géométriques'!F2</f>
        <v>312015.88877855008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7.6299999999999996E-3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7.6299999999999996E-3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3" si="0">A5*PI()/180</f>
        <v>8.7266462599716477E-3</v>
      </c>
      <c r="C5">
        <v>5.2999999999999999E-2</v>
      </c>
      <c r="D5">
        <v>7.6499999999999997E-3</v>
      </c>
      <c r="E5">
        <v>8.0000000000000004E-4</v>
      </c>
      <c r="F5">
        <f>C5/(1+2/'Données géométriques'!$B$6)</f>
        <v>3.5548103123035003E-2</v>
      </c>
      <c r="G5">
        <f>F5^2/(PI()*'Données géométriques'!$B$6)</f>
        <v>9.8736834828989451E-5</v>
      </c>
      <c r="H5">
        <f>D5+G5</f>
        <v>7.7487368348289889E-3</v>
      </c>
      <c r="I5">
        <f>0.25-E5/(C5*COS(B5)+D5*SIN(B5))</f>
        <v>0.23492407573801929</v>
      </c>
      <c r="J5">
        <f>XCP_3D('Données géométriques'!$B$9,'Données géométriques'!$B$10,'Données géométriques'!$B$11,'Données géométriques'!$B$12,I5)</f>
        <v>-3.6906572298455717E-2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0.10580000000000001</v>
      </c>
      <c r="D6">
        <v>7.7099999999999998E-3</v>
      </c>
      <c r="E6">
        <v>1.6000000000000001E-3</v>
      </c>
      <c r="F6">
        <f>C6/(1+2/'Données géométriques'!$B$6)</f>
        <v>7.0962062460700082E-2</v>
      </c>
      <c r="G6">
        <f>F6^2/(PI()*'Données géométriques'!$B$6)</f>
        <v>3.9345837800468854E-4</v>
      </c>
      <c r="H6">
        <f t="shared" ref="H6:H43" si="1">D6+G6</f>
        <v>8.1034583780046892E-3</v>
      </c>
      <c r="I6">
        <f t="shared" ref="I6:I43" si="2">0.25-E6/(C6*COS(B6)+D6*SIN(B6))</f>
        <v>0.23489403793581959</v>
      </c>
      <c r="J6">
        <f>XCP_3D('Données géométriques'!$B$9,'Données géométriques'!$B$10,'Données géométriques'!$B$11,'Données géométriques'!$B$12,I6)</f>
        <v>-3.6901853359731403E-2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0.15859999999999999</v>
      </c>
      <c r="D7">
        <v>7.8300000000000002E-3</v>
      </c>
      <c r="E7">
        <v>2.5000000000000001E-3</v>
      </c>
      <c r="F7">
        <f>C7/(1+2/'Données géométriques'!$B$6)</f>
        <v>0.10637602179836513</v>
      </c>
      <c r="G7">
        <f>F7^2/(PI()*'Données géométriques'!$B$6)</f>
        <v>8.8416603553400058E-4</v>
      </c>
      <c r="H7">
        <f t="shared" si="1"/>
        <v>8.714166035534E-3</v>
      </c>
      <c r="I7">
        <f t="shared" si="2"/>
        <v>0.23425202973466169</v>
      </c>
      <c r="J7">
        <f>XCP_3D('Données géométriques'!$B$9,'Données géométriques'!$B$10,'Données géométriques'!$B$11,'Données géométriques'!$B$12,I7)</f>
        <v>-3.6800993871323483E-2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0.2112</v>
      </c>
      <c r="D8">
        <v>8.0199999999999994E-3</v>
      </c>
      <c r="E8">
        <v>3.3999999999999998E-3</v>
      </c>
      <c r="F8">
        <f>C8/(1+2/'Données géométriques'!$B$6)</f>
        <v>0.14165583735066026</v>
      </c>
      <c r="G8">
        <f>F8^2/(PI()*'Données géométriques'!$B$6)</f>
        <v>1.5678889148289072E-3</v>
      </c>
      <c r="H8">
        <f t="shared" si="1"/>
        <v>9.5878889148289063E-3</v>
      </c>
      <c r="I8">
        <f t="shared" si="2"/>
        <v>0.23391303474626748</v>
      </c>
      <c r="J8">
        <f>XCP_3D('Données géométriques'!$B$9,'Données géométriques'!$B$10,'Données géométriques'!$B$11,'Données géométriques'!$B$12,I8)</f>
        <v>-3.6747737758639272E-2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0.26350000000000001</v>
      </c>
      <c r="D9">
        <v>8.2900000000000005E-3</v>
      </c>
      <c r="E9">
        <v>4.3E-3</v>
      </c>
      <c r="F9">
        <f>C9/(1+2/'Données géométriques'!$B$6)</f>
        <v>0.17673443722490048</v>
      </c>
      <c r="G9">
        <f>F9^2/(PI()*'Données géométriques'!$B$6)</f>
        <v>2.4405555713973323E-3</v>
      </c>
      <c r="H9">
        <f t="shared" si="1"/>
        <v>1.0730555571397333E-2</v>
      </c>
      <c r="I9">
        <f t="shared" si="2"/>
        <v>0.23368807416537618</v>
      </c>
      <c r="J9">
        <f>XCP_3D('Données géométriques'!$B$9,'Données géométriques'!$B$10,'Données géométriques'!$B$11,'Données géométriques'!$B$12,I9)</f>
        <v>-3.671239645138176E-2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0.31619999999999998</v>
      </c>
      <c r="D10">
        <v>8.6400000000000001E-3</v>
      </c>
      <c r="E10">
        <v>5.1999999999999998E-3</v>
      </c>
      <c r="F10">
        <f>C10/(1+2/'Données géométriques'!$B$6)</f>
        <v>0.21208132466988056</v>
      </c>
      <c r="G10">
        <f>F10^2/(PI()*'Données géométriques'!$B$6)</f>
        <v>3.5144000228121575E-3</v>
      </c>
      <c r="H10">
        <f t="shared" si="1"/>
        <v>1.2154400022812158E-2</v>
      </c>
      <c r="I10">
        <f t="shared" si="2"/>
        <v>0.23355569208182103</v>
      </c>
      <c r="J10">
        <f>XCP_3D('Données géométriques'!$B$9,'Données géométriques'!$B$10,'Données géométriques'!$B$11,'Données géométriques'!$B$12,I10)</f>
        <v>-3.6691599226064305E-2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0.37</v>
      </c>
      <c r="D11">
        <v>9.0799999999999995E-3</v>
      </c>
      <c r="E11">
        <v>5.7999999999999996E-3</v>
      </c>
      <c r="F11">
        <f>C11/(1+2/'Données géométriques'!$B$6)</f>
        <v>0.24816600293439534</v>
      </c>
      <c r="G11">
        <f>F11^2/(PI()*'Données géométriques'!$B$6)</f>
        <v>4.8120586287250479E-3</v>
      </c>
      <c r="H11">
        <f t="shared" si="1"/>
        <v>1.3892058628725047E-2</v>
      </c>
      <c r="I11">
        <f t="shared" si="2"/>
        <v>0.23431856865224035</v>
      </c>
      <c r="J11">
        <f>XCP_3D('Données géométriques'!$B$9,'Données géométriques'!$B$10,'Données géométriques'!$B$11,'Données géométriques'!$B$12,I11)</f>
        <v>-3.6811447135266476E-2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0.42599999999999999</v>
      </c>
      <c r="D12">
        <v>9.5999999999999992E-3</v>
      </c>
      <c r="E12">
        <v>5.7999999999999996E-3</v>
      </c>
      <c r="F12">
        <f>C12/(1+2/'Données géométriques'!$B$6)</f>
        <v>0.28572626283797947</v>
      </c>
      <c r="G12">
        <f>F12^2/(PI()*'Données géométriques'!$B$6)</f>
        <v>6.3789127224726568E-3</v>
      </c>
      <c r="H12">
        <f t="shared" si="1"/>
        <v>1.5978912722472656E-2</v>
      </c>
      <c r="I12">
        <f t="shared" si="2"/>
        <v>0.2363732033432451</v>
      </c>
      <c r="J12">
        <f>XCP_3D('Données géométriques'!$B$9,'Données géométriques'!$B$10,'Données géométriques'!$B$11,'Données géométriques'!$B$12,I12)</f>
        <v>-3.7134230245233608E-2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0.48409999999999997</v>
      </c>
      <c r="D13">
        <v>1.018E-2</v>
      </c>
      <c r="E13">
        <v>5.1999999999999998E-3</v>
      </c>
      <c r="F13">
        <f>C13/(1+2/'Données géométriques'!$B$6)</f>
        <v>0.32469503248794807</v>
      </c>
      <c r="G13">
        <f>F13^2/(PI()*'Données géométriques'!$B$6)</f>
        <v>8.2375417204270402E-3</v>
      </c>
      <c r="H13">
        <f t="shared" si="1"/>
        <v>1.841754172042704E-2</v>
      </c>
      <c r="I13">
        <f t="shared" si="2"/>
        <v>0.23924300535667756</v>
      </c>
      <c r="J13">
        <f>XCP_3D('Données géométriques'!$B$9,'Données géométriques'!$B$10,'Données géométriques'!$B$11,'Données géométriques'!$B$12,I13)</f>
        <v>-3.7585076141544958E-2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0.54469999999999996</v>
      </c>
      <c r="D14">
        <v>1.0800000000000001E-2</v>
      </c>
      <c r="E14">
        <v>4.0000000000000001E-3</v>
      </c>
      <c r="F14">
        <f>C14/(1+2/'Données géométriques'!$B$6)</f>
        <v>0.36534059945504088</v>
      </c>
      <c r="G14">
        <f>F14^2/(PI()*'Données géométriques'!$B$6)</f>
        <v>1.0428989073124473E-2</v>
      </c>
      <c r="H14">
        <f t="shared" si="1"/>
        <v>2.1228989073124475E-2</v>
      </c>
      <c r="I14">
        <f t="shared" si="2"/>
        <v>0.24264122231279056</v>
      </c>
      <c r="J14">
        <f>XCP_3D('Données géométriques'!$B$9,'Données géométriques'!$B$10,'Données géométriques'!$B$11,'Données géométriques'!$B$12,I14)</f>
        <v>-3.8118936025348472E-2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0.60809999999999997</v>
      </c>
      <c r="D15">
        <v>1.1429999999999999E-2</v>
      </c>
      <c r="E15">
        <v>2.0999999999999999E-3</v>
      </c>
      <c r="F15">
        <f>C15/(1+2/'Données géométriques'!$B$6)</f>
        <v>0.40786417941731296</v>
      </c>
      <c r="G15">
        <f>F15^2/(PI()*'Données géométriques'!$B$6)</f>
        <v>1.299802801591567E-2</v>
      </c>
      <c r="H15">
        <f t="shared" si="1"/>
        <v>2.4428028015915669E-2</v>
      </c>
      <c r="I15">
        <f t="shared" si="2"/>
        <v>0.24653691615734299</v>
      </c>
      <c r="J15">
        <f>XCP_3D('Données géométriques'!$B$9,'Données géométriques'!$B$10,'Données géométriques'!$B$11,'Données géométriques'!$B$12,I15)</f>
        <v>-3.8730949528319722E-2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0.67290000000000005</v>
      </c>
      <c r="D16">
        <v>1.209E-2</v>
      </c>
      <c r="E16">
        <v>-2.0000000000000001E-4</v>
      </c>
      <c r="F16">
        <f>C16/(1+2/'Données géométriques'!$B$6)</f>
        <v>0.45132676587717468</v>
      </c>
      <c r="G16">
        <f>F16^2/(PI()*'Données géométriques'!$B$6)</f>
        <v>1.5915801663104218E-2</v>
      </c>
      <c r="H16">
        <f t="shared" si="1"/>
        <v>2.8005801663104218E-2</v>
      </c>
      <c r="I16">
        <f t="shared" si="2"/>
        <v>0.25029829485747274</v>
      </c>
      <c r="J16">
        <f>XCP_3D('Données géométriques'!$B$9,'Données géométriques'!$B$10,'Données géométriques'!$B$11,'Données géométriques'!$B$12,I16)</f>
        <v>-3.9321862122119071E-2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0.73699999999999999</v>
      </c>
      <c r="D17">
        <v>1.274E-2</v>
      </c>
      <c r="E17">
        <v>-2.3E-3</v>
      </c>
      <c r="F17">
        <f>C17/(1+2/'Données géométriques'!$B$6)</f>
        <v>0.4943198490882415</v>
      </c>
      <c r="G17">
        <f>F17^2/(PI()*'Données géométriques'!$B$6)</f>
        <v>1.9092484100116547E-2</v>
      </c>
      <c r="H17">
        <f t="shared" si="1"/>
        <v>3.1832484100116548E-2</v>
      </c>
      <c r="I17">
        <f t="shared" si="2"/>
        <v>0.25313477630002024</v>
      </c>
      <c r="J17">
        <f>XCP_3D('Données géométriques'!$B$9,'Données géométriques'!$B$10,'Données géométriques'!$B$11,'Données géométriques'!$B$12,I17)</f>
        <v>-3.9767473356744548E-2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0.80059999999999998</v>
      </c>
      <c r="D18">
        <v>1.3440000000000001E-2</v>
      </c>
      <c r="E18">
        <v>-4.4999999999999997E-3</v>
      </c>
      <c r="F18">
        <f>C18/(1+2/'Données géométriques'!$B$6)</f>
        <v>0.53697757283588354</v>
      </c>
      <c r="G18">
        <f>F18^2/(PI()*'Données géométriques'!$B$6)</f>
        <v>2.2529867282751741E-2</v>
      </c>
      <c r="H18">
        <f t="shared" si="1"/>
        <v>3.5969867282751741E-2</v>
      </c>
      <c r="I18">
        <f t="shared" si="2"/>
        <v>0.2556513467695179</v>
      </c>
      <c r="J18">
        <f>XCP_3D('Données géométriques'!$B$9,'Données géométriques'!$B$10,'Données géométriques'!$B$11,'Données géométriques'!$B$12,I18)</f>
        <v>-4.016282657749333E-2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0.84299999999999997</v>
      </c>
      <c r="D19">
        <v>1.4080000000000001E-2</v>
      </c>
      <c r="E19">
        <v>-2E-3</v>
      </c>
      <c r="F19">
        <f>C19/(1+2/'Données géométriques'!$B$6)</f>
        <v>0.5654160553343115</v>
      </c>
      <c r="G19">
        <f>F19^2/(PI()*'Données géométriques'!$B$6)</f>
        <v>2.4979435006901578E-2</v>
      </c>
      <c r="H19">
        <f t="shared" si="1"/>
        <v>3.905943500690158E-2</v>
      </c>
      <c r="I19">
        <f t="shared" si="2"/>
        <v>0.25238770097066276</v>
      </c>
      <c r="J19">
        <f>XCP_3D('Données géométriques'!$B$9,'Données géométriques'!$B$10,'Données géométriques'!$B$11,'Données géométriques'!$B$12,I19)</f>
        <v>-3.9650107822504853E-2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0.88539999999999996</v>
      </c>
      <c r="D20">
        <v>1.477E-2</v>
      </c>
      <c r="E20">
        <v>4.0000000000000002E-4</v>
      </c>
      <c r="F20">
        <f>C20/(1+2/'Données géométriques'!$B$6)</f>
        <v>0.59385453783273956</v>
      </c>
      <c r="G20">
        <f>F20^2/(PI()*'Données géométriques'!$B$6)</f>
        <v>2.7555385879632535E-2</v>
      </c>
      <c r="H20">
        <f t="shared" si="1"/>
        <v>4.2325385879632534E-2</v>
      </c>
      <c r="I20">
        <f t="shared" si="2"/>
        <v>0.2495448540293598</v>
      </c>
      <c r="J20">
        <f>XCP_3D('Données géométriques'!$B$9,'Données géométriques'!$B$10,'Données géométriques'!$B$11,'Données géométriques'!$B$12,I20)</f>
        <v>-3.9203496568026359E-2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0.9274</v>
      </c>
      <c r="D21">
        <v>1.555E-2</v>
      </c>
      <c r="E21">
        <v>2.7000000000000001E-3</v>
      </c>
      <c r="F21">
        <f>C21/(1+2/'Données géométriques'!$B$6)</f>
        <v>0.62202473276042769</v>
      </c>
      <c r="G21">
        <f>F21^2/(PI()*'Données géométriques'!$B$6)</f>
        <v>3.0231635660862746E-2</v>
      </c>
      <c r="H21">
        <f t="shared" si="1"/>
        <v>4.5781635660862748E-2</v>
      </c>
      <c r="I21">
        <f t="shared" si="2"/>
        <v>0.24706365904970812</v>
      </c>
      <c r="J21">
        <f>XCP_3D('Données géométriques'!$B$9,'Données géométriques'!$B$10,'Données géométriques'!$B$11,'Données géométriques'!$B$12,I21)</f>
        <v>-3.8813700836719527E-2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0.97019999999999995</v>
      </c>
      <c r="D22">
        <v>1.635E-2</v>
      </c>
      <c r="E22">
        <v>4.8999999999999998E-3</v>
      </c>
      <c r="F22">
        <f>C22/(1+2/'Données géométriques'!$B$6)</f>
        <v>0.65073150282959558</v>
      </c>
      <c r="G22">
        <f>F22^2/(PI()*'Données géométriques'!$B$6)</f>
        <v>3.3086437070837749E-2</v>
      </c>
      <c r="H22">
        <f t="shared" si="1"/>
        <v>4.9436437070837752E-2</v>
      </c>
      <c r="I22">
        <f t="shared" si="2"/>
        <v>0.24490015190355391</v>
      </c>
      <c r="J22">
        <f>XCP_3D('Données géométriques'!$B$9,'Données géométriques'!$B$10,'Données géométriques'!$B$11,'Données géométriques'!$B$12,I22)</f>
        <v>-3.8473813864051007E-2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1.0126999999999999</v>
      </c>
      <c r="D23">
        <v>1.7270000000000001E-2</v>
      </c>
      <c r="E23">
        <v>6.8999999999999999E-3</v>
      </c>
      <c r="F23">
        <f>C23/(1+2/'Données géométriques'!$B$6)</f>
        <v>0.67923705722070848</v>
      </c>
      <c r="G23">
        <f>F23^2/(PI()*'Données géométriques'!$B$6)</f>
        <v>3.6048656353768374E-2</v>
      </c>
      <c r="H23">
        <f t="shared" si="1"/>
        <v>5.3318656353768375E-2</v>
      </c>
      <c r="I23">
        <f t="shared" si="2"/>
        <v>0.24311144740242394</v>
      </c>
      <c r="J23">
        <f>XCP_3D('Données géométriques'!$B$9,'Données géométriques'!$B$10,'Données géométriques'!$B$11,'Données géométriques'!$B$12,I23)</f>
        <v>-3.8192808386935131E-2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1.0548999999999999</v>
      </c>
      <c r="D24">
        <v>1.8249999999999999E-2</v>
      </c>
      <c r="E24">
        <v>8.8999999999999999E-3</v>
      </c>
      <c r="F24">
        <f>C24/(1+2/'Données géométriques'!$B$6)</f>
        <v>0.70754139593376653</v>
      </c>
      <c r="G24">
        <f>F24^2/(PI()*'Données géométriques'!$B$6)</f>
        <v>3.9115604521450846E-2</v>
      </c>
      <c r="H24">
        <f t="shared" si="1"/>
        <v>5.7365604521450841E-2</v>
      </c>
      <c r="I24">
        <f t="shared" si="2"/>
        <v>0.24145908384108891</v>
      </c>
      <c r="J24">
        <f>XCP_3D('Données géométriques'!$B$9,'Données géométriques'!$B$10,'Données géométriques'!$B$11,'Données géométriques'!$B$12,I24)</f>
        <v>-3.7933222071446913E-2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1.0958000000000001</v>
      </c>
      <c r="D25">
        <v>1.9359999999999999E-2</v>
      </c>
      <c r="E25">
        <v>1.09E-2</v>
      </c>
      <c r="F25">
        <f>C25/(1+2/'Données géométriques'!$B$6)</f>
        <v>0.73497380004192014</v>
      </c>
      <c r="G25">
        <f>F25^2/(PI()*'Données géométriques'!$B$6)</f>
        <v>4.2207541298335295E-2</v>
      </c>
      <c r="H25">
        <f t="shared" si="1"/>
        <v>6.156754129833529E-2</v>
      </c>
      <c r="I25">
        <f t="shared" si="2"/>
        <v>0.23991654607421117</v>
      </c>
      <c r="J25">
        <f>XCP_3D('Données géométriques'!$B$9,'Données géométriques'!$B$10,'Données géométriques'!$B$11,'Données géométriques'!$B$12,I25)</f>
        <v>-3.7690889388271087E-2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1.1355999999999999</v>
      </c>
      <c r="D26">
        <v>2.051E-2</v>
      </c>
      <c r="E26">
        <v>1.2999999999999999E-2</v>
      </c>
      <c r="F26">
        <f>C26/(1+2/'Données géométriques'!$B$6)</f>
        <v>0.7616684133305387</v>
      </c>
      <c r="G26">
        <f>F26^2/(PI()*'Données géométriques'!$B$6)</f>
        <v>4.5329218284753496E-2</v>
      </c>
      <c r="H26">
        <f t="shared" si="1"/>
        <v>6.5839218284753503E-2</v>
      </c>
      <c r="I26">
        <f t="shared" si="2"/>
        <v>0.23837884246285104</v>
      </c>
      <c r="J26">
        <f>XCP_3D('Données géométriques'!$B$9,'Données géométriques'!$B$10,'Données géométriques'!$B$11,'Données géométriques'!$B$12,I26)</f>
        <v>-3.7449316150916422E-2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1.1718999999999999</v>
      </c>
      <c r="D27">
        <v>2.188E-2</v>
      </c>
      <c r="E27">
        <v>1.54E-2</v>
      </c>
      <c r="F27">
        <f>C27/(1+2/'Données géométriques'!$B$6)</f>
        <v>0.78601551037518347</v>
      </c>
      <c r="G27">
        <f>F27^2/(PI()*'Données géométriques'!$B$6)</f>
        <v>4.8273475829486337E-2</v>
      </c>
      <c r="H27">
        <f t="shared" si="1"/>
        <v>7.0153475829486334E-2</v>
      </c>
      <c r="I27">
        <f t="shared" si="2"/>
        <v>0.23664047890255474</v>
      </c>
      <c r="J27">
        <f>XCP_3D('Données géométriques'!$B$9,'Données géométriques'!$B$10,'Données géométriques'!$B$11,'Données géométriques'!$B$12,I27)</f>
        <v>-3.7176219235593298E-2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1.2061999999999999</v>
      </c>
      <c r="D28">
        <v>2.3279999999999999E-2</v>
      </c>
      <c r="E28">
        <v>1.7899999999999999E-2</v>
      </c>
      <c r="F28">
        <f>C28/(1+2/'Données géométriques'!$B$6)</f>
        <v>0.80902116956612879</v>
      </c>
      <c r="G28">
        <f>F28^2/(PI()*'Données géométriques'!$B$6)</f>
        <v>5.114063428263832E-2</v>
      </c>
      <c r="H28">
        <f t="shared" si="1"/>
        <v>7.4420634282638315E-2</v>
      </c>
      <c r="I28">
        <f t="shared" si="2"/>
        <v>0.23489045776234554</v>
      </c>
      <c r="J28">
        <f>XCP_3D('Données géométriques'!$B$9,'Données géométriques'!$B$10,'Données géométriques'!$B$11,'Données géométriques'!$B$12,I28)</f>
        <v>-3.6901290914467311E-2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1.234</v>
      </c>
      <c r="D29">
        <v>2.4850000000000001E-2</v>
      </c>
      <c r="E29">
        <v>2.12E-2</v>
      </c>
      <c r="F29">
        <f>C29/(1+2/'Données géométriques'!$B$6)</f>
        <v>0.8276671557325509</v>
      </c>
      <c r="G29">
        <f>F29^2/(PI()*'Données géométriques'!$B$6)</f>
        <v>5.3525136225294659E-2</v>
      </c>
      <c r="H29">
        <f t="shared" si="1"/>
        <v>7.8375136225294656E-2</v>
      </c>
      <c r="I29">
        <f t="shared" si="2"/>
        <v>0.23248118913623295</v>
      </c>
      <c r="J29">
        <f>XCP_3D('Données géométriques'!$B$9,'Données géométriques'!$B$10,'Données géométriques'!$B$11,'Données géométriques'!$B$12,I29)</f>
        <v>-3.6522794813303353E-2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1.2543</v>
      </c>
      <c r="D30">
        <v>2.6769999999999999E-2</v>
      </c>
      <c r="E30">
        <v>2.5100000000000001E-2</v>
      </c>
      <c r="F30">
        <f>C30/(1+2/'Données géométriques'!$B$6)</f>
        <v>0.84128274994760022</v>
      </c>
      <c r="G30">
        <f>F30^2/(PI()*'Données géométriques'!$B$6)</f>
        <v>5.5300658967171124E-2</v>
      </c>
      <c r="H30">
        <f t="shared" si="1"/>
        <v>8.2070658967171126E-2</v>
      </c>
      <c r="I30">
        <f t="shared" si="2"/>
        <v>0.22956316155201553</v>
      </c>
      <c r="J30">
        <f>XCP_3D('Données géométriques'!$B$9,'Données géométriques'!$B$10,'Données géométriques'!$B$11,'Données géométriques'!$B$12,I30)</f>
        <v>-3.6064372679834665E-2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1.2705</v>
      </c>
      <c r="D31">
        <v>2.92E-2</v>
      </c>
      <c r="E31">
        <v>2.8299999999999999E-2</v>
      </c>
      <c r="F31">
        <f>C31/(1+2/'Données géométriques'!$B$6)</f>
        <v>0.85214839656256558</v>
      </c>
      <c r="G31">
        <f>F31^2/(PI()*'Données géométriques'!$B$6)</f>
        <v>5.6738362890750668E-2</v>
      </c>
      <c r="H31">
        <f t="shared" si="1"/>
        <v>8.5938362890750672E-2</v>
      </c>
      <c r="I31">
        <f t="shared" si="2"/>
        <v>0.22721807019005955</v>
      </c>
      <c r="J31">
        <f>XCP_3D('Données géométriques'!$B$9,'Données géométriques'!$B$10,'Données géométriques'!$B$11,'Données géométriques'!$B$12,I31)</f>
        <v>-3.5695958826860108E-2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1.2846</v>
      </c>
      <c r="D32">
        <v>3.2099999999999997E-2</v>
      </c>
      <c r="E32">
        <v>3.0499999999999999E-2</v>
      </c>
      <c r="F32">
        <f>C32/(1+2/'Données géométriques'!$B$6)</f>
        <v>0.86160553343114665</v>
      </c>
      <c r="G32">
        <f>F32^2/(PI()*'Données géométriques'!$B$6)</f>
        <v>5.8004714995438786E-2</v>
      </c>
      <c r="H32">
        <f t="shared" si="1"/>
        <v>9.0104714995438789E-2</v>
      </c>
      <c r="I32">
        <f t="shared" si="2"/>
        <v>0.22568185648235961</v>
      </c>
      <c r="J32">
        <f>XCP_3D('Données géométriques'!$B$9,'Données géométriques'!$B$10,'Données géométriques'!$B$11,'Données géométriques'!$B$12,I32)</f>
        <v>-3.5454619653389981E-2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1.2942</v>
      </c>
      <c r="D33">
        <v>3.5860000000000003E-2</v>
      </c>
      <c r="E33">
        <v>3.1600000000000003E-2</v>
      </c>
      <c r="F33">
        <f>C33/(1+2/'Données géométriques'!$B$6)</f>
        <v>0.86804443512890395</v>
      </c>
      <c r="G33">
        <f>F33^2/(PI()*'Données géométriques'!$B$6)</f>
        <v>5.8874909540368364E-2</v>
      </c>
      <c r="H33">
        <f t="shared" si="1"/>
        <v>9.4734909540368367E-2</v>
      </c>
      <c r="I33">
        <f t="shared" si="2"/>
        <v>0.22495949347666672</v>
      </c>
      <c r="J33">
        <f>XCP_3D('Données géométriques'!$B$9,'Données géométriques'!$B$10,'Données géométriques'!$B$11,'Données géométriques'!$B$12,I33)</f>
        <v>-3.5341136425194639E-2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1.2983</v>
      </c>
      <c r="D34">
        <v>4.0820000000000002E-2</v>
      </c>
      <c r="E34">
        <v>3.1099999999999999E-2</v>
      </c>
      <c r="F34">
        <f>C34/(1+2/'Données géométriques'!$B$6)</f>
        <v>0.87079438272898779</v>
      </c>
      <c r="G34">
        <f>F34^2/(PI()*'Données géométriques'!$B$6)</f>
        <v>5.9248529512460221E-2</v>
      </c>
      <c r="H34">
        <f t="shared" si="1"/>
        <v>0.10006852951246023</v>
      </c>
      <c r="I34">
        <f t="shared" si="2"/>
        <v>0.22540775861084408</v>
      </c>
      <c r="J34">
        <f>XCP_3D('Données géométriques'!$B$9,'Données géométriques'!$B$10,'Données géométriques'!$B$11,'Données géométriques'!$B$12,I34)</f>
        <v>-3.5411558877762435E-2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1.2943</v>
      </c>
      <c r="D35">
        <v>4.7509999999999997E-2</v>
      </c>
      <c r="E35">
        <v>2.8799999999999999E-2</v>
      </c>
      <c r="F35">
        <f>C35/(1+2/'Données géométriques'!$B$6)</f>
        <v>0.8681115070215889</v>
      </c>
      <c r="G35">
        <f>F35^2/(PI()*'Données géométriques'!$B$6)</f>
        <v>5.8884008162545458E-2</v>
      </c>
      <c r="H35">
        <f t="shared" si="1"/>
        <v>0.10639400816254546</v>
      </c>
      <c r="I35">
        <f t="shared" si="2"/>
        <v>0.22714146732294255</v>
      </c>
      <c r="J35">
        <f>XCP_3D('Données géométriques'!$B$9,'Données géométriques'!$B$10,'Données géométriques'!$B$11,'Données géométriques'!$B$12,I35)</f>
        <v>-3.5683924516432729E-2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1.2791999999999999</v>
      </c>
      <c r="D36">
        <v>5.6520000000000001E-2</v>
      </c>
      <c r="E36">
        <v>2.46E-2</v>
      </c>
      <c r="F36">
        <f>C36/(1+2/'Données géométriques'!$B$6)</f>
        <v>0.85798365122615805</v>
      </c>
      <c r="G36">
        <f>F36^2/(PI()*'Données géométriques'!$B$6)</f>
        <v>5.7518077727896348E-2</v>
      </c>
      <c r="H36">
        <f t="shared" si="1"/>
        <v>0.11403807772789634</v>
      </c>
      <c r="I36">
        <f t="shared" si="2"/>
        <v>0.23024453387911389</v>
      </c>
      <c r="J36">
        <f>XCP_3D('Données géométriques'!$B$9,'Données géométriques'!$B$10,'Données géométriques'!$B$11,'Données géométriques'!$B$12,I36)</f>
        <v>-3.61714162724227E-2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1.2518</v>
      </c>
      <c r="D37">
        <v>6.8000000000000005E-2</v>
      </c>
      <c r="E37">
        <v>1.8599999999999998E-2</v>
      </c>
      <c r="F37">
        <f>C37/(1+2/'Données géométriques'!$B$6)</f>
        <v>0.83960595263047588</v>
      </c>
      <c r="G37">
        <f>F37^2/(PI()*'Données géométriques'!$B$6)</f>
        <v>5.5080434348298811E-2</v>
      </c>
      <c r="H37">
        <f t="shared" si="1"/>
        <v>0.12308043434829882</v>
      </c>
      <c r="I37">
        <f t="shared" si="2"/>
        <v>0.23474864271948437</v>
      </c>
      <c r="J37">
        <f>XCP_3D('Données géométriques'!$B$9,'Données géométriques'!$B$10,'Données géométriques'!$B$11,'Données géométriques'!$B$12,I37)</f>
        <v>-3.6879011771231693E-2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1.2143999999999999</v>
      </c>
      <c r="D38">
        <v>8.1559999999999994E-2</v>
      </c>
      <c r="E38">
        <v>1.15E-2</v>
      </c>
      <c r="F38">
        <f>C38/(1+2/'Données géométriques'!$B$6)</f>
        <v>0.81452106476629638</v>
      </c>
      <c r="G38">
        <f>F38^2/(PI()*'Données géométriques'!$B$6)</f>
        <v>5.183832724653073E-2</v>
      </c>
      <c r="H38">
        <f t="shared" si="1"/>
        <v>0.13339832724653072</v>
      </c>
      <c r="I38">
        <f t="shared" si="2"/>
        <v>0.24029685163989009</v>
      </c>
      <c r="J38">
        <f>XCP_3D('Données géométriques'!$B$9,'Données géométriques'!$B$10,'Données géométriques'!$B$11,'Données géométriques'!$B$12,I38)</f>
        <v>-3.7750635392629329E-2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1.1719999999999999</v>
      </c>
      <c r="D39">
        <v>9.6619999999999998E-2</v>
      </c>
      <c r="E39">
        <v>3.8E-3</v>
      </c>
      <c r="F39">
        <f>C39/(1+2/'Données géométriques'!$B$6)</f>
        <v>0.78608258226786842</v>
      </c>
      <c r="G39">
        <f>F39^2/(PI()*'Données géométriques'!$B$6)</f>
        <v>4.8281714678441674E-2</v>
      </c>
      <c r="H39">
        <f t="shared" si="1"/>
        <v>0.14490171467844168</v>
      </c>
      <c r="I39">
        <f t="shared" si="2"/>
        <v>0.24668646203494782</v>
      </c>
      <c r="J39">
        <f>XCP_3D('Données géométriques'!$B$9,'Données géométriques'!$B$10,'Données géométriques'!$B$11,'Données géométriques'!$B$12,I39)</f>
        <v>-3.8754443185693259E-2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1.1277999999999999</v>
      </c>
      <c r="D40">
        <v>0.11266</v>
      </c>
      <c r="E40">
        <v>-4.5999999999999999E-3</v>
      </c>
      <c r="F40">
        <f>C40/(1+2/'Données géométriques'!$B$6)</f>
        <v>0.75643680570111094</v>
      </c>
      <c r="G40">
        <f>F40^2/(PI()*'Données géométriques'!$B$6)</f>
        <v>4.4708658859611068E-2</v>
      </c>
      <c r="H40">
        <f t="shared" si="1"/>
        <v>0.15736865885961107</v>
      </c>
      <c r="I40">
        <f t="shared" si="2"/>
        <v>0.25415381619789534</v>
      </c>
      <c r="J40">
        <f>XCP_3D('Données géométriques'!$B$9,'Données géométriques'!$B$10,'Données géométriques'!$B$11,'Données géométriques'!$B$12,I40)</f>
        <v>-3.9927564524701038E-2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1.0855999999999999</v>
      </c>
      <c r="D41">
        <v>0.12914</v>
      </c>
      <c r="E41">
        <v>-1.3299999999999999E-2</v>
      </c>
      <c r="F41">
        <f>C41/(1+2/'Données géométriques'!$B$6)</f>
        <v>0.7281324669880529</v>
      </c>
      <c r="G41">
        <f>F41^2/(PI()*'Données géométriques'!$B$6)</f>
        <v>4.1425440115971886E-2</v>
      </c>
      <c r="H41">
        <f t="shared" si="1"/>
        <v>0.17056544011597188</v>
      </c>
      <c r="I41">
        <f t="shared" si="2"/>
        <v>0.26242436918161988</v>
      </c>
      <c r="J41">
        <f>XCP_3D('Données géométriques'!$B$9,'Données géométriques'!$B$10,'Données géométriques'!$B$11,'Données géométriques'!$B$12,I41)</f>
        <v>-4.1226868398445062E-2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1.0442</v>
      </c>
      <c r="D42">
        <v>0.14641000000000001</v>
      </c>
      <c r="E42">
        <v>-2.29E-2</v>
      </c>
      <c r="F42">
        <f>C42/(1+2/'Données géométriques'!$B$6)</f>
        <v>0.70036470341647461</v>
      </c>
      <c r="G42">
        <f>F42^2/(PI()*'Données géométriques'!$B$6)</f>
        <v>3.8326118639326258E-2</v>
      </c>
      <c r="H42">
        <f t="shared" si="1"/>
        <v>0.18473611863932626</v>
      </c>
      <c r="I42">
        <f t="shared" si="2"/>
        <v>0.27212609704934743</v>
      </c>
      <c r="J42">
        <f>XCP_3D('Données géométriques'!$B$9,'Données géométriques'!$B$10,'Données géométriques'!$B$11,'Données géométriques'!$B$12,I42)</f>
        <v>-4.2751009846463288E-2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0.98819999999999997</v>
      </c>
      <c r="D43">
        <v>0.16879</v>
      </c>
      <c r="E43">
        <v>-3.5700000000000003E-2</v>
      </c>
      <c r="F43">
        <f>C43/(1+2/'Données géométriques'!$B$6)</f>
        <v>0.66280444351289047</v>
      </c>
      <c r="G43">
        <f>F43^2/(PI()*'Données géométriques'!$B$6)</f>
        <v>3.4325522835139524E-2</v>
      </c>
      <c r="H43">
        <f t="shared" si="1"/>
        <v>0.20311552283513951</v>
      </c>
      <c r="I43">
        <f t="shared" si="2"/>
        <v>0.28613866626354612</v>
      </c>
      <c r="J43">
        <f>XCP_3D('Données géométriques'!$B$9,'Données géométriques'!$B$10,'Données géométriques'!$B$11,'Données géométriques'!$B$12,I43)</f>
        <v>-4.4952384470022186E-2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A475C-40A0-4CDE-874E-055F6BD18ABF}">
  <sheetPr codeName="Feuil6"/>
  <dimension ref="A1:L44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2.5</v>
      </c>
      <c r="C1" s="2">
        <f>A1*'Données géométriques'!B2/'Données géométriques'!F2</f>
        <v>390019.86097318766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7.3800000000000003E-3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7.3800000000000003E-3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4" si="0">A5*PI()/180</f>
        <v>8.7266462599716477E-3</v>
      </c>
      <c r="C5">
        <v>5.3699999999999998E-2</v>
      </c>
      <c r="D5">
        <v>7.4000000000000003E-3</v>
      </c>
      <c r="E5">
        <v>5.9999999999999995E-4</v>
      </c>
      <c r="F5">
        <f>C5/(1+2/'Données géométriques'!$B$6)</f>
        <v>3.6017606371829811E-2</v>
      </c>
      <c r="G5">
        <f>F5^2/(PI()*'Données géométriques'!$B$6)</f>
        <v>1.013622012203662E-4</v>
      </c>
      <c r="H5">
        <f>D5+G5</f>
        <v>7.5013622012203669E-3</v>
      </c>
      <c r="I5">
        <f>0.25-E5/(C5*COS(B5)+D5*SIN(B5))</f>
        <v>0.23883981126269316</v>
      </c>
      <c r="J5">
        <f>XCP_3D('Données géométriques'!$B$9,'Données géométriques'!$B$10,'Données géométriques'!$B$11,'Données géométriques'!$B$12,I5)</f>
        <v>-3.7521734349366211E-2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0.1072</v>
      </c>
      <c r="D6">
        <v>7.4599999999999996E-3</v>
      </c>
      <c r="E6">
        <v>1.1999999999999999E-3</v>
      </c>
      <c r="F6">
        <f>C6/(1+2/'Données géométriques'!$B$6)</f>
        <v>7.1901068958289682E-2</v>
      </c>
      <c r="G6">
        <f>F6^2/(PI()*'Données géométriques'!$B$6)</f>
        <v>4.0394015947354026E-4</v>
      </c>
      <c r="H6">
        <f t="shared" ref="H6:H44" si="1">D6+G6</f>
        <v>7.8639401594735401E-3</v>
      </c>
      <c r="I6">
        <f t="shared" ref="I6:I44" si="2">0.25-E6/(C6*COS(B6)+D6*SIN(B6))</f>
        <v>0.23881784783470378</v>
      </c>
      <c r="J6">
        <f>XCP_3D('Données géométriques'!$B$9,'Données géométriques'!$B$10,'Données géométriques'!$B$11,'Données géométriques'!$B$12,I6)</f>
        <v>-3.7518283894841659E-2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0.16059999999999999</v>
      </c>
      <c r="D7">
        <v>7.5700000000000003E-3</v>
      </c>
      <c r="E7">
        <v>1.8E-3</v>
      </c>
      <c r="F7">
        <f>C7/(1+2/'Données géométriques'!$B$6)</f>
        <v>0.10771745965206457</v>
      </c>
      <c r="G7">
        <f>F7^2/(PI()*'Données géométriques'!$B$6)</f>
        <v>9.066059057208385E-4</v>
      </c>
      <c r="H7">
        <f t="shared" si="1"/>
        <v>8.4766059057208385E-3</v>
      </c>
      <c r="I7">
        <f t="shared" si="2"/>
        <v>0.23880200947918351</v>
      </c>
      <c r="J7">
        <f>XCP_3D('Données géométriques'!$B$9,'Données géométriques'!$B$10,'Données géométriques'!$B$11,'Données géométriques'!$B$12,I7)</f>
        <v>-3.751579568919472E-2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0.21360000000000001</v>
      </c>
      <c r="D8">
        <v>7.7299999999999999E-3</v>
      </c>
      <c r="E8">
        <v>2.5000000000000001E-3</v>
      </c>
      <c r="F8">
        <f>C8/(1+2/'Données géométriques'!$B$6)</f>
        <v>0.14326556277509958</v>
      </c>
      <c r="G8">
        <f>F8^2/(PI()*'Données géométriques'!$B$6)</f>
        <v>1.6037252187964585E-3</v>
      </c>
      <c r="H8">
        <f t="shared" si="1"/>
        <v>9.3337252187964577E-3</v>
      </c>
      <c r="I8">
        <f t="shared" si="2"/>
        <v>0.23830352741752861</v>
      </c>
      <c r="J8">
        <f>XCP_3D('Données géométriques'!$B$9,'Données géométriques'!$B$10,'Données géométriques'!$B$11,'Données géométriques'!$B$12,I8)</f>
        <v>-3.7437484157309166E-2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0.26629999999999998</v>
      </c>
      <c r="D9">
        <v>7.9600000000000001E-3</v>
      </c>
      <c r="E9">
        <v>3.3E-3</v>
      </c>
      <c r="F9">
        <f>C9/(1+2/'Données géométriques'!$B$6)</f>
        <v>0.17861245022007965</v>
      </c>
      <c r="G9">
        <f>F9^2/(PI()*'Données géométriques'!$B$6)</f>
        <v>2.492698743436746E-3</v>
      </c>
      <c r="H9">
        <f t="shared" si="1"/>
        <v>1.0452698743436746E-2</v>
      </c>
      <c r="I9">
        <f t="shared" si="2"/>
        <v>0.23761232206626118</v>
      </c>
      <c r="J9">
        <f>XCP_3D('Données géométriques'!$B$9,'Données géométriques'!$B$10,'Données géométriques'!$B$11,'Données géométriques'!$B$12,I9)</f>
        <v>-3.7328895796612652E-2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0.31879999999999997</v>
      </c>
      <c r="D10">
        <v>8.2699999999999996E-3</v>
      </c>
      <c r="E10">
        <v>4.1999999999999997E-3</v>
      </c>
      <c r="F10">
        <f>C10/(1+2/'Données géométriques'!$B$6)</f>
        <v>0.21382519387968979</v>
      </c>
      <c r="G10">
        <f>F10^2/(PI()*'Données géométriques'!$B$6)</f>
        <v>3.572432957772164E-3</v>
      </c>
      <c r="H10">
        <f t="shared" si="1"/>
        <v>1.1842432957772164E-2</v>
      </c>
      <c r="I10">
        <f t="shared" si="2"/>
        <v>0.23682542713047178</v>
      </c>
      <c r="J10">
        <f>XCP_3D('Données géométriques'!$B$9,'Données géométriques'!$B$10,'Données géométriques'!$B$11,'Données géométriques'!$B$12,I10)</f>
        <v>-3.7205274602196567E-2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0.37119999999999997</v>
      </c>
      <c r="D11">
        <v>8.6499999999999997E-3</v>
      </c>
      <c r="E11">
        <v>5.1000000000000004E-3</v>
      </c>
      <c r="F11">
        <f>C11/(1+2/'Données géométriques'!$B$6)</f>
        <v>0.24897086564661497</v>
      </c>
      <c r="G11">
        <f>F11^2/(PI()*'Données géométriques'!$B$6)</f>
        <v>4.8433225982409947E-3</v>
      </c>
      <c r="H11">
        <f t="shared" si="1"/>
        <v>1.3493322598240994E-2</v>
      </c>
      <c r="I11">
        <f t="shared" si="2"/>
        <v>0.23625469219480255</v>
      </c>
      <c r="J11">
        <f>XCP_3D('Données géométriques'!$B$9,'Données géométriques'!$B$10,'Données géométriques'!$B$11,'Données géométriques'!$B$12,I11)</f>
        <v>-3.7115612143815126E-2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0.4244</v>
      </c>
      <c r="D12">
        <v>9.1000000000000004E-3</v>
      </c>
      <c r="E12">
        <v>5.7999999999999996E-3</v>
      </c>
      <c r="F12">
        <f>C12/(1+2/'Données géométriques'!$B$6)</f>
        <v>0.28465311255501996</v>
      </c>
      <c r="G12">
        <f>F12^2/(PI()*'Données géométriques'!$B$6)</f>
        <v>6.33108599162833E-3</v>
      </c>
      <c r="H12">
        <f t="shared" si="1"/>
        <v>1.543108599162833E-2</v>
      </c>
      <c r="I12">
        <f t="shared" si="2"/>
        <v>0.23632078590950401</v>
      </c>
      <c r="J12">
        <f>XCP_3D('Données géométriques'!$B$9,'Données géométriques'!$B$10,'Données géométriques'!$B$11,'Données géométriques'!$B$12,I12)</f>
        <v>-3.7125995466383815E-2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0.47989999999999999</v>
      </c>
      <c r="D13">
        <v>9.6100000000000005E-3</v>
      </c>
      <c r="E13">
        <v>5.8999999999999999E-3</v>
      </c>
      <c r="F13">
        <f>C13/(1+2/'Données géométriques'!$B$6)</f>
        <v>0.32187801299517926</v>
      </c>
      <c r="G13">
        <f>F13^2/(PI()*'Données géométriques'!$B$6)</f>
        <v>8.0952257016105172E-3</v>
      </c>
      <c r="H13">
        <f t="shared" si="1"/>
        <v>1.7705225701610518E-2</v>
      </c>
      <c r="I13">
        <f t="shared" si="2"/>
        <v>0.23768716090292291</v>
      </c>
      <c r="J13">
        <f>XCP_3D('Données géométriques'!$B$9,'Données géométriques'!$B$10,'Données géométriques'!$B$11,'Données géométriques'!$B$12,I13)</f>
        <v>-3.7340652977846271E-2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0.53859999999999997</v>
      </c>
      <c r="D14">
        <v>1.018E-2</v>
      </c>
      <c r="E14">
        <v>5.1000000000000004E-3</v>
      </c>
      <c r="F14">
        <f>C14/(1+2/'Données géométriques'!$B$6)</f>
        <v>0.36124921400125765</v>
      </c>
      <c r="G14">
        <f>F14^2/(PI()*'Données géométriques'!$B$6)</f>
        <v>1.0196712163071615E-2</v>
      </c>
      <c r="H14">
        <f t="shared" si="1"/>
        <v>2.0376712163071617E-2</v>
      </c>
      <c r="I14">
        <f t="shared" si="2"/>
        <v>0.24051052818494761</v>
      </c>
      <c r="J14">
        <f>XCP_3D('Données géométriques'!$B$9,'Données géométriques'!$B$10,'Données géométriques'!$B$11,'Données géométriques'!$B$12,I14)</f>
        <v>-3.7784203977851823E-2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0.59909999999999997</v>
      </c>
      <c r="D15">
        <v>1.076E-2</v>
      </c>
      <c r="E15">
        <v>3.8999999999999998E-3</v>
      </c>
      <c r="F15">
        <f>C15/(1+2/'Données géométriques'!$B$6)</f>
        <v>0.40182770907566551</v>
      </c>
      <c r="G15">
        <f>F15^2/(PI()*'Données géométriques'!$B$6)</f>
        <v>1.2616128420668248E-2</v>
      </c>
      <c r="H15">
        <f t="shared" si="1"/>
        <v>2.3376128420668246E-2</v>
      </c>
      <c r="I15">
        <f t="shared" si="2"/>
        <v>0.24347141746020376</v>
      </c>
      <c r="J15">
        <f>XCP_3D('Données géométriques'!$B$9,'Données géométriques'!$B$10,'Données géométriques'!$B$11,'Données géométriques'!$B$12,I15)</f>
        <v>-3.8249359683008598E-2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0.66020000000000001</v>
      </c>
      <c r="D16">
        <v>1.133E-2</v>
      </c>
      <c r="E16">
        <v>2.5999999999999999E-3</v>
      </c>
      <c r="F16">
        <f>C16/(1+2/'Données géométriques'!$B$6)</f>
        <v>0.44280863550618327</v>
      </c>
      <c r="G16">
        <f>F16^2/(PI()*'Données géométriques'!$B$6)</f>
        <v>1.5320696235448938E-2</v>
      </c>
      <c r="H16">
        <f t="shared" si="1"/>
        <v>2.665069623544894E-2</v>
      </c>
      <c r="I16">
        <f t="shared" si="2"/>
        <v>0.24604723651374263</v>
      </c>
      <c r="J16">
        <f>XCP_3D('Données géométriques'!$B$9,'Données géométriques'!$B$10,'Données géométriques'!$B$11,'Données géométriques'!$B$12,I16)</f>
        <v>-3.865402085632251E-2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0.72499999999999998</v>
      </c>
      <c r="D17">
        <v>1.1979999999999999E-2</v>
      </c>
      <c r="E17">
        <v>2.9999999999999997E-4</v>
      </c>
      <c r="F17">
        <f>C17/(1+2/'Données géométriques'!$B$6)</f>
        <v>0.48627122196604489</v>
      </c>
      <c r="G17">
        <f>F17^2/(PI()*'Données géométriques'!$B$6)</f>
        <v>1.8475809472049694E-2</v>
      </c>
      <c r="H17">
        <f t="shared" si="1"/>
        <v>3.0455809472049691E-2</v>
      </c>
      <c r="I17">
        <f t="shared" si="2"/>
        <v>0.24958431237575979</v>
      </c>
      <c r="J17">
        <f>XCP_3D('Données géométriques'!$B$9,'Données géométriques'!$B$10,'Données géométriques'!$B$11,'Données géométriques'!$B$12,I17)</f>
        <v>-3.9209695474244237E-2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0.78849999999999998</v>
      </c>
      <c r="D18">
        <v>1.2619999999999999E-2</v>
      </c>
      <c r="E18">
        <v>-1.6999999999999999E-3</v>
      </c>
      <c r="F18">
        <f>C18/(1+2/'Données géométriques'!$B$6)</f>
        <v>0.52886187382100192</v>
      </c>
      <c r="G18">
        <f>F18^2/(PI()*'Données géométriques'!$B$6)</f>
        <v>2.185399589751014E-2</v>
      </c>
      <c r="H18">
        <f t="shared" si="1"/>
        <v>3.4473995897510143E-2</v>
      </c>
      <c r="I18">
        <f t="shared" si="2"/>
        <v>0.25216792316690456</v>
      </c>
      <c r="J18">
        <f>XCP_3D('Données géométriques'!$B$9,'Données géométriques'!$B$10,'Données géométriques'!$B$11,'Données géométriques'!$B$12,I18)</f>
        <v>-3.9615580729527186E-2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0.84960000000000002</v>
      </c>
      <c r="D19">
        <v>1.329E-2</v>
      </c>
      <c r="E19">
        <v>-3.3E-3</v>
      </c>
      <c r="F19">
        <f>C19/(1+2/'Données géométriques'!$B$6)</f>
        <v>0.56984280025151968</v>
      </c>
      <c r="G19">
        <f>F19^2/(PI()*'Données géométriques'!$B$6)</f>
        <v>2.5372103209026258E-2</v>
      </c>
      <c r="H19">
        <f t="shared" si="1"/>
        <v>3.8662103209026258E-2</v>
      </c>
      <c r="I19">
        <f t="shared" si="2"/>
        <v>0.25390964573039909</v>
      </c>
      <c r="J19">
        <f>XCP_3D('Données géométriques'!$B$9,'Données géométriques'!$B$10,'Données géométriques'!$B$11,'Données géométriques'!$B$12,I19)</f>
        <v>-3.9889205344259833E-2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0.8921</v>
      </c>
      <c r="D20">
        <v>1.3939999999999999E-2</v>
      </c>
      <c r="E20">
        <v>-8.9999999999999998E-4</v>
      </c>
      <c r="F20">
        <f>C20/(1+2/'Données géométriques'!$B$6)</f>
        <v>0.5983483546426327</v>
      </c>
      <c r="G20">
        <f>F20^2/(PI()*'Données géométriques'!$B$6)</f>
        <v>2.7973998072650386E-2</v>
      </c>
      <c r="H20">
        <f t="shared" si="1"/>
        <v>4.1913998072650387E-2</v>
      </c>
      <c r="I20">
        <f t="shared" si="2"/>
        <v>0.25101653769351728</v>
      </c>
      <c r="J20">
        <f>XCP_3D('Données géométriques'!$B$9,'Données géométriques'!$B$10,'Données géométriques'!$B$11,'Données géométriques'!$B$12,I20)</f>
        <v>-3.94346980716625E-2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0.93510000000000004</v>
      </c>
      <c r="D21">
        <v>1.46E-2</v>
      </c>
      <c r="E21">
        <v>1.4E-3</v>
      </c>
      <c r="F21">
        <f>C21/(1+2/'Données géométriques'!$B$6)</f>
        <v>0.62718926849717049</v>
      </c>
      <c r="G21">
        <f>F21^2/(PI()*'Données géométriques'!$B$6)</f>
        <v>3.0735733073639977E-2</v>
      </c>
      <c r="H21">
        <f t="shared" si="1"/>
        <v>4.5335733073639979E-2</v>
      </c>
      <c r="I21">
        <f t="shared" si="2"/>
        <v>0.24848973030289914</v>
      </c>
      <c r="J21">
        <f>XCP_3D('Données géométriques'!$B$9,'Données géométriques'!$B$10,'Données géométriques'!$B$11,'Données géométriques'!$B$12,I21)</f>
        <v>-3.9037736630602414E-2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0.97770000000000001</v>
      </c>
      <c r="D22">
        <v>1.536E-2</v>
      </c>
      <c r="E22">
        <v>3.5999999999999999E-3</v>
      </c>
      <c r="F22">
        <f>C22/(1+2/'Données géométriques'!$B$6)</f>
        <v>0.65576189478096847</v>
      </c>
      <c r="G22">
        <f>F22^2/(PI()*'Données géométriques'!$B$6)</f>
        <v>3.3599954729871366E-2</v>
      </c>
      <c r="H22">
        <f t="shared" si="1"/>
        <v>4.8959954729871365E-2</v>
      </c>
      <c r="I22">
        <f t="shared" si="2"/>
        <v>0.24628124422669503</v>
      </c>
      <c r="J22">
        <f>XCP_3D('Données géométriques'!$B$9,'Données géométriques'!$B$10,'Données géométriques'!$B$11,'Données géométriques'!$B$12,I22)</f>
        <v>-3.8690783468030565E-2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1.0209999999999999</v>
      </c>
      <c r="D23">
        <v>1.6160000000000001E-2</v>
      </c>
      <c r="E23">
        <v>5.5999999999999999E-3</v>
      </c>
      <c r="F23">
        <f>C23/(1+2/'Données géométriques'!$B$6)</f>
        <v>0.68480402431356113</v>
      </c>
      <c r="G23">
        <f>F23^2/(PI()*'Données géométriques'!$B$6)</f>
        <v>3.6641981073679816E-2</v>
      </c>
      <c r="H23">
        <f t="shared" si="1"/>
        <v>5.2801981073679817E-2</v>
      </c>
      <c r="I23">
        <f t="shared" si="2"/>
        <v>0.24445360462717811</v>
      </c>
      <c r="J23">
        <f>XCP_3D('Données géométriques'!$B$9,'Données géométriques'!$B$10,'Données géométriques'!$B$11,'Données géométriques'!$B$12,I23)</f>
        <v>-3.8403661286930006E-2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1.0641</v>
      </c>
      <c r="D24">
        <v>1.7069999999999998E-2</v>
      </c>
      <c r="E24">
        <v>7.4999999999999997E-3</v>
      </c>
      <c r="F24">
        <f>C24/(1+2/'Données géométriques'!$B$6)</f>
        <v>0.713712010060784</v>
      </c>
      <c r="G24">
        <f>F24^2/(PI()*'Données géométriques'!$B$6)</f>
        <v>3.9800850106222724E-2</v>
      </c>
      <c r="H24">
        <f t="shared" si="1"/>
        <v>5.6870850106222726E-2</v>
      </c>
      <c r="I24">
        <f t="shared" si="2"/>
        <v>0.2428632471894368</v>
      </c>
      <c r="J24">
        <f>XCP_3D('Données géométriques'!$B$9,'Données géométriques'!$B$10,'Données géométriques'!$B$11,'Données géométriques'!$B$12,I24)</f>
        <v>-3.8153816133464302E-2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1.1069</v>
      </c>
      <c r="D25">
        <v>1.8020000000000001E-2</v>
      </c>
      <c r="E25">
        <v>9.4000000000000004E-3</v>
      </c>
      <c r="F25">
        <f>C25/(1+2/'Données géométriques'!$B$6)</f>
        <v>0.74241878012995188</v>
      </c>
      <c r="G25">
        <f>F25^2/(PI()*'Données géométriques'!$B$6)</f>
        <v>4.3066961963861707E-2</v>
      </c>
      <c r="H25">
        <f t="shared" si="1"/>
        <v>6.1086961963861708E-2</v>
      </c>
      <c r="I25">
        <f t="shared" si="2"/>
        <v>0.24138917158612858</v>
      </c>
      <c r="J25">
        <f>XCP_3D('Données géométriques'!$B$9,'Données géométriques'!$B$10,'Données géométriques'!$B$11,'Données géométriques'!$B$12,I25)</f>
        <v>-3.7922238856180339E-2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1.1477999999999999</v>
      </c>
      <c r="D26">
        <v>1.9120000000000002E-2</v>
      </c>
      <c r="E26">
        <v>1.1299999999999999E-2</v>
      </c>
      <c r="F26">
        <f>C26/(1+2/'Données géométriques'!$B$6)</f>
        <v>0.76985118423810528</v>
      </c>
      <c r="G26">
        <f>F26^2/(PI()*'Données géométriques'!$B$6)</f>
        <v>4.6308413514910808E-2</v>
      </c>
      <c r="H26">
        <f t="shared" si="1"/>
        <v>6.5428413514910813E-2</v>
      </c>
      <c r="I26">
        <f t="shared" si="2"/>
        <v>0.24000318437638468</v>
      </c>
      <c r="J26">
        <f>XCP_3D('Données géométriques'!$B$9,'Données géométriques'!$B$10,'Données géométriques'!$B$11,'Données géométriques'!$B$12,I26)</f>
        <v>-3.7704500265541403E-2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1.1877</v>
      </c>
      <c r="D27">
        <v>2.0250000000000001E-2</v>
      </c>
      <c r="E27">
        <v>1.34E-2</v>
      </c>
      <c r="F27">
        <f>C27/(1+2/'Données géométriques'!$B$6)</f>
        <v>0.79661286941940901</v>
      </c>
      <c r="G27">
        <f>F27^2/(PI()*'Données géométriques'!$B$6)</f>
        <v>4.9583933316245762E-2</v>
      </c>
      <c r="H27">
        <f t="shared" si="1"/>
        <v>6.9833933316245766E-2</v>
      </c>
      <c r="I27">
        <f t="shared" si="2"/>
        <v>0.23852635375130421</v>
      </c>
      <c r="J27">
        <f>XCP_3D('Données géométriques'!$B$9,'Données géométriques'!$B$10,'Données géométriques'!$B$11,'Données géométriques'!$B$12,I27)</f>
        <v>-3.7472490174333503E-2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1.2244999999999999</v>
      </c>
      <c r="D28">
        <v>2.154E-2</v>
      </c>
      <c r="E28">
        <v>1.5699999999999999E-2</v>
      </c>
      <c r="F28">
        <f>C28/(1+2/'Données géométriques'!$B$6)</f>
        <v>0.82129532592747856</v>
      </c>
      <c r="G28">
        <f>F28^2/(PI()*'Données géométriques'!$B$6)</f>
        <v>5.2704177581628875E-2</v>
      </c>
      <c r="H28">
        <f t="shared" si="1"/>
        <v>7.4244177581628878E-2</v>
      </c>
      <c r="I28">
        <f t="shared" si="2"/>
        <v>0.23694082782112322</v>
      </c>
      <c r="J28">
        <f>XCP_3D('Données géométriques'!$B$9,'Données géométriques'!$B$10,'Données géométriques'!$B$11,'Données géométriques'!$B$12,I28)</f>
        <v>-3.7223404050706649E-2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1.2565999999999999</v>
      </c>
      <c r="D29">
        <v>2.3040000000000001E-2</v>
      </c>
      <c r="E29">
        <v>1.84E-2</v>
      </c>
      <c r="F29">
        <f>C29/(1+2/'Données géométriques'!$B$6)</f>
        <v>0.84282540347935453</v>
      </c>
      <c r="G29">
        <f>F29^2/(PI()*'Données géométriques'!$B$6)</f>
        <v>5.5503653674439137E-2</v>
      </c>
      <c r="H29">
        <f t="shared" si="1"/>
        <v>7.8543653674439134E-2</v>
      </c>
      <c r="I29">
        <f t="shared" si="2"/>
        <v>0.23506251416469612</v>
      </c>
      <c r="J29">
        <f>XCP_3D('Données géométriques'!$B$9,'Données géométriques'!$B$10,'Données géométriques'!$B$11,'Données géométriques'!$B$12,I29)</f>
        <v>-3.6928320975283459E-2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1.2826</v>
      </c>
      <c r="D30">
        <v>2.4570000000000002E-2</v>
      </c>
      <c r="E30">
        <v>2.1999999999999999E-2</v>
      </c>
      <c r="F30">
        <f>C30/(1+2/'Données géométriques'!$B$6)</f>
        <v>0.86026409557744721</v>
      </c>
      <c r="G30">
        <f>F30^2/(PI()*'Données géométriques'!$B$6)</f>
        <v>5.7824239949249401E-2</v>
      </c>
      <c r="H30">
        <f t="shared" si="1"/>
        <v>8.2394239949249409E-2</v>
      </c>
      <c r="I30">
        <f t="shared" si="2"/>
        <v>0.23247366797569591</v>
      </c>
      <c r="J30">
        <f>XCP_3D('Données géométriques'!$B$9,'Données géométriques'!$B$10,'Données géométriques'!$B$11,'Données géométriques'!$B$12,I30)</f>
        <v>-3.6521613238981253E-2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1.3047</v>
      </c>
      <c r="D31">
        <v>2.639E-2</v>
      </c>
      <c r="E31">
        <v>2.5499999999999998E-2</v>
      </c>
      <c r="F31">
        <f>C31/(1+2/'Données géométriques'!$B$6)</f>
        <v>0.87508698386082595</v>
      </c>
      <c r="G31">
        <f>F31^2/(PI()*'Données géométriques'!$B$6)</f>
        <v>5.9834103267811981E-2</v>
      </c>
      <c r="H31">
        <f t="shared" si="1"/>
        <v>8.6224103267811977E-2</v>
      </c>
      <c r="I31">
        <f t="shared" si="2"/>
        <v>0.22999704518383138</v>
      </c>
      <c r="J31">
        <f>XCP_3D('Données géométriques'!$B$9,'Données géométriques'!$B$10,'Données géométriques'!$B$11,'Données géométriques'!$B$12,I31)</f>
        <v>-3.6132535798393192E-2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1.3225</v>
      </c>
      <c r="D32">
        <v>2.8709999999999999E-2</v>
      </c>
      <c r="E32">
        <v>2.8500000000000001E-2</v>
      </c>
      <c r="F32">
        <f>C32/(1+2/'Données géométriques'!$B$6)</f>
        <v>0.88702578075875094</v>
      </c>
      <c r="G32">
        <f>F32^2/(PI()*'Données géométriques'!$B$6)</f>
        <v>6.1477871563232575E-2</v>
      </c>
      <c r="H32">
        <f t="shared" si="1"/>
        <v>9.0187871563232574E-2</v>
      </c>
      <c r="I32">
        <f t="shared" si="2"/>
        <v>0.2279097453144816</v>
      </c>
      <c r="J32">
        <f>XCP_3D('Données géométriques'!$B$9,'Données géométriques'!$B$10,'Données géométriques'!$B$11,'Données géométriques'!$B$12,I32)</f>
        <v>-3.5804620988905911E-2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1.3328</v>
      </c>
      <c r="D33">
        <v>3.1960000000000002E-2</v>
      </c>
      <c r="E33">
        <v>3.0599999999999999E-2</v>
      </c>
      <c r="F33">
        <f>C33/(1+2/'Données géométriques'!$B$6)</f>
        <v>0.89393418570530303</v>
      </c>
      <c r="G33">
        <f>F33^2/(PI()*'Données géométriques'!$B$6)</f>
        <v>6.2439214372228866E-2</v>
      </c>
      <c r="H33">
        <f t="shared" si="1"/>
        <v>9.4399214372228868E-2</v>
      </c>
      <c r="I33">
        <f t="shared" si="2"/>
        <v>0.22643161241121265</v>
      </c>
      <c r="J33">
        <f>XCP_3D('Données géométriques'!$B$9,'Données géométriques'!$B$10,'Données géométriques'!$B$11,'Données géométriques'!$B$12,I33)</f>
        <v>-3.5572406309809242E-2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1.3409</v>
      </c>
      <c r="D34">
        <v>3.5959999999999999E-2</v>
      </c>
      <c r="E34">
        <v>3.15E-2</v>
      </c>
      <c r="F34">
        <f>C34/(1+2/'Données géométriques'!$B$6)</f>
        <v>0.89936700901278566</v>
      </c>
      <c r="G34">
        <f>F34^2/(PI()*'Données géométriques'!$B$6)</f>
        <v>6.3200460605687875E-2</v>
      </c>
      <c r="H34">
        <f t="shared" si="1"/>
        <v>9.9160460605687867E-2</v>
      </c>
      <c r="I34">
        <f t="shared" si="2"/>
        <v>0.22585313320620562</v>
      </c>
      <c r="J34">
        <f>XCP_3D('Données géométriques'!$B$9,'Données géométriques'!$B$10,'Données géométriques'!$B$11,'Données géométriques'!$B$12,I34)</f>
        <v>-3.5481527226695071E-2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1.3431</v>
      </c>
      <c r="D35">
        <v>4.1250000000000002E-2</v>
      </c>
      <c r="E35">
        <v>3.0700000000000002E-2</v>
      </c>
      <c r="F35">
        <f>C35/(1+2/'Données géométriques'!$B$6)</f>
        <v>0.90084259065185501</v>
      </c>
      <c r="G35">
        <f>F35^2/(PI()*'Données géométriques'!$B$6)</f>
        <v>6.340801534484708E-2</v>
      </c>
      <c r="H35">
        <f t="shared" si="1"/>
        <v>0.10465801534484709</v>
      </c>
      <c r="I35">
        <f t="shared" si="2"/>
        <v>0.22648006371356222</v>
      </c>
      <c r="J35">
        <f>XCP_3D('Données géométriques'!$B$9,'Données géométriques'!$B$10,'Données géométriques'!$B$11,'Données géométriques'!$B$12,I35)</f>
        <v>-3.5580018009404711E-2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1.3371999999999999</v>
      </c>
      <c r="D36">
        <v>4.8340000000000001E-2</v>
      </c>
      <c r="E36">
        <v>2.81E-2</v>
      </c>
      <c r="F36">
        <f>C36/(1+2/'Données géométriques'!$B$6)</f>
        <v>0.89688534898344174</v>
      </c>
      <c r="G36">
        <f>F36^2/(PI()*'Données géométriques'!$B$6)</f>
        <v>6.2852158599915206E-2</v>
      </c>
      <c r="H36">
        <f t="shared" si="1"/>
        <v>0.11119215859991521</v>
      </c>
      <c r="I36">
        <f t="shared" si="2"/>
        <v>0.22836336903834722</v>
      </c>
      <c r="J36">
        <f>XCP_3D('Données géométriques'!$B$9,'Données géométriques'!$B$10,'Données géométriques'!$B$11,'Données géométriques'!$B$12,I36)</f>
        <v>-3.5875885275928339E-2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1.3208</v>
      </c>
      <c r="D37">
        <v>5.7619999999999998E-2</v>
      </c>
      <c r="E37">
        <v>2.3699999999999999E-2</v>
      </c>
      <c r="F37">
        <f>C37/(1+2/'Données géométriques'!$B$6)</f>
        <v>0.88588555858310636</v>
      </c>
      <c r="G37">
        <f>F37^2/(PI()*'Données géométriques'!$B$6)</f>
        <v>6.1319920396142528E-2</v>
      </c>
      <c r="H37">
        <f t="shared" si="1"/>
        <v>0.11893992039614253</v>
      </c>
      <c r="I37">
        <f t="shared" si="2"/>
        <v>0.23152441606459348</v>
      </c>
      <c r="J37">
        <f>XCP_3D('Données géométriques'!$B$9,'Données géométriques'!$B$10,'Données géométriques'!$B$11,'Données géométriques'!$B$12,I37)</f>
        <v>-3.6372485763752342E-2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1.2909999999999999</v>
      </c>
      <c r="D38">
        <v>6.9510000000000002E-2</v>
      </c>
      <c r="E38">
        <v>1.7500000000000002E-2</v>
      </c>
      <c r="F38">
        <f>C38/(1+2/'Données géométriques'!$B$6)</f>
        <v>0.86589813456298481</v>
      </c>
      <c r="G38">
        <f>F38^2/(PI()*'Données géométriques'!$B$6)</f>
        <v>5.8584124816523683E-2</v>
      </c>
      <c r="H38">
        <f t="shared" si="1"/>
        <v>0.12809412481652369</v>
      </c>
      <c r="I38">
        <f t="shared" si="2"/>
        <v>0.23605480125236356</v>
      </c>
      <c r="J38">
        <f>XCP_3D('Données géométriques'!$B$9,'Données géométriques'!$B$10,'Données géométriques'!$B$11,'Données géométriques'!$B$12,I38)</f>
        <v>-3.708420927675924E-2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1.2477</v>
      </c>
      <c r="D39">
        <v>8.4089999999999998E-2</v>
      </c>
      <c r="E39">
        <v>0.01</v>
      </c>
      <c r="F39">
        <f>C39/(1+2/'Données géométriques'!$B$6)</f>
        <v>0.83685600503039204</v>
      </c>
      <c r="G39">
        <f>F39^2/(PI()*'Données géométriques'!$B$6)</f>
        <v>5.4720217137018724E-2</v>
      </c>
      <c r="H39">
        <f t="shared" si="1"/>
        <v>0.13881021713701872</v>
      </c>
      <c r="I39">
        <f t="shared" si="2"/>
        <v>0.2417711659342501</v>
      </c>
      <c r="J39">
        <f>XCP_3D('Données géométriques'!$B$9,'Données géométriques'!$B$10,'Données géométriques'!$B$11,'Données géométriques'!$B$12,I39)</f>
        <v>-3.7982250168270608E-2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1.1957</v>
      </c>
      <c r="D40">
        <v>0.10084</v>
      </c>
      <c r="E40">
        <v>1.2999999999999999E-3</v>
      </c>
      <c r="F40">
        <f>C40/(1+2/'Données géométriques'!$B$6)</f>
        <v>0.80197862083420679</v>
      </c>
      <c r="G40">
        <f>F40^2/(PI()*'Données géométriques'!$B$6)</f>
        <v>5.0254148687214548E-2</v>
      </c>
      <c r="H40">
        <f t="shared" si="1"/>
        <v>0.15109414868721455</v>
      </c>
      <c r="I40">
        <f t="shared" si="2"/>
        <v>0.24888730977246701</v>
      </c>
      <c r="J40">
        <f>XCP_3D('Données géométriques'!$B$9,'Données géométriques'!$B$10,'Données géométriques'!$B$11,'Données géométriques'!$B$12,I40)</f>
        <v>-3.9100196365250618E-2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1.1436999999999999</v>
      </c>
      <c r="D41">
        <v>0.11835</v>
      </c>
      <c r="E41">
        <v>-7.7999999999999996E-3</v>
      </c>
      <c r="F41">
        <f>C41/(1+2/'Données géométriques'!$B$6)</f>
        <v>0.76710123663802143</v>
      </c>
      <c r="G41">
        <f>F41^2/(PI()*'Données géométriques'!$B$6)</f>
        <v>4.5978172370822676E-2</v>
      </c>
      <c r="H41">
        <f t="shared" si="1"/>
        <v>0.16432817237082267</v>
      </c>
      <c r="I41">
        <f t="shared" si="2"/>
        <v>0.25695093761439258</v>
      </c>
      <c r="J41">
        <f>XCP_3D('Données géométriques'!$B$9,'Données géométriques'!$B$10,'Données géométriques'!$B$11,'Données géométriques'!$B$12,I41)</f>
        <v>-4.0366992299223678E-2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1.0965</v>
      </c>
      <c r="D42">
        <v>0.13585</v>
      </c>
      <c r="E42">
        <v>-1.72E-2</v>
      </c>
      <c r="F42">
        <f>C42/(1+2/'Données géométriques'!$B$6)</f>
        <v>0.73544330329071483</v>
      </c>
      <c r="G42">
        <f>F42^2/(PI()*'Données géométriques'!$B$6)</f>
        <v>4.2261483104706551E-2</v>
      </c>
      <c r="H42">
        <f t="shared" si="1"/>
        <v>0.17811148310470654</v>
      </c>
      <c r="I42">
        <f t="shared" si="2"/>
        <v>0.26591134712572234</v>
      </c>
      <c r="J42">
        <f>XCP_3D('Données géométriques'!$B$9,'Données géométriques'!$B$10,'Données géométriques'!$B$11,'Données géométriques'!$B$12,I42)</f>
        <v>-4.1774672633453892E-2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1.0566</v>
      </c>
      <c r="D43">
        <v>0.15293999999999999</v>
      </c>
      <c r="E43">
        <v>-2.6800000000000001E-2</v>
      </c>
      <c r="F43">
        <f>C43/(1+2/'Données géométriques'!$B$6)</f>
        <v>0.7086816181094111</v>
      </c>
      <c r="G43">
        <f>F43^2/(PI()*'Données géométriques'!$B$6)</f>
        <v>3.9241777823501543E-2</v>
      </c>
      <c r="H43">
        <f t="shared" si="1"/>
        <v>0.19218177782350154</v>
      </c>
      <c r="I43">
        <f t="shared" si="2"/>
        <v>0.27559578436877152</v>
      </c>
      <c r="J43">
        <f>XCP_3D('Données géométriques'!$B$9,'Données géométriques'!$B$10,'Données géométriques'!$B$11,'Données géométriques'!$B$12,I43)</f>
        <v>-4.3296097724349079E-2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  <row r="44" spans="1:12" x14ac:dyDescent="0.3">
      <c r="A44">
        <v>20</v>
      </c>
      <c r="B44">
        <f t="shared" si="0"/>
        <v>0.3490658503988659</v>
      </c>
      <c r="C44">
        <v>1.0185</v>
      </c>
      <c r="D44">
        <v>0.17083000000000001</v>
      </c>
      <c r="E44">
        <v>-3.7199999999999997E-2</v>
      </c>
      <c r="F44">
        <f>C44/(1+2/'Données géométriques'!$B$6)</f>
        <v>0.68312722699643691</v>
      </c>
      <c r="G44">
        <f>F44^2/(PI()*'Données géométriques'!$B$6)</f>
        <v>3.6462759131143579E-2</v>
      </c>
      <c r="H44">
        <f t="shared" si="1"/>
        <v>0.20729275913114359</v>
      </c>
      <c r="I44">
        <f t="shared" si="2"/>
        <v>0.28663204810465803</v>
      </c>
      <c r="J44">
        <f>XCP_3D('Données géométriques'!$B$9,'Données géométriques'!$B$10,'Données géométriques'!$B$11,'Données géométriques'!$B$12,I44)</f>
        <v>-4.5029894757248549E-2</v>
      </c>
      <c r="K44">
        <f>ZCP_3D('Données géométriques'!$B$9,'Données géométriques'!$B$10,'Données géométriques'!$B$11)</f>
        <v>-0.15998400159986725</v>
      </c>
      <c r="L44">
        <f>'0.1kts'!L44</f>
        <v>-5.5810000000000018E-3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F4AE-F25D-40F3-8D98-0BFD38619A9B}">
  <sheetPr codeName="Feuil7"/>
  <dimension ref="A1:L44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3</v>
      </c>
      <c r="C1" s="2">
        <f>A1*'Données géométriques'!B2/'Données géométriques'!F2</f>
        <v>468023.83316782513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7.2199999999999999E-3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7.2199999999999999E-3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4" si="0">A5*PI()/180</f>
        <v>8.7266462599716477E-3</v>
      </c>
      <c r="C5">
        <v>5.4100000000000002E-2</v>
      </c>
      <c r="D5">
        <v>7.2399999999999999E-3</v>
      </c>
      <c r="E5">
        <v>4.0000000000000002E-4</v>
      </c>
      <c r="F5">
        <f>C5/(1+2/'Données géométriques'!$B$6)</f>
        <v>3.6285893942569696E-2</v>
      </c>
      <c r="G5">
        <f>F5^2/(PI()*'Données géométriques'!$B$6)</f>
        <v>1.028778766628105E-4</v>
      </c>
      <c r="H5">
        <f>D5+G5</f>
        <v>7.3428778766628103E-3</v>
      </c>
      <c r="I5">
        <f>0.25-E5/(C5*COS(B5)+D5*SIN(B5))</f>
        <v>0.24261462837443368</v>
      </c>
      <c r="J5">
        <f>XCP_3D('Données géométriques'!$B$9,'Données géométriques'!$B$10,'Données géométriques'!$B$11,'Données géométriques'!$B$12,I5)</f>
        <v>-3.8114758117635344E-2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0.1082</v>
      </c>
      <c r="D6">
        <v>7.3000000000000001E-3</v>
      </c>
      <c r="E6">
        <v>8.9999999999999998E-4</v>
      </c>
      <c r="F6">
        <f>C6/(1+2/'Données géométriques'!$B$6)</f>
        <v>7.2571787885139391E-2</v>
      </c>
      <c r="G6">
        <f>F6^2/(PI()*'Données géométriques'!$B$6)</f>
        <v>4.1151150665124199E-4</v>
      </c>
      <c r="H6">
        <f t="shared" ref="H6:H44" si="1">D6+G6</f>
        <v>7.7115115066512417E-3</v>
      </c>
      <c r="I6">
        <f t="shared" ref="I6:I44" si="2">0.25-E6/(C6*COS(B6)+D6*SIN(B6))</f>
        <v>0.24169058878318214</v>
      </c>
      <c r="J6">
        <f>XCP_3D('Données géométriques'!$B$9,'Données géométriques'!$B$10,'Données géométriques'!$B$11,'Données géométriques'!$B$12,I6)</f>
        <v>-3.7969591497850765E-2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0.16200000000000001</v>
      </c>
      <c r="D7">
        <v>7.4000000000000003E-3</v>
      </c>
      <c r="E7">
        <v>1.4E-3</v>
      </c>
      <c r="F7">
        <f>C7/(1+2/'Données géométriques'!$B$6)</f>
        <v>0.10865646614965419</v>
      </c>
      <c r="G7">
        <f>F7^2/(PI()*'Données géométriques'!$B$6)</f>
        <v>9.2248112967319347E-4</v>
      </c>
      <c r="H7">
        <f t="shared" si="1"/>
        <v>8.3224811296731937E-3</v>
      </c>
      <c r="I7">
        <f t="shared" si="2"/>
        <v>0.24136539054960535</v>
      </c>
      <c r="J7">
        <f>XCP_3D('Données géométriques'!$B$9,'Données géométriques'!$B$10,'Données géométriques'!$B$11,'Données géométriques'!$B$12,I7)</f>
        <v>-3.7918502855346058E-2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0.21560000000000001</v>
      </c>
      <c r="D8">
        <v>7.5500000000000003E-3</v>
      </c>
      <c r="E8">
        <v>1.9E-3</v>
      </c>
      <c r="F8">
        <f>C8/(1+2/'Données géométriques'!$B$6)</f>
        <v>0.14460700062879903</v>
      </c>
      <c r="G8">
        <f>F8^2/(PI()*'Données géométriques'!$B$6)</f>
        <v>1.6338981269549511E-3</v>
      </c>
      <c r="H8">
        <f t="shared" si="1"/>
        <v>9.1838981269549511E-3</v>
      </c>
      <c r="I8">
        <f t="shared" si="2"/>
        <v>0.2411927824891793</v>
      </c>
      <c r="J8">
        <f>XCP_3D('Données géométriques'!$B$9,'Données géométriques'!$B$10,'Données géométriques'!$B$11,'Données géométriques'!$B$12,I8)</f>
        <v>-3.7891386129062503E-2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0.26869999999999999</v>
      </c>
      <c r="D9">
        <v>7.7499999999999999E-3</v>
      </c>
      <c r="E9">
        <v>2.5999999999999999E-3</v>
      </c>
      <c r="F9">
        <f>C9/(1+2/'Données géométriques'!$B$6)</f>
        <v>0.18022217564451898</v>
      </c>
      <c r="G9">
        <f>F9^2/(PI()*'Données géométriques'!$B$6)</f>
        <v>2.5378315650531301E-3</v>
      </c>
      <c r="H9">
        <f t="shared" si="1"/>
        <v>1.028783156505313E-2</v>
      </c>
      <c r="I9">
        <f t="shared" si="2"/>
        <v>0.24032674425174669</v>
      </c>
      <c r="J9">
        <f>XCP_3D('Données géométriques'!$B$9,'Données géométriques'!$B$10,'Données géométriques'!$B$11,'Données géométriques'!$B$12,I9)</f>
        <v>-3.7755331521952325E-2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0.32140000000000002</v>
      </c>
      <c r="D10">
        <v>8.0199999999999994E-3</v>
      </c>
      <c r="E10">
        <v>3.3999999999999998E-3</v>
      </c>
      <c r="F10">
        <f>C10/(1+2/'Données géométriques'!$B$6)</f>
        <v>0.21556906308949911</v>
      </c>
      <c r="G10">
        <f>F10^2/(PI()*'Données géométriques'!$B$6)</f>
        <v>3.6309411230657047E-3</v>
      </c>
      <c r="H10">
        <f t="shared" si="1"/>
        <v>1.1650941123065705E-2</v>
      </c>
      <c r="I10">
        <f t="shared" si="2"/>
        <v>0.23942059942621846</v>
      </c>
      <c r="J10">
        <f>XCP_3D('Données géométriques'!$B$9,'Données géométriques'!$B$10,'Données géométriques'!$B$11,'Données géométriques'!$B$12,I10)</f>
        <v>-3.7612976169872032E-2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0.37380000000000002</v>
      </c>
      <c r="D11">
        <v>8.3499999999999998E-3</v>
      </c>
      <c r="E11">
        <v>4.1999999999999997E-3</v>
      </c>
      <c r="F11">
        <f>C11/(1+2/'Données géométriques'!$B$6)</f>
        <v>0.25071473485642426</v>
      </c>
      <c r="G11">
        <f>F11^2/(PI()*'Données géométriques'!$B$6)</f>
        <v>4.9114084825641535E-3</v>
      </c>
      <c r="H11">
        <f t="shared" si="1"/>
        <v>1.3261408482564154E-2</v>
      </c>
      <c r="I11">
        <f t="shared" si="2"/>
        <v>0.23875840739505497</v>
      </c>
      <c r="J11">
        <f>XCP_3D('Données géométriques'!$B$9,'Données géométriques'!$B$10,'Données géométriques'!$B$11,'Données géométriques'!$B$12,I11)</f>
        <v>-3.7508945801773108E-2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0.42609999999999998</v>
      </c>
      <c r="D12">
        <v>8.7600000000000004E-3</v>
      </c>
      <c r="E12">
        <v>5.1000000000000004E-3</v>
      </c>
      <c r="F12">
        <f>C12/(1+2/'Données géométriques'!$B$6)</f>
        <v>0.28579333473066443</v>
      </c>
      <c r="G12">
        <f>F12^2/(PI()*'Données géométriques'!$B$6)</f>
        <v>6.3819078686797679E-3</v>
      </c>
      <c r="H12">
        <f t="shared" si="1"/>
        <v>1.5141907868679768E-2</v>
      </c>
      <c r="I12">
        <f t="shared" si="2"/>
        <v>0.23801897536430358</v>
      </c>
      <c r="J12">
        <f>XCP_3D('Données géométriques'!$B$9,'Données géométriques'!$B$10,'Données géométriques'!$B$11,'Données géométriques'!$B$12,I12)</f>
        <v>-3.739278102972908E-2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0.47939999999999999</v>
      </c>
      <c r="D13">
        <v>9.2099999999999994E-3</v>
      </c>
      <c r="E13">
        <v>5.7000000000000002E-3</v>
      </c>
      <c r="F13">
        <f>C13/(1+2/'Données géométriques'!$B$6)</f>
        <v>0.32154265353175437</v>
      </c>
      <c r="G13">
        <f>F13^2/(PI()*'Données géométriques'!$B$6)</f>
        <v>8.0783659213236794E-3</v>
      </c>
      <c r="H13">
        <f t="shared" si="1"/>
        <v>1.7288365921323677E-2</v>
      </c>
      <c r="I13">
        <f t="shared" si="2"/>
        <v>0.23809137744474462</v>
      </c>
      <c r="J13">
        <f>XCP_3D('Données géométriques'!$B$9,'Données géométriques'!$B$10,'Données géométriques'!$B$11,'Données géométriques'!$B$12,I13)</f>
        <v>-3.740415539656753E-2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0.53520000000000001</v>
      </c>
      <c r="D14">
        <v>9.7099999999999999E-3</v>
      </c>
      <c r="E14">
        <v>5.7000000000000002E-3</v>
      </c>
      <c r="F14">
        <f>C14/(1+2/'Données géométriques'!$B$6)</f>
        <v>0.3589687696499686</v>
      </c>
      <c r="G14">
        <f>F14^2/(PI()*'Données géométriques'!$B$6)</f>
        <v>1.0068381694928555E-2</v>
      </c>
      <c r="H14">
        <f t="shared" si="1"/>
        <v>1.9778381694928557E-2</v>
      </c>
      <c r="I14">
        <f t="shared" si="2"/>
        <v>0.23932603628077023</v>
      </c>
      <c r="J14">
        <f>XCP_3D('Données géométriques'!$B$9,'Données géométriques'!$B$10,'Données géométriques'!$B$11,'Données géométriques'!$B$12,I14)</f>
        <v>-3.759812029970918E-2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0.59389999999999998</v>
      </c>
      <c r="D15">
        <v>1.0240000000000001E-2</v>
      </c>
      <c r="E15">
        <v>5.0000000000000001E-3</v>
      </c>
      <c r="F15">
        <f>C15/(1+2/'Données géométriques'!$B$6)</f>
        <v>0.39833997065604698</v>
      </c>
      <c r="G15">
        <f>F15^2/(PI()*'Données géométriques'!$B$6)</f>
        <v>1.2398070809936629E-2</v>
      </c>
      <c r="H15">
        <f t="shared" si="1"/>
        <v>2.2638070809936628E-2</v>
      </c>
      <c r="I15">
        <f t="shared" si="2"/>
        <v>0.24155615449936241</v>
      </c>
      <c r="J15">
        <f>XCP_3D('Données géométriques'!$B$9,'Données géométriques'!$B$10,'Données géométriques'!$B$11,'Données géométriques'!$B$12,I15)</f>
        <v>-3.794847187185503E-2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0.65490000000000004</v>
      </c>
      <c r="D16">
        <v>1.081E-2</v>
      </c>
      <c r="E16">
        <v>3.7000000000000002E-3</v>
      </c>
      <c r="F16">
        <f>C16/(1+2/'Données géométriques'!$B$6)</f>
        <v>0.43925382519387979</v>
      </c>
      <c r="G16">
        <f>F16^2/(PI()*'Données géométriques'!$B$6)</f>
        <v>1.5075698477932704E-2</v>
      </c>
      <c r="H16">
        <f t="shared" si="1"/>
        <v>2.5885698477932706E-2</v>
      </c>
      <c r="I16">
        <f t="shared" si="2"/>
        <v>0.2443290007989691</v>
      </c>
      <c r="J16">
        <f>XCP_3D('Données géométriques'!$B$9,'Données géométriques'!$B$10,'Données géométriques'!$B$11,'Données géométriques'!$B$12,I16)</f>
        <v>-3.8384086025521562E-2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0.71650000000000003</v>
      </c>
      <c r="D17">
        <v>1.137E-2</v>
      </c>
      <c r="E17">
        <v>2.2000000000000001E-3</v>
      </c>
      <c r="F17">
        <f>C17/(1+2/'Données géométriques'!$B$6)</f>
        <v>0.48057011108782233</v>
      </c>
      <c r="G17">
        <f>F17^2/(PI()*'Données géométriques'!$B$6)</f>
        <v>1.8045123194744283E-2</v>
      </c>
      <c r="H17">
        <f t="shared" si="1"/>
        <v>2.9415123194744285E-2</v>
      </c>
      <c r="I17">
        <f t="shared" si="2"/>
        <v>0.24691523062939538</v>
      </c>
      <c r="J17">
        <f>XCP_3D('Données géométriques'!$B$9,'Données géométriques'!$B$10,'Données géométriques'!$B$11,'Données géométriques'!$B$12,I17)</f>
        <v>-3.8790382731886834E-2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0.77929999999999999</v>
      </c>
      <c r="D18">
        <v>1.1979999999999999E-2</v>
      </c>
      <c r="E18">
        <v>4.0000000000000002E-4</v>
      </c>
      <c r="F18">
        <f>C18/(1+2/'Données géométriques'!$B$6)</f>
        <v>0.52269125969398456</v>
      </c>
      <c r="G18">
        <f>F18^2/(PI()*'Données géométriques'!$B$6)</f>
        <v>2.1346998243991815E-2</v>
      </c>
      <c r="H18">
        <f t="shared" si="1"/>
        <v>3.3326998243991816E-2</v>
      </c>
      <c r="I18">
        <f t="shared" si="2"/>
        <v>0.24948383847334787</v>
      </c>
      <c r="J18">
        <f>XCP_3D('Données géométriques'!$B$9,'Données géométriques'!$B$10,'Données géométriques'!$B$11,'Données géométriques'!$B$12,I18)</f>
        <v>-3.9193911024176194E-2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0.84299999999999997</v>
      </c>
      <c r="D19">
        <v>1.2619999999999999E-2</v>
      </c>
      <c r="E19">
        <v>-1.6999999999999999E-3</v>
      </c>
      <c r="F19">
        <f>C19/(1+2/'Données géométriques'!$B$6)</f>
        <v>0.5654160553343115</v>
      </c>
      <c r="G19">
        <f>F19^2/(PI()*'Données géométriques'!$B$6)</f>
        <v>2.4979435006901578E-2</v>
      </c>
      <c r="H19">
        <f t="shared" si="1"/>
        <v>3.7599435006901577E-2</v>
      </c>
      <c r="I19">
        <f t="shared" si="2"/>
        <v>0.25203000767208156</v>
      </c>
      <c r="J19">
        <f>XCP_3D('Données géométriques'!$B$9,'Données géométriques'!$B$10,'Données géométriques'!$B$11,'Données géométriques'!$B$12,I19)</f>
        <v>-3.9593914205290792E-2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0.89790000000000003</v>
      </c>
      <c r="D20">
        <v>1.328E-2</v>
      </c>
      <c r="E20">
        <v>-1.9E-3</v>
      </c>
      <c r="F20">
        <f>C20/(1+2/'Données géométriques'!$B$6)</f>
        <v>0.60223852441836101</v>
      </c>
      <c r="G20">
        <f>F20^2/(PI()*'Données géométriques'!$B$6)</f>
        <v>2.8338927164567283E-2</v>
      </c>
      <c r="H20">
        <f t="shared" si="1"/>
        <v>4.1618927164567283E-2</v>
      </c>
      <c r="I20">
        <f t="shared" si="2"/>
        <v>0.252132411729935</v>
      </c>
      <c r="J20">
        <f>XCP_3D('Données géométriques'!$B$9,'Données géométriques'!$B$10,'Données géométriques'!$B$11,'Données géométriques'!$B$12,I20)</f>
        <v>-3.9610001882784726E-2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0.9405</v>
      </c>
      <c r="D21">
        <v>1.3939999999999999E-2</v>
      </c>
      <c r="E21">
        <v>4.0000000000000002E-4</v>
      </c>
      <c r="F21">
        <f>C21/(1+2/'Données géométriques'!$B$6)</f>
        <v>0.63081115070215898</v>
      </c>
      <c r="G21">
        <f>F21^2/(PI()*'Données géométriques'!$B$6)</f>
        <v>3.1091742457758299E-2</v>
      </c>
      <c r="H21">
        <f t="shared" si="1"/>
        <v>4.5031742457758296E-2</v>
      </c>
      <c r="I21">
        <f t="shared" si="2"/>
        <v>0.24957092128515687</v>
      </c>
      <c r="J21">
        <f>XCP_3D('Données géométriques'!$B$9,'Données géométriques'!$B$10,'Données géométriques'!$B$11,'Données géométriques'!$B$12,I21)</f>
        <v>-3.9207591733912001E-2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0.9839</v>
      </c>
      <c r="D22">
        <v>1.46E-2</v>
      </c>
      <c r="E22">
        <v>2.5999999999999999E-3</v>
      </c>
      <c r="F22">
        <f>C22/(1+2/'Données géométriques'!$B$6)</f>
        <v>0.65992035212743672</v>
      </c>
      <c r="G22">
        <f>F22^2/(PI()*'Données géométriques'!$B$6)</f>
        <v>3.4027448316999664E-2</v>
      </c>
      <c r="H22">
        <f t="shared" si="1"/>
        <v>4.8627448316999666E-2</v>
      </c>
      <c r="I22">
        <f t="shared" si="2"/>
        <v>0.24733078868932676</v>
      </c>
      <c r="J22">
        <f>XCP_3D('Données géométriques'!$B$9,'Données géométriques'!$B$10,'Données géométriques'!$B$11,'Données géométriques'!$B$12,I22)</f>
        <v>-3.8855666903103429E-2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1.0271999999999999</v>
      </c>
      <c r="D23">
        <v>1.538E-2</v>
      </c>
      <c r="E23">
        <v>4.7000000000000002E-3</v>
      </c>
      <c r="F23">
        <f>C23/(1+2/'Données géométriques'!$B$6)</f>
        <v>0.68896248166002938</v>
      </c>
      <c r="G23">
        <f>F23^2/(PI()*'Données géométriques'!$B$6)</f>
        <v>3.7088347491479663E-2</v>
      </c>
      <c r="H23">
        <f t="shared" si="1"/>
        <v>5.2468347491479661E-2</v>
      </c>
      <c r="I23">
        <f t="shared" si="2"/>
        <v>0.24537242616766222</v>
      </c>
      <c r="J23">
        <f>XCP_3D('Données géométriques'!$B$9,'Données géométriques'!$B$10,'Données géométriques'!$B$11,'Données géométriques'!$B$12,I23)</f>
        <v>-3.85480081509431E-2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1.0712999999999999</v>
      </c>
      <c r="D24">
        <v>1.617E-2</v>
      </c>
      <c r="E24">
        <v>6.4999999999999997E-3</v>
      </c>
      <c r="F24">
        <f>C24/(1+2/'Données géométriques'!$B$6)</f>
        <v>0.71854118633410191</v>
      </c>
      <c r="G24">
        <f>F24^2/(PI()*'Données géométriques'!$B$6)</f>
        <v>4.0341279791902863E-2</v>
      </c>
      <c r="H24">
        <f t="shared" si="1"/>
        <v>5.651127979190286E-2</v>
      </c>
      <c r="I24">
        <f t="shared" si="2"/>
        <v>0.24385535953175277</v>
      </c>
      <c r="J24">
        <f>XCP_3D('Données géométriques'!$B$9,'Données géométriques'!$B$10,'Données géométriques'!$B$11,'Données géométriques'!$B$12,I24)</f>
        <v>-3.8309676982440324E-2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1.1143000000000001</v>
      </c>
      <c r="D25">
        <v>1.712E-2</v>
      </c>
      <c r="E25">
        <v>8.3000000000000001E-3</v>
      </c>
      <c r="F25">
        <f>C25/(1+2/'Données géométriques'!$B$6)</f>
        <v>0.74738210018863982</v>
      </c>
      <c r="G25">
        <f>F25^2/(PI()*'Données géométriques'!$B$6)</f>
        <v>4.3644721132841388E-2</v>
      </c>
      <c r="H25">
        <f t="shared" si="1"/>
        <v>6.0764721132841384E-2</v>
      </c>
      <c r="I25">
        <f t="shared" si="2"/>
        <v>0.24244603567815581</v>
      </c>
      <c r="J25">
        <f>XCP_3D('Données géométriques'!$B$9,'Données géométriques'!$B$10,'Données géométriques'!$B$11,'Données géométriques'!$B$12,I25)</f>
        <v>-3.8088272205051753E-2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1.1573</v>
      </c>
      <c r="D26">
        <v>1.805E-2</v>
      </c>
      <c r="E26">
        <v>1.01E-2</v>
      </c>
      <c r="F26">
        <f>C26/(1+2/'Données géométriques'!$B$6)</f>
        <v>0.77622301404317762</v>
      </c>
      <c r="G26">
        <f>F26^2/(PI()*'Données géométriques'!$B$6)</f>
        <v>4.7078147812048894E-2</v>
      </c>
      <c r="H26">
        <f t="shared" si="1"/>
        <v>6.5128147812048898E-2</v>
      </c>
      <c r="I26">
        <f t="shared" si="2"/>
        <v>0.24113631744888875</v>
      </c>
      <c r="J26">
        <f>XCP_3D('Données géométriques'!$B$9,'Données géométriques'!$B$10,'Données géométriques'!$B$11,'Données géométriques'!$B$12,I26)</f>
        <v>-3.7882515471219798E-2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1.1981999999999999</v>
      </c>
      <c r="D27">
        <v>1.9130000000000001E-2</v>
      </c>
      <c r="E27">
        <v>1.2E-2</v>
      </c>
      <c r="F27">
        <f>C27/(1+2/'Données géométriques'!$B$6)</f>
        <v>0.80365541815133101</v>
      </c>
      <c r="G27">
        <f>F27^2/(PI()*'Données géométriques'!$B$6)</f>
        <v>5.046451368267299E-2</v>
      </c>
      <c r="H27">
        <f t="shared" si="1"/>
        <v>6.9594513682672998E-2</v>
      </c>
      <c r="I27">
        <f t="shared" si="2"/>
        <v>0.23981289418872861</v>
      </c>
      <c r="J27">
        <f>XCP_3D('Données géométriques'!$B$9,'Données géométriques'!$B$10,'Données géométriques'!$B$11,'Données géométriques'!$B$12,I27)</f>
        <v>-3.7674605677058361E-2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1.2365999999999999</v>
      </c>
      <c r="D28">
        <v>2.035E-2</v>
      </c>
      <c r="E28">
        <v>1.41E-2</v>
      </c>
      <c r="F28">
        <f>C28/(1+2/'Données géométriques'!$B$6)</f>
        <v>0.82941102494236019</v>
      </c>
      <c r="G28">
        <f>F28^2/(PI()*'Données géométriques'!$B$6)</f>
        <v>5.3750925467991026E-2</v>
      </c>
      <c r="H28">
        <f t="shared" si="1"/>
        <v>7.4100925467991019E-2</v>
      </c>
      <c r="I28">
        <f t="shared" si="2"/>
        <v>0.23838366841101744</v>
      </c>
      <c r="J28">
        <f>XCP_3D('Données géométriques'!$B$9,'Données géométriques'!$B$10,'Données géométriques'!$B$11,'Données géométriques'!$B$12,I28)</f>
        <v>-3.7450074307382945E-2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1.2730999999999999</v>
      </c>
      <c r="D29">
        <v>2.1590000000000002E-2</v>
      </c>
      <c r="E29">
        <v>1.6500000000000001E-2</v>
      </c>
      <c r="F29">
        <f>C29/(1+2/'Données géométriques'!$B$6)</f>
        <v>0.85389226577237476</v>
      </c>
      <c r="G29">
        <f>F29^2/(PI()*'Données géométriques'!$B$6)</f>
        <v>5.697082363620621E-2</v>
      </c>
      <c r="H29">
        <f t="shared" si="1"/>
        <v>7.8560823636206215E-2</v>
      </c>
      <c r="I29">
        <f t="shared" si="2"/>
        <v>0.23677455824869617</v>
      </c>
      <c r="J29">
        <f>XCP_3D('Données géométriques'!$B$9,'Données géométriques'!$B$10,'Données géométriques'!$B$11,'Données géométriques'!$B$12,I29)</f>
        <v>-3.7197283100871947E-2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1.3046</v>
      </c>
      <c r="D30">
        <v>2.298E-2</v>
      </c>
      <c r="E30">
        <v>1.9300000000000001E-2</v>
      </c>
      <c r="F30">
        <f>C30/(1+2/'Données géométriques'!$B$6)</f>
        <v>0.875019911968141</v>
      </c>
      <c r="G30">
        <f>F30^2/(PI()*'Données géométriques'!$B$6)</f>
        <v>5.9824931533275873E-2</v>
      </c>
      <c r="H30">
        <f t="shared" si="1"/>
        <v>8.2804931533275866E-2</v>
      </c>
      <c r="I30">
        <f t="shared" si="2"/>
        <v>0.2348785492289148</v>
      </c>
      <c r="J30">
        <f>XCP_3D('Données géométriques'!$B$9,'Données géométriques'!$B$10,'Données géométriques'!$B$11,'Données géométriques'!$B$12,I30)</f>
        <v>-3.6899420083873431E-2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1.3271999999999999</v>
      </c>
      <c r="D31">
        <v>2.4660000000000001E-2</v>
      </c>
      <c r="E31">
        <v>2.3199999999999998E-2</v>
      </c>
      <c r="F31">
        <f>C31/(1+2/'Données géométriques'!$B$6)</f>
        <v>0.89017815971494452</v>
      </c>
      <c r="G31">
        <f>F31^2/(PI()*'Données géométriques'!$B$6)</f>
        <v>6.191561740120264E-2</v>
      </c>
      <c r="H31">
        <f t="shared" si="1"/>
        <v>8.6575617401202648E-2</v>
      </c>
      <c r="I31">
        <f t="shared" si="2"/>
        <v>0.23210271665821391</v>
      </c>
      <c r="J31">
        <f>XCP_3D('Données géométriques'!$B$9,'Données géométriques'!$B$10,'Données géométriques'!$B$11,'Données géométriques'!$B$12,I31)</f>
        <v>-3.6463336787002282E-2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1.3471</v>
      </c>
      <c r="D32">
        <v>2.6679999999999999E-2</v>
      </c>
      <c r="E32">
        <v>2.6599999999999999E-2</v>
      </c>
      <c r="F32">
        <f>C32/(1+2/'Données géométriques'!$B$6)</f>
        <v>0.9035254663592539</v>
      </c>
      <c r="G32">
        <f>F32^2/(PI()*'Données géométriques'!$B$6)</f>
        <v>6.3786259322144268E-2</v>
      </c>
      <c r="H32">
        <f t="shared" si="1"/>
        <v>9.0466259322144263E-2</v>
      </c>
      <c r="I32">
        <f t="shared" si="2"/>
        <v>0.22974937721195099</v>
      </c>
      <c r="J32">
        <f>XCP_3D('Données géométriques'!$B$9,'Données géométriques'!$B$10,'Données géométriques'!$B$11,'Données géométriques'!$B$12,I32)</f>
        <v>-3.6093627160007843E-2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1.3638999999999999</v>
      </c>
      <c r="D33">
        <v>2.9159999999999998E-2</v>
      </c>
      <c r="E33">
        <v>2.93E-2</v>
      </c>
      <c r="F33">
        <f>C33/(1+2/'Données géométriques'!$B$6)</f>
        <v>0.91479354433032911</v>
      </c>
      <c r="G33">
        <f>F33^2/(PI()*'Données géométriques'!$B$6)</f>
        <v>6.5387166903105226E-2</v>
      </c>
      <c r="H33">
        <f t="shared" si="1"/>
        <v>9.4547166903105218E-2</v>
      </c>
      <c r="I33">
        <f t="shared" si="2"/>
        <v>0.22793271983610786</v>
      </c>
      <c r="J33">
        <f>XCP_3D('Données géométriques'!$B$9,'Données géométriques'!$B$10,'Données géométriques'!$B$11,'Données géométriques'!$B$12,I33)</f>
        <v>-3.5808230286254739E-2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1.3762000000000001</v>
      </c>
      <c r="D34">
        <v>3.236E-2</v>
      </c>
      <c r="E34">
        <v>3.1E-2</v>
      </c>
      <c r="F34">
        <f>C34/(1+2/'Données géométriques'!$B$6)</f>
        <v>0.92304338713058076</v>
      </c>
      <c r="G34">
        <f>F34^2/(PI()*'Données géométriques'!$B$6)</f>
        <v>6.6571841254729827E-2</v>
      </c>
      <c r="H34">
        <f t="shared" si="1"/>
        <v>9.8931841254729827E-2</v>
      </c>
      <c r="I34">
        <f t="shared" si="2"/>
        <v>0.22682559213356623</v>
      </c>
      <c r="J34">
        <f>XCP_3D('Données géométriques'!$B$9,'Données géométriques'!$B$10,'Données géométriques'!$B$11,'Données géométriques'!$B$12,I34)</f>
        <v>-3.5634300524193516E-2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1.3835</v>
      </c>
      <c r="D35">
        <v>3.6580000000000001E-2</v>
      </c>
      <c r="E35">
        <v>3.15E-2</v>
      </c>
      <c r="F35">
        <f>C35/(1+2/'Données géométriques'!$B$6)</f>
        <v>0.92793963529658363</v>
      </c>
      <c r="G35">
        <f>F35^2/(PI()*'Données géométriques'!$B$6)</f>
        <v>6.7279969953364979E-2</v>
      </c>
      <c r="H35">
        <f t="shared" si="1"/>
        <v>0.10385996995336498</v>
      </c>
      <c r="I35">
        <f t="shared" si="2"/>
        <v>0.22654432030915386</v>
      </c>
      <c r="J35">
        <f>XCP_3D('Données géométriques'!$B$9,'Données géométriques'!$B$10,'Données géométriques'!$B$11,'Données géométriques'!$B$12,I35)</f>
        <v>-3.5590112720578361E-2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1.3837999999999999</v>
      </c>
      <c r="D36">
        <v>4.224E-2</v>
      </c>
      <c r="E36">
        <v>3.0300000000000001E-2</v>
      </c>
      <c r="F36">
        <f>C36/(1+2/'Données géométriques'!$B$6)</f>
        <v>0.9281408509746385</v>
      </c>
      <c r="G36">
        <f>F36^2/(PI()*'Données géométriques'!$B$6)</f>
        <v>6.730915127515448E-2</v>
      </c>
      <c r="H36">
        <f t="shared" si="1"/>
        <v>0.10954915127515448</v>
      </c>
      <c r="I36">
        <f t="shared" si="2"/>
        <v>0.22741901346084109</v>
      </c>
      <c r="J36">
        <f>XCP_3D('Données géométriques'!$B$9,'Données géométriques'!$B$10,'Données géométriques'!$B$11,'Données géométriques'!$B$12,I36)</f>
        <v>-3.5727527014696496E-2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1.3746</v>
      </c>
      <c r="D37">
        <v>4.99E-2</v>
      </c>
      <c r="E37">
        <v>2.7199999999999998E-2</v>
      </c>
      <c r="F37">
        <f>C37/(1+2/'Données géométriques'!$B$6)</f>
        <v>0.92197023684762125</v>
      </c>
      <c r="G37">
        <f>F37^2/(PI()*'Données géométriques'!$B$6)</f>
        <v>6.6417135503075805E-2</v>
      </c>
      <c r="H37">
        <f t="shared" si="1"/>
        <v>0.11631713550307581</v>
      </c>
      <c r="I37">
        <f t="shared" si="2"/>
        <v>0.22958212373970879</v>
      </c>
      <c r="J37">
        <f>XCP_3D('Données géométriques'!$B$9,'Données géométriques'!$B$10,'Données géométriques'!$B$11,'Données géométriques'!$B$12,I37)</f>
        <v>-3.606735163951915E-2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1.3517999999999999</v>
      </c>
      <c r="D38">
        <v>6.0249999999999998E-2</v>
      </c>
      <c r="E38">
        <v>2.2100000000000002E-2</v>
      </c>
      <c r="F38">
        <f>C38/(1+2/'Données géométriques'!$B$6)</f>
        <v>0.90667784531544759</v>
      </c>
      <c r="G38">
        <f>F38^2/(PI()*'Données géométriques'!$B$6)</f>
        <v>6.4232133286026005E-2</v>
      </c>
      <c r="H38">
        <f t="shared" si="1"/>
        <v>0.124482133286026</v>
      </c>
      <c r="I38">
        <f t="shared" si="2"/>
        <v>0.23313425347418076</v>
      </c>
      <c r="J38">
        <f>XCP_3D('Données géométriques'!$B$9,'Données géométriques'!$B$10,'Données géométriques'!$B$11,'Données géométriques'!$B$12,I38)</f>
        <v>-3.6625391220798595E-2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1.3127</v>
      </c>
      <c r="D39">
        <v>7.3709999999999998E-2</v>
      </c>
      <c r="E39">
        <v>1.5100000000000001E-2</v>
      </c>
      <c r="F39">
        <f>C39/(1+2/'Données géométriques'!$B$6)</f>
        <v>0.88045273527562362</v>
      </c>
      <c r="G39">
        <f>F39^2/(PI()*'Données géométriques'!$B$6)</f>
        <v>6.0570119761885012E-2</v>
      </c>
      <c r="H39">
        <f t="shared" si="1"/>
        <v>0.134280119761885</v>
      </c>
      <c r="I39">
        <f t="shared" si="2"/>
        <v>0.23814858316616638</v>
      </c>
      <c r="J39">
        <f>XCP_3D('Données géométriques'!$B$9,'Données géométriques'!$B$10,'Données géométriques'!$B$11,'Données géométriques'!$B$12,I39)</f>
        <v>-3.7413142415406511E-2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1.2593000000000001</v>
      </c>
      <c r="D40">
        <v>9.0130000000000002E-2</v>
      </c>
      <c r="E40">
        <v>6.7000000000000002E-3</v>
      </c>
      <c r="F40">
        <f>C40/(1+2/'Données géométriques'!$B$6)</f>
        <v>0.84463634458184889</v>
      </c>
      <c r="G40">
        <f>F40^2/(PI()*'Données géométriques'!$B$6)</f>
        <v>5.5742426336388207E-2</v>
      </c>
      <c r="H40">
        <f t="shared" si="1"/>
        <v>0.14587242633638819</v>
      </c>
      <c r="I40">
        <f t="shared" si="2"/>
        <v>0.24453292034628632</v>
      </c>
      <c r="J40">
        <f>XCP_3D('Données géométriques'!$B$9,'Données géométriques'!$B$10,'Données géométriques'!$B$11,'Données géométriques'!$B$12,I40)</f>
        <v>-3.8416121786413224E-2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1.1992</v>
      </c>
      <c r="D41">
        <v>0.10847999999999999</v>
      </c>
      <c r="E41">
        <v>-2.8E-3</v>
      </c>
      <c r="F41">
        <f>C41/(1+2/'Données géométriques'!$B$6)</f>
        <v>0.80432613707818079</v>
      </c>
      <c r="G41">
        <f>F41^2/(PI()*'Données géométriques'!$B$6)</f>
        <v>5.0548782706460474E-2</v>
      </c>
      <c r="H41">
        <f t="shared" si="1"/>
        <v>0.15902878270646048</v>
      </c>
      <c r="I41">
        <f t="shared" si="2"/>
        <v>0.25238979026337272</v>
      </c>
      <c r="J41">
        <f>XCP_3D('Données géométriques'!$B$9,'Données géométriques'!$B$10,'Données géométriques'!$B$11,'Données géométriques'!$B$12,I41)</f>
        <v>-3.9650436050377089E-2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1.1422000000000001</v>
      </c>
      <c r="D42">
        <v>0.12717000000000001</v>
      </c>
      <c r="E42">
        <v>-1.26E-2</v>
      </c>
      <c r="F42">
        <f>C42/(1+2/'Données géométriques'!$B$6)</f>
        <v>0.76609515824774699</v>
      </c>
      <c r="G42">
        <f>F42^2/(PI()*'Données géométriques'!$B$6)</f>
        <v>4.5857647701508554E-2</v>
      </c>
      <c r="H42">
        <f t="shared" si="1"/>
        <v>0.17302764770150855</v>
      </c>
      <c r="I42">
        <f t="shared" si="2"/>
        <v>0.26123621738235897</v>
      </c>
      <c r="J42">
        <f>XCP_3D('Données géométriques'!$B$9,'Données géométriques'!$B$10,'Données géométriques'!$B$11,'Données géométriques'!$B$12,I42)</f>
        <v>-4.1040209750769406E-2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1.0971</v>
      </c>
      <c r="D43">
        <v>0.14449999999999999</v>
      </c>
      <c r="E43">
        <v>-2.2100000000000002E-2</v>
      </c>
      <c r="F43">
        <f>C43/(1+2/'Données géométriques'!$B$6)</f>
        <v>0.73584573464682468</v>
      </c>
      <c r="G43">
        <f>F43^2/(PI()*'Données géométriques'!$B$6)</f>
        <v>4.2307746355873706E-2</v>
      </c>
      <c r="H43">
        <f t="shared" si="1"/>
        <v>0.18680774635587369</v>
      </c>
      <c r="I43">
        <f t="shared" si="2"/>
        <v>0.27041745715762661</v>
      </c>
      <c r="J43">
        <f>XCP_3D('Données géométriques'!$B$9,'Données géométriques'!$B$10,'Données géométriques'!$B$11,'Données géométriques'!$B$12,I43)</f>
        <v>-4.2482582519464886E-2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  <row r="44" spans="1:12" x14ac:dyDescent="0.3">
      <c r="A44">
        <v>20</v>
      </c>
      <c r="B44">
        <f t="shared" si="0"/>
        <v>0.3490658503988659</v>
      </c>
      <c r="C44">
        <v>1.0631999999999999</v>
      </c>
      <c r="D44">
        <v>0.16039999999999999</v>
      </c>
      <c r="E44">
        <v>-3.1300000000000001E-2</v>
      </c>
      <c r="F44">
        <f>C44/(1+2/'Données géométriques'!$B$6)</f>
        <v>0.71310836302661917</v>
      </c>
      <c r="G44">
        <f>F44^2/(PI()*'Données géométriques'!$B$6)</f>
        <v>3.9733552640270946E-2</v>
      </c>
      <c r="H44">
        <f t="shared" si="1"/>
        <v>0.20013355264027094</v>
      </c>
      <c r="I44">
        <f t="shared" si="2"/>
        <v>0.27969805075027127</v>
      </c>
      <c r="J44">
        <f>XCP_3D('Données géométriques'!$B$9,'Données géométriques'!$B$10,'Données géométriques'!$B$11,'Données géométriques'!$B$12,I44)</f>
        <v>-4.3940563772872664E-2</v>
      </c>
      <c r="K44">
        <f>ZCP_3D('Données géométriques'!$B$9,'Données géométriques'!$B$10,'Données géométriques'!$B$11)</f>
        <v>-0.15998400159986725</v>
      </c>
      <c r="L44">
        <f>'0.1kts'!L44</f>
        <v>-5.5810000000000018E-3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58C03-BC6C-416B-BB91-84FB8042E63A}">
  <sheetPr codeName="Feuil8"/>
  <dimension ref="A1:L44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3.5</v>
      </c>
      <c r="C1" s="2">
        <f>A1*'Données géométriques'!B2/'Données géométriques'!F2</f>
        <v>546027.80536246265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7.0899999999999999E-3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7.0899999999999999E-3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4" si="0">A5*PI()/180</f>
        <v>8.7266462599716477E-3</v>
      </c>
      <c r="C5">
        <v>5.4600000000000003E-2</v>
      </c>
      <c r="D5">
        <v>7.1199999999999996E-3</v>
      </c>
      <c r="E5">
        <v>2.9999999999999997E-4</v>
      </c>
      <c r="F5">
        <f>C5/(1+2/'Données géométriques'!$B$6)</f>
        <v>3.6621253405994557E-2</v>
      </c>
      <c r="G5">
        <f>F5^2/(PI()*'Données géométriques'!$B$6)</f>
        <v>1.0478828854353518E-4</v>
      </c>
      <c r="H5">
        <f>D5+G5</f>
        <v>7.2247882885435348E-3</v>
      </c>
      <c r="I5">
        <f>0.25-E5/(C5*COS(B5)+D5*SIN(B5))</f>
        <v>0.24451153121120353</v>
      </c>
      <c r="J5">
        <f>XCP_3D('Données géométriques'!$B$9,'Données géométriques'!$B$10,'Données géométriques'!$B$11,'Données géométriques'!$B$12,I5)</f>
        <v>-3.8412761553290556E-2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0.109</v>
      </c>
      <c r="D6">
        <v>7.1700000000000002E-3</v>
      </c>
      <c r="E6">
        <v>6.9999999999999999E-4</v>
      </c>
      <c r="F6">
        <f>C6/(1+2/'Données géométriques'!$B$6)</f>
        <v>7.3108363026619161E-2</v>
      </c>
      <c r="G6">
        <f>F6^2/(PI()*'Données géométriques'!$B$6)</f>
        <v>4.176192006419451E-4</v>
      </c>
      <c r="H6">
        <f t="shared" ref="H6:H44" si="1">D6+G6</f>
        <v>7.5876192006419452E-3</v>
      </c>
      <c r="I6">
        <f t="shared" ref="I6:I44" si="2">0.25-E6/(C6*COS(B6)+D6*SIN(B6))</f>
        <v>0.24358436976657258</v>
      </c>
      <c r="J6">
        <f>XCP_3D('Données géométriques'!$B$9,'Données géométriques'!$B$10,'Données géométriques'!$B$11,'Données géométriques'!$B$12,I6)</f>
        <v>-3.826710449032758E-2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0.16309999999999999</v>
      </c>
      <c r="D7">
        <v>7.2700000000000004E-3</v>
      </c>
      <c r="E7">
        <v>1.1000000000000001E-3</v>
      </c>
      <c r="F7">
        <f>C7/(1+2/'Données géométriques'!$B$6)</f>
        <v>0.10939425696918886</v>
      </c>
      <c r="G7">
        <f>F7^2/(PI()*'Données géométriques'!$B$6)</f>
        <v>9.3505118289611774E-4</v>
      </c>
      <c r="H7">
        <f t="shared" si="1"/>
        <v>8.2050511828961181E-3</v>
      </c>
      <c r="I7">
        <f t="shared" si="2"/>
        <v>0.24326122501515388</v>
      </c>
      <c r="J7">
        <f>XCP_3D('Données géométriques'!$B$9,'Données géométriques'!$B$10,'Données géométriques'!$B$11,'Données géométriques'!$B$12,I7)</f>
        <v>-3.821633844989443E-2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0.217</v>
      </c>
      <c r="D8">
        <v>7.4099999999999999E-3</v>
      </c>
      <c r="E8">
        <v>1.5E-3</v>
      </c>
      <c r="F8">
        <f>C8/(1+2/'Données géométriques'!$B$6)</f>
        <v>0.14554600712638863</v>
      </c>
      <c r="G8">
        <f>F8^2/(PI()*'Données géométriques'!$B$6)</f>
        <v>1.655186477487464E-3</v>
      </c>
      <c r="H8">
        <f t="shared" si="1"/>
        <v>9.0651864774874639E-3</v>
      </c>
      <c r="I8">
        <f t="shared" si="2"/>
        <v>0.24309158214655896</v>
      </c>
      <c r="J8">
        <f>XCP_3D('Données géométriques'!$B$9,'Données géométriques'!$B$10,'Données géométriques'!$B$11,'Données géométriques'!$B$12,I8)</f>
        <v>-3.8189687555220793E-2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0.27050000000000002</v>
      </c>
      <c r="D9">
        <v>7.6099999999999996E-3</v>
      </c>
      <c r="E9">
        <v>2.0999999999999999E-3</v>
      </c>
      <c r="F9">
        <f>C9/(1+2/'Données géométriques'!$B$6)</f>
        <v>0.18142946971284848</v>
      </c>
      <c r="G9">
        <f>F9^2/(PI()*'Données géométriques'!$B$6)</f>
        <v>2.5719469165702627E-3</v>
      </c>
      <c r="H9">
        <f t="shared" si="1"/>
        <v>1.0181946916570261E-2</v>
      </c>
      <c r="I9">
        <f t="shared" si="2"/>
        <v>0.24223873610704605</v>
      </c>
      <c r="J9">
        <f>XCP_3D('Données géométriques'!$B$9,'Données géométriques'!$B$10,'Données géométriques'!$B$11,'Données géométriques'!$B$12,I9)</f>
        <v>-3.8055705442415468E-2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0.3236</v>
      </c>
      <c r="D10">
        <v>7.8600000000000007E-3</v>
      </c>
      <c r="E10">
        <v>2.7000000000000001E-3</v>
      </c>
      <c r="F10">
        <f>C10/(1+2/'Données géométriques'!$B$6)</f>
        <v>0.21704464472856846</v>
      </c>
      <c r="G10">
        <f>F10^2/(PI()*'Données géométriques'!$B$6)</f>
        <v>3.6808192179828758E-3</v>
      </c>
      <c r="H10">
        <f t="shared" si="1"/>
        <v>1.1540819217982876E-2</v>
      </c>
      <c r="I10">
        <f t="shared" si="2"/>
        <v>0.24165553757633129</v>
      </c>
      <c r="J10">
        <f>XCP_3D('Données géométriques'!$B$9,'Données géométriques'!$B$10,'Données géométriques'!$B$11,'Données géométriques'!$B$12,I10)</f>
        <v>-3.796408495325141E-2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0.37630000000000002</v>
      </c>
      <c r="D11">
        <v>8.1600000000000006E-3</v>
      </c>
      <c r="E11">
        <v>3.5000000000000001E-3</v>
      </c>
      <c r="F11">
        <f>C11/(1+2/'Données géométriques'!$B$6)</f>
        <v>0.25239153217354859</v>
      </c>
      <c r="G11">
        <f>F11^2/(PI()*'Données géométriques'!$B$6)</f>
        <v>4.9773238437293603E-3</v>
      </c>
      <c r="H11">
        <f t="shared" si="1"/>
        <v>1.313732384372936E-2</v>
      </c>
      <c r="I11">
        <f t="shared" si="2"/>
        <v>0.24069387234242751</v>
      </c>
      <c r="J11">
        <f>XCP_3D('Données géométriques'!$B$9,'Données géométriques'!$B$10,'Données géométriques'!$B$11,'Données géométriques'!$B$12,I11)</f>
        <v>-3.781300734500815E-2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0.42849999999999999</v>
      </c>
      <c r="D12">
        <v>8.5199999999999998E-3</v>
      </c>
      <c r="E12">
        <v>4.3E-3</v>
      </c>
      <c r="F12">
        <f>C12/(1+2/'Données géométriques'!$B$6)</f>
        <v>0.28740306015510381</v>
      </c>
      <c r="G12">
        <f>F12^2/(PI()*'Données géométriques'!$B$6)</f>
        <v>6.4540022786860538E-3</v>
      </c>
      <c r="H12">
        <f t="shared" si="1"/>
        <v>1.4974002278686054E-2</v>
      </c>
      <c r="I12">
        <f t="shared" si="2"/>
        <v>0.23995445679392677</v>
      </c>
      <c r="J12">
        <f>XCP_3D('Données géométriques'!$B$9,'Données géométriques'!$B$10,'Données géométriques'!$B$11,'Données géométriques'!$B$12,I12)</f>
        <v>-3.7696845162333126E-2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0.48099999999999998</v>
      </c>
      <c r="D13">
        <v>8.9200000000000008E-3</v>
      </c>
      <c r="E13">
        <v>5.1000000000000004E-3</v>
      </c>
      <c r="F13">
        <f>C13/(1+2/'Données géométriques'!$B$6)</f>
        <v>0.32261580381471394</v>
      </c>
      <c r="G13">
        <f>F13^2/(PI()*'Données géométriques'!$B$6)</f>
        <v>8.132379082545332E-3</v>
      </c>
      <c r="H13">
        <f t="shared" si="1"/>
        <v>1.7052379082545331E-2</v>
      </c>
      <c r="I13">
        <f t="shared" si="2"/>
        <v>0.23937980326407104</v>
      </c>
      <c r="J13">
        <f>XCP_3D('Données géométriques'!$B$9,'Données géométriques'!$B$10,'Données géométriques'!$B$11,'Données géométriques'!$B$12,I13)</f>
        <v>-3.7606567092796701E-2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0.53439999999999999</v>
      </c>
      <c r="D14">
        <v>9.3699999999999999E-3</v>
      </c>
      <c r="E14">
        <v>5.7000000000000002E-3</v>
      </c>
      <c r="F14">
        <f>C14/(1+2/'Données géométriques'!$B$6)</f>
        <v>0.35843219450848884</v>
      </c>
      <c r="G14">
        <f>F14^2/(PI()*'Données géométriques'!$B$6)</f>
        <v>1.003830439523953E-2</v>
      </c>
      <c r="H14">
        <f t="shared" si="1"/>
        <v>1.940830439523953E-2</v>
      </c>
      <c r="I14">
        <f t="shared" si="2"/>
        <v>0.23930948853576722</v>
      </c>
      <c r="J14">
        <f>XCP_3D('Données géométriques'!$B$9,'Données géométriques'!$B$10,'Données géométriques'!$B$11,'Données géométriques'!$B$12,I14)</f>
        <v>-3.7595520648981688E-2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0.59089999999999998</v>
      </c>
      <c r="D15">
        <v>9.8700000000000003E-3</v>
      </c>
      <c r="E15">
        <v>5.5999999999999999E-3</v>
      </c>
      <c r="F15">
        <f>C15/(1+2/'Données géométriques'!$B$6)</f>
        <v>0.39632781387549781</v>
      </c>
      <c r="G15">
        <f>F15^2/(PI()*'Données géométriques'!$B$6)</f>
        <v>1.227313303645277E-2</v>
      </c>
      <c r="H15">
        <f t="shared" si="1"/>
        <v>2.214313303645277E-2</v>
      </c>
      <c r="I15">
        <f t="shared" si="2"/>
        <v>0.2404943871160784</v>
      </c>
      <c r="J15">
        <f>XCP_3D('Données géométriques'!$B$9,'Données géométriques'!$B$10,'Données géométriques'!$B$11,'Données géométriques'!$B$12,I15)</f>
        <v>-3.7781668215945086E-2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0.6502</v>
      </c>
      <c r="D16">
        <v>1.0370000000000001E-2</v>
      </c>
      <c r="E16">
        <v>4.7000000000000002E-3</v>
      </c>
      <c r="F16">
        <f>C16/(1+2/'Données géométriques'!$B$6)</f>
        <v>0.4361014462376861</v>
      </c>
      <c r="G16">
        <f>F16^2/(PI()*'Données géométriques'!$B$6)</f>
        <v>1.4860088373719112E-2</v>
      </c>
      <c r="H16">
        <f t="shared" si="1"/>
        <v>2.5230088373719112E-2</v>
      </c>
      <c r="I16">
        <f t="shared" si="2"/>
        <v>0.24274380166253304</v>
      </c>
      <c r="J16">
        <f>XCP_3D('Données géométriques'!$B$9,'Données géométriques'!$B$10,'Données géométriques'!$B$11,'Données géométriques'!$B$12,I16)</f>
        <v>-3.8135051241196857E-2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0.71</v>
      </c>
      <c r="D17">
        <v>1.091E-2</v>
      </c>
      <c r="E17">
        <v>3.7000000000000002E-3</v>
      </c>
      <c r="F17">
        <f>C17/(1+2/'Données géométriques'!$B$6)</f>
        <v>0.47621043806329916</v>
      </c>
      <c r="G17">
        <f>F17^2/(PI()*'Données géométriques'!$B$6)</f>
        <v>1.7719202006868492E-2</v>
      </c>
      <c r="H17">
        <f t="shared" si="1"/>
        <v>2.8629202006868491E-2</v>
      </c>
      <c r="I17">
        <f t="shared" si="2"/>
        <v>0.24476418352839571</v>
      </c>
      <c r="J17">
        <f>XCP_3D('Données géométriques'!$B$9,'Données géométriques'!$B$10,'Données géométriques'!$B$11,'Données géométriques'!$B$12,I17)</f>
        <v>-3.8452453232309468E-2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0.77349999999999997</v>
      </c>
      <c r="D18">
        <v>1.15E-2</v>
      </c>
      <c r="E18">
        <v>1.6999999999999999E-3</v>
      </c>
      <c r="F18">
        <f>C18/(1+2/'Données géométriques'!$B$6)</f>
        <v>0.51880108991825613</v>
      </c>
      <c r="G18">
        <f>F18^2/(PI()*'Données géométriques'!$B$6)</f>
        <v>2.1030427353528926E-2</v>
      </c>
      <c r="H18">
        <f t="shared" si="1"/>
        <v>3.2530427353528929E-2</v>
      </c>
      <c r="I18">
        <f t="shared" si="2"/>
        <v>0.24778972753853523</v>
      </c>
      <c r="J18">
        <f>XCP_3D('Données géométriques'!$B$9,'Données géométriques'!$B$10,'Données géométriques'!$B$11,'Données géométriques'!$B$12,I18)</f>
        <v>-3.8927766196305773E-2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0.83560000000000001</v>
      </c>
      <c r="D19">
        <v>1.2109999999999999E-2</v>
      </c>
      <c r="E19">
        <v>0</v>
      </c>
      <c r="F19">
        <f>C19/(1+2/'Données géométriques'!$B$6)</f>
        <v>0.56045273527562367</v>
      </c>
      <c r="G19">
        <f>F19^2/(PI()*'Données géométriques'!$B$6)</f>
        <v>2.4542812216946024E-2</v>
      </c>
      <c r="H19">
        <f t="shared" si="1"/>
        <v>3.6652812216946024E-2</v>
      </c>
      <c r="I19">
        <f t="shared" si="2"/>
        <v>0.25</v>
      </c>
      <c r="J19">
        <f>XCP_3D('Données géométriques'!$B$9,'Données géométriques'!$B$10,'Données géométriques'!$B$11,'Données géométriques'!$B$12,I19)</f>
        <v>-3.9275000000009289E-2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0.89859999999999995</v>
      </c>
      <c r="D20">
        <v>1.2749999999999999E-2</v>
      </c>
      <c r="E20">
        <v>-1.9E-3</v>
      </c>
      <c r="F20">
        <f>C20/(1+2/'Données géométriques'!$B$6)</f>
        <v>0.60270802766715581</v>
      </c>
      <c r="G20">
        <f>F20^2/(PI()*'Données géométriques'!$B$6)</f>
        <v>2.8383130264118438E-2</v>
      </c>
      <c r="H20">
        <f t="shared" si="1"/>
        <v>4.1133130264118439E-2</v>
      </c>
      <c r="I20">
        <f t="shared" si="2"/>
        <v>0.25213093031719963</v>
      </c>
      <c r="J20">
        <f>XCP_3D('Données géométriques'!$B$9,'Données géométriques'!$B$10,'Données géométriques'!$B$11,'Données géométriques'!$B$12,I20)</f>
        <v>-3.9609769152831403E-2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0.9456</v>
      </c>
      <c r="D21">
        <v>1.338E-2</v>
      </c>
      <c r="E21">
        <v>-5.0000000000000001E-4</v>
      </c>
      <c r="F21">
        <f>C21/(1+2/'Données géométriques'!$B$6)</f>
        <v>0.6342318172290925</v>
      </c>
      <c r="G21">
        <f>F21^2/(PI()*'Données géométriques'!$B$6)</f>
        <v>3.1429855834501579E-2</v>
      </c>
      <c r="H21">
        <f t="shared" si="1"/>
        <v>4.4809855834501575E-2</v>
      </c>
      <c r="I21">
        <f t="shared" si="2"/>
        <v>0.25053350912654476</v>
      </c>
      <c r="J21">
        <f>XCP_3D('Données géométriques'!$B$9,'Données géométriques'!$B$10,'Données géométriques'!$B$11,'Données géométriques'!$B$12,I21)</f>
        <v>-3.9358814283795257E-2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0.98860000000000003</v>
      </c>
      <c r="D22">
        <v>1.405E-2</v>
      </c>
      <c r="E22">
        <v>1.8E-3</v>
      </c>
      <c r="F22">
        <f>C22/(1+2/'Données géométriques'!$B$6)</f>
        <v>0.66307273108363041</v>
      </c>
      <c r="G22">
        <f>F22^2/(PI()*'Données géométriques'!$B$6)</f>
        <v>3.4353316779616554E-2</v>
      </c>
      <c r="H22">
        <f t="shared" si="1"/>
        <v>4.8403316779616554E-2</v>
      </c>
      <c r="I22">
        <f t="shared" si="2"/>
        <v>0.24816068763699506</v>
      </c>
      <c r="J22">
        <f>XCP_3D('Données géométriques'!$B$9,'Données géométriques'!$B$10,'Données géométriques'!$B$11,'Données géométriques'!$B$12,I22)</f>
        <v>-3.8986044027771505E-2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1.0325</v>
      </c>
      <c r="D23">
        <v>1.473E-2</v>
      </c>
      <c r="E23">
        <v>3.8E-3</v>
      </c>
      <c r="F23">
        <f>C23/(1+2/'Données géométriques'!$B$6)</f>
        <v>0.69251729197233292</v>
      </c>
      <c r="G23">
        <f>F23^2/(PI()*'Données géométriques'!$B$6)</f>
        <v>3.7472061187134892E-2</v>
      </c>
      <c r="H23">
        <f t="shared" si="1"/>
        <v>5.2202061187134892E-2</v>
      </c>
      <c r="I23">
        <f t="shared" si="2"/>
        <v>0.24627732383622697</v>
      </c>
      <c r="J23">
        <f>XCP_3D('Données géométriques'!$B$9,'Données géométriques'!$B$10,'Données géométriques'!$B$11,'Données géométriques'!$B$12,I23)</f>
        <v>-3.8690167574673792E-2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1.0764</v>
      </c>
      <c r="D24">
        <v>1.553E-2</v>
      </c>
      <c r="E24">
        <v>5.7000000000000002E-3</v>
      </c>
      <c r="F24">
        <f>C24/(1+2/'Données géométriques'!$B$6)</f>
        <v>0.72196185286103554</v>
      </c>
      <c r="G24">
        <f>F24^2/(PI()*'Données géométriques'!$B$6)</f>
        <v>4.0726289122920076E-2</v>
      </c>
      <c r="H24">
        <f t="shared" si="1"/>
        <v>5.6256289122920078E-2</v>
      </c>
      <c r="I24">
        <f t="shared" si="2"/>
        <v>0.24463652492306928</v>
      </c>
      <c r="J24">
        <f>XCP_3D('Données géométriques'!$B$9,'Données géométriques'!$B$10,'Données géométriques'!$B$11,'Données géométriques'!$B$12,I24)</f>
        <v>-3.8432398065425415E-2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1.1207</v>
      </c>
      <c r="D25">
        <v>1.635E-2</v>
      </c>
      <c r="E25">
        <v>7.4000000000000003E-3</v>
      </c>
      <c r="F25">
        <f>C25/(1+2/'Données géométriques'!$B$6)</f>
        <v>0.75167470132047798</v>
      </c>
      <c r="G25">
        <f>F25^2/(PI()*'Données géométriques'!$B$6)</f>
        <v>4.4147509201689326E-2</v>
      </c>
      <c r="H25">
        <f t="shared" si="1"/>
        <v>6.0497509201689323E-2</v>
      </c>
      <c r="I25">
        <f t="shared" si="2"/>
        <v>0.24330264209187127</v>
      </c>
      <c r="J25">
        <f>XCP_3D('Données géométriques'!$B$9,'Données géométriques'!$B$10,'Données géométriques'!$B$11,'Données géométriques'!$B$12,I25)</f>
        <v>-3.822284507263584E-2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1.1641999999999999</v>
      </c>
      <c r="D26">
        <v>1.7260000000000001E-2</v>
      </c>
      <c r="E26">
        <v>9.1000000000000004E-3</v>
      </c>
      <c r="F26">
        <f>C26/(1+2/'Données géométriques'!$B$6)</f>
        <v>0.78085097463844066</v>
      </c>
      <c r="G26">
        <f>F26^2/(PI()*'Données géométriques'!$B$6)</f>
        <v>4.7641195579290953E-2</v>
      </c>
      <c r="H26">
        <f t="shared" si="1"/>
        <v>6.4901195579290957E-2</v>
      </c>
      <c r="I26">
        <f t="shared" si="2"/>
        <v>0.24206005550808735</v>
      </c>
      <c r="J26">
        <f>XCP_3D('Données géométriques'!$B$9,'Données géométriques'!$B$10,'Données géométriques'!$B$11,'Données géométriques'!$B$12,I26)</f>
        <v>-3.8027634720324825E-2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1.2058</v>
      </c>
      <c r="D27">
        <v>1.831E-2</v>
      </c>
      <c r="E27">
        <v>1.0999999999999999E-2</v>
      </c>
      <c r="F27">
        <f>C27/(1+2/'Données géométriques'!$B$6)</f>
        <v>0.80875288199538886</v>
      </c>
      <c r="G27">
        <f>F27^2/(PI()*'Données géométriques'!$B$6)</f>
        <v>5.1106721396115343E-2</v>
      </c>
      <c r="H27">
        <f t="shared" si="1"/>
        <v>6.941672139611535E-2</v>
      </c>
      <c r="I27">
        <f t="shared" si="2"/>
        <v>0.24071920770669097</v>
      </c>
      <c r="J27">
        <f>XCP_3D('Données géométriques'!$B$9,'Données géométriques'!$B$10,'Données géométriques'!$B$11,'Données géométriques'!$B$12,I27)</f>
        <v>-3.7816987530733176E-2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1.2465999999999999</v>
      </c>
      <c r="D28">
        <v>1.9359999999999999E-2</v>
      </c>
      <c r="E28">
        <v>1.29E-2</v>
      </c>
      <c r="F28">
        <f>C28/(1+2/'Données géométriques'!$B$6)</f>
        <v>0.8361182142108573</v>
      </c>
      <c r="G28">
        <f>F28^2/(PI()*'Données géométriques'!$B$6)</f>
        <v>5.4623774553955229E-2</v>
      </c>
      <c r="H28">
        <f t="shared" si="1"/>
        <v>7.3983774553955231E-2</v>
      </c>
      <c r="I28">
        <f t="shared" si="2"/>
        <v>0.2394554773296303</v>
      </c>
      <c r="J28">
        <f>XCP_3D('Données géométriques'!$B$9,'Données géométriques'!$B$10,'Données géométriques'!$B$11,'Données géométriques'!$B$12,I28)</f>
        <v>-3.7618455488486247E-2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1.2847</v>
      </c>
      <c r="D29">
        <v>2.053E-2</v>
      </c>
      <c r="E29">
        <v>1.4999999999999999E-2</v>
      </c>
      <c r="F29">
        <f>C29/(1+2/'Données géométriques'!$B$6)</f>
        <v>0.86167260532383161</v>
      </c>
      <c r="G29">
        <f>F29^2/(PI()*'Données géométriques'!$B$6)</f>
        <v>5.8013746129284491E-2</v>
      </c>
      <c r="H29">
        <f t="shared" si="1"/>
        <v>7.8543746129284497E-2</v>
      </c>
      <c r="I29">
        <f t="shared" si="2"/>
        <v>0.23808285737217866</v>
      </c>
      <c r="J29">
        <f>XCP_3D('Données géométriques'!$B$9,'Données géométriques'!$B$10,'Données géométriques'!$B$11,'Données géométriques'!$B$12,I29)</f>
        <v>-3.7402816893167885E-2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1.3180000000000001</v>
      </c>
      <c r="D30">
        <v>2.1940000000000001E-2</v>
      </c>
      <c r="E30">
        <v>1.7600000000000001E-2</v>
      </c>
      <c r="F30">
        <f>C30/(1+2/'Données géométriques'!$B$6)</f>
        <v>0.88400754558792727</v>
      </c>
      <c r="G30">
        <f>F30^2/(PI()*'Données géométriques'!$B$6)</f>
        <v>6.1060208424874883E-2</v>
      </c>
      <c r="H30">
        <f t="shared" si="1"/>
        <v>8.3000208424874877E-2</v>
      </c>
      <c r="I30">
        <f t="shared" si="2"/>
        <v>0.23634764814288511</v>
      </c>
      <c r="J30">
        <f>XCP_3D('Données géométriques'!$B$9,'Données géométriques'!$B$10,'Données géométriques'!$B$11,'Données géométriques'!$B$12,I30)</f>
        <v>-3.7130215523247391E-2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1.3453999999999999</v>
      </c>
      <c r="D31">
        <v>2.3349999999999999E-2</v>
      </c>
      <c r="E31">
        <v>2.1100000000000001E-2</v>
      </c>
      <c r="F31">
        <f>C31/(1+2/'Données géométriques'!$B$6)</f>
        <v>0.90238524418360933</v>
      </c>
      <c r="G31">
        <f>F31^2/(PI()*'Données géométriques'!$B$6)</f>
        <v>6.3625368194618087E-2</v>
      </c>
      <c r="H31">
        <f t="shared" si="1"/>
        <v>8.6975368194618083E-2</v>
      </c>
      <c r="I31">
        <f t="shared" si="2"/>
        <v>0.2339382185039231</v>
      </c>
      <c r="J31">
        <f>XCP_3D('Données géométriques'!$B$9,'Données géométriques'!$B$10,'Données géométriques'!$B$11,'Données géométriques'!$B$12,I31)</f>
        <v>-3.6751694126975341E-2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1.3684000000000001</v>
      </c>
      <c r="D32">
        <v>2.5049999999999999E-2</v>
      </c>
      <c r="E32">
        <v>2.47E-2</v>
      </c>
      <c r="F32">
        <f>C32/(1+2/'Données géométriques'!$B$6)</f>
        <v>0.917811779501153</v>
      </c>
      <c r="G32">
        <f>F32^2/(PI()*'Données géométriques'!$B$6)</f>
        <v>6.581935057776335E-2</v>
      </c>
      <c r="H32">
        <f t="shared" si="1"/>
        <v>9.0869350577763353E-2</v>
      </c>
      <c r="I32">
        <f t="shared" si="2"/>
        <v>0.23148165940806434</v>
      </c>
      <c r="J32">
        <f>XCP_3D('Données géométriques'!$B$9,'Données géométriques'!$B$10,'Données géométriques'!$B$11,'Données géométriques'!$B$12,I32)</f>
        <v>-3.6365768693005382E-2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1.3877999999999999</v>
      </c>
      <c r="D33">
        <v>2.717E-2</v>
      </c>
      <c r="E33">
        <v>2.7699999999999999E-2</v>
      </c>
      <c r="F33">
        <f>C33/(1+2/'Données géométriques'!$B$6)</f>
        <v>0.93082372668203739</v>
      </c>
      <c r="G33">
        <f>F33^2/(PI()*'Données géométriques'!$B$6)</f>
        <v>6.76988401486497E-2</v>
      </c>
      <c r="H33">
        <f t="shared" si="1"/>
        <v>9.48688401486497E-2</v>
      </c>
      <c r="I33">
        <f t="shared" si="2"/>
        <v>0.22948753068506325</v>
      </c>
      <c r="J33">
        <f>XCP_3D('Données géométriques'!$B$9,'Données géométriques'!$B$10,'Données géométriques'!$B$11,'Données géométriques'!$B$12,I33)</f>
        <v>-3.6052491070632728E-2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1.4029</v>
      </c>
      <c r="D34">
        <v>2.989E-2</v>
      </c>
      <c r="E34">
        <v>0.03</v>
      </c>
      <c r="F34">
        <f>C34/(1+2/'Données géométriques'!$B$6)</f>
        <v>0.94095158247746813</v>
      </c>
      <c r="G34">
        <f>F34^2/(PI()*'Données géométriques'!$B$6)</f>
        <v>6.9180053307373326E-2</v>
      </c>
      <c r="H34">
        <f t="shared" si="1"/>
        <v>9.9070053307373326E-2</v>
      </c>
      <c r="I34">
        <f t="shared" si="2"/>
        <v>0.22798703858127917</v>
      </c>
      <c r="J34">
        <f>XCP_3D('Données géométriques'!$B$9,'Données géométriques'!$B$10,'Données géométriques'!$B$11,'Données géométriques'!$B$12,I34)</f>
        <v>-3.5816763761126372E-2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1.4123000000000001</v>
      </c>
      <c r="D35">
        <v>3.3550000000000003E-2</v>
      </c>
      <c r="E35">
        <v>3.1300000000000001E-2</v>
      </c>
      <c r="F35">
        <f>C35/(1+2/'Données géométriques'!$B$6)</f>
        <v>0.94725634038985562</v>
      </c>
      <c r="G35">
        <f>F35^2/(PI()*'Données géométriques'!$B$6)</f>
        <v>7.0110228106824879E-2</v>
      </c>
      <c r="H35">
        <f t="shared" si="1"/>
        <v>0.10366022810682488</v>
      </c>
      <c r="I35">
        <f t="shared" si="2"/>
        <v>0.2271516358632632</v>
      </c>
      <c r="J35">
        <f>XCP_3D('Données géométriques'!$B$9,'Données géométriques'!$B$10,'Données géométriques'!$B$11,'Données géométriques'!$B$12,I35)</f>
        <v>-3.5685521994115933E-2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1.4132</v>
      </c>
      <c r="D36">
        <v>3.8690000000000002E-2</v>
      </c>
      <c r="E36">
        <v>3.1099999999999999E-2</v>
      </c>
      <c r="F36">
        <f>C36/(1+2/'Données géométriques'!$B$6)</f>
        <v>0.94785998742402022</v>
      </c>
      <c r="G36">
        <f>F36^2/(PI()*'Données géométriques'!$B$6)</f>
        <v>7.0199613238234038E-2</v>
      </c>
      <c r="H36">
        <f t="shared" si="1"/>
        <v>0.10888961323823404</v>
      </c>
      <c r="I36">
        <f t="shared" si="2"/>
        <v>0.22728466988569815</v>
      </c>
      <c r="J36">
        <f>XCP_3D('Données géométriques'!$B$9,'Données géométriques'!$B$10,'Données géométriques'!$B$11,'Données géométriques'!$B$12,I36)</f>
        <v>-3.5706421639052917E-2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1.4098999999999999</v>
      </c>
      <c r="D37">
        <v>4.5130000000000003E-2</v>
      </c>
      <c r="E37">
        <v>2.92E-2</v>
      </c>
      <c r="F37">
        <f>C37/(1+2/'Données géométriques'!$B$6)</f>
        <v>0.94564661496541613</v>
      </c>
      <c r="G37">
        <f>F37^2/(PI()*'Données géométriques'!$B$6)</f>
        <v>6.9872146145767366E-2</v>
      </c>
      <c r="H37">
        <f t="shared" si="1"/>
        <v>0.11500214614576737</v>
      </c>
      <c r="I37">
        <f t="shared" si="2"/>
        <v>0.22860269057486332</v>
      </c>
      <c r="J37">
        <f>XCP_3D('Données géométriques'!$B$9,'Données géométriques'!$B$10,'Données géométriques'!$B$11,'Données géométriques'!$B$12,I37)</f>
        <v>-3.5913482689322769E-2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1.3965000000000001</v>
      </c>
      <c r="D38">
        <v>5.3650000000000003E-2</v>
      </c>
      <c r="E38">
        <v>2.5399999999999999E-2</v>
      </c>
      <c r="F38">
        <f>C38/(1+2/'Données géométriques'!$B$6)</f>
        <v>0.93665898134562997</v>
      </c>
      <c r="G38">
        <f>F38^2/(PI()*'Données géométriques'!$B$6)</f>
        <v>6.8550297191072238E-2</v>
      </c>
      <c r="H38">
        <f t="shared" si="1"/>
        <v>0.12220029719107224</v>
      </c>
      <c r="I38">
        <f t="shared" si="2"/>
        <v>0.23120141231629812</v>
      </c>
      <c r="J38">
        <f>XCP_3D('Données géométriques'!$B$9,'Données géométriques'!$B$10,'Données géométriques'!$B$11,'Données géométriques'!$B$12,I38)</f>
        <v>-3.6321741874898783E-2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1.3687</v>
      </c>
      <c r="D39">
        <v>6.4930000000000002E-2</v>
      </c>
      <c r="E39">
        <v>1.9699999999999999E-2</v>
      </c>
      <c r="F39">
        <f>C39/(1+2/'Données géométriques'!$B$6)</f>
        <v>0.91801299517920787</v>
      </c>
      <c r="G39">
        <f>F39^2/(PI()*'Données géométriques'!$B$6)</f>
        <v>6.5848213438989098E-2</v>
      </c>
      <c r="H39">
        <f t="shared" si="1"/>
        <v>0.1307782134389891</v>
      </c>
      <c r="I39">
        <f t="shared" si="2"/>
        <v>0.23513069759854305</v>
      </c>
      <c r="J39">
        <f>XCP_3D('Données géométriques'!$B$9,'Données géométriques'!$B$10,'Données géométriques'!$B$11,'Données géométriques'!$B$12,I39)</f>
        <v>-3.6939032592734879E-2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1.3218000000000001</v>
      </c>
      <c r="D40">
        <v>7.9759999999999998E-2</v>
      </c>
      <c r="E40">
        <v>1.21E-2</v>
      </c>
      <c r="F40">
        <f>C40/(1+2/'Données géométriques'!$B$6)</f>
        <v>0.88655627750995614</v>
      </c>
      <c r="G40">
        <f>F40^2/(PI()*'Données géométriques'!$B$6)</f>
        <v>6.1412808242251149E-2</v>
      </c>
      <c r="H40">
        <f t="shared" si="1"/>
        <v>0.14117280824225115</v>
      </c>
      <c r="I40">
        <f t="shared" si="2"/>
        <v>0.24055980878996081</v>
      </c>
      <c r="J40">
        <f>XCP_3D('Données géométriques'!$B$9,'Données géométriques'!$B$10,'Données géométriques'!$B$11,'Données géométriques'!$B$12,I40)</f>
        <v>-3.7791945960904752E-2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1.2578</v>
      </c>
      <c r="D41">
        <v>9.8199999999999996E-2</v>
      </c>
      <c r="E41">
        <v>2.5999999999999999E-3</v>
      </c>
      <c r="F41">
        <f>C41/(1+2/'Données géométriques'!$B$6)</f>
        <v>0.84363026619157422</v>
      </c>
      <c r="G41">
        <f>F41^2/(PI()*'Données géométriques'!$B$6)</f>
        <v>5.5609711587216927E-2</v>
      </c>
      <c r="H41">
        <f t="shared" si="1"/>
        <v>0.15380971158721693</v>
      </c>
      <c r="I41">
        <f t="shared" si="2"/>
        <v>0.24787574898059953</v>
      </c>
      <c r="J41">
        <f>XCP_3D('Données géométriques'!$B$9,'Données géométriques'!$B$10,'Données géométriques'!$B$11,'Données géométriques'!$B$12,I41)</f>
        <v>-3.8941280164861397E-2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1.1897</v>
      </c>
      <c r="D42">
        <v>0.11831</v>
      </c>
      <c r="E42">
        <v>-7.9000000000000008E-3</v>
      </c>
      <c r="F42">
        <f>C42/(1+2/'Données géométriques'!$B$6)</f>
        <v>0.79795430727310845</v>
      </c>
      <c r="G42">
        <f>F42^2/(PI()*'Données géométriques'!$B$6)</f>
        <v>4.9751065356916778E-2</v>
      </c>
      <c r="H42">
        <f t="shared" si="1"/>
        <v>0.16806106535691678</v>
      </c>
      <c r="I42">
        <f t="shared" si="2"/>
        <v>0.2567904335335236</v>
      </c>
      <c r="J42">
        <f>XCP_3D('Données géométriques'!$B$9,'Données géométriques'!$B$10,'Données géométriques'!$B$11,'Données géométriques'!$B$12,I42)</f>
        <v>-4.0341777108133539E-2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1.1331</v>
      </c>
      <c r="D43">
        <v>0.13730999999999999</v>
      </c>
      <c r="E43">
        <v>-1.8200000000000001E-2</v>
      </c>
      <c r="F43">
        <f>C43/(1+2/'Données géométriques'!$B$6)</f>
        <v>0.75999161601341447</v>
      </c>
      <c r="G43">
        <f>F43^2/(PI()*'Données géométriques'!$B$6)</f>
        <v>4.5129855293318359E-2</v>
      </c>
      <c r="H43">
        <f t="shared" si="1"/>
        <v>0.18243985529331835</v>
      </c>
      <c r="I43">
        <f t="shared" si="2"/>
        <v>0.26633837172315056</v>
      </c>
      <c r="J43">
        <f>XCP_3D('Données géométriques'!$B$9,'Données géométriques'!$B$10,'Données géométriques'!$B$11,'Données géométriques'!$B$12,I43)</f>
        <v>-4.1841758197714546E-2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  <row r="44" spans="1:12" x14ac:dyDescent="0.3">
      <c r="A44">
        <v>20</v>
      </c>
      <c r="B44">
        <f t="shared" si="0"/>
        <v>0.3490658503988659</v>
      </c>
      <c r="C44">
        <v>1.0906</v>
      </c>
      <c r="D44">
        <v>0.15461</v>
      </c>
      <c r="E44">
        <v>-2.8000000000000001E-2</v>
      </c>
      <c r="F44">
        <f>C44/(1+2/'Données géométriques'!$B$6)</f>
        <v>0.73148606162230156</v>
      </c>
      <c r="G44">
        <f>F44^2/(PI()*'Données géométriques'!$B$6)</f>
        <v>4.1807909144015408E-2</v>
      </c>
      <c r="H44">
        <f t="shared" si="1"/>
        <v>0.19641790914401541</v>
      </c>
      <c r="I44">
        <f t="shared" si="2"/>
        <v>0.27598105130359352</v>
      </c>
      <c r="J44">
        <f>XCP_3D('Données géométriques'!$B$9,'Données géométriques'!$B$10,'Données géométriques'!$B$11,'Données géométriques'!$B$12,I44)</f>
        <v>-4.3356623159804347E-2</v>
      </c>
      <c r="K44">
        <f>ZCP_3D('Données géométriques'!$B$9,'Données géométriques'!$B$10,'Données géométriques'!$B$11)</f>
        <v>-0.15998400159986725</v>
      </c>
      <c r="L44">
        <f>'0.1kts'!L44</f>
        <v>-5.5810000000000018E-3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6605-9AD9-4C2B-88FD-3009A593BBA7}">
  <sheetPr codeName="Feuil9"/>
  <dimension ref="A1:L43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4</v>
      </c>
      <c r="C1" s="2">
        <f>A1*'Données géométriques'!B2/'Données géométriques'!F2</f>
        <v>624031.77755710017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7.0000000000000001E-3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7.0000000000000001E-3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3" si="0">A5*PI()/180</f>
        <v>8.7266462599716477E-3</v>
      </c>
      <c r="C5">
        <v>5.4800000000000001E-2</v>
      </c>
      <c r="D5">
        <v>7.0200000000000002E-3</v>
      </c>
      <c r="E5">
        <v>2.9999999999999997E-4</v>
      </c>
      <c r="F5">
        <f>C5/(1+2/'Données géométriques'!$B$6)</f>
        <v>3.6755397191364503E-2</v>
      </c>
      <c r="G5">
        <f>F5^2/(PI()*'Données géométriques'!$B$6)</f>
        <v>1.0555737431998884E-4</v>
      </c>
      <c r="H5">
        <f>D5+G5</f>
        <v>7.1255573743199893E-3</v>
      </c>
      <c r="I5">
        <f>0.25-E5/(C5*COS(B5)+D5*SIN(B5))</f>
        <v>0.24453145244508656</v>
      </c>
      <c r="J5">
        <f>XCP_3D('Données géométriques'!$B$9,'Données géométriques'!$B$10,'Données géométriques'!$B$11,'Données géométriques'!$B$12,I5)</f>
        <v>-3.841589117912448E-2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0.1095</v>
      </c>
      <c r="D6">
        <v>7.0699999999999999E-3</v>
      </c>
      <c r="E6">
        <v>5.0000000000000001E-4</v>
      </c>
      <c r="F6">
        <f>C6/(1+2/'Données géométriques'!$B$6)</f>
        <v>7.3443722490044022E-2</v>
      </c>
      <c r="G6">
        <f>F6^2/(PI()*'Données géométriques'!$B$6)</f>
        <v>4.2145935699832359E-4</v>
      </c>
      <c r="H6">
        <f t="shared" ref="H6:H43" si="1">D6+G6</f>
        <v>7.4914593569983239E-3</v>
      </c>
      <c r="I6">
        <f t="shared" ref="I6:I43" si="2">0.25-E6/(C6*COS(B6)+D6*SIN(B6))</f>
        <v>0.24543823553475058</v>
      </c>
      <c r="J6">
        <f>XCP_3D('Données géométriques'!$B$9,'Données géométriques'!$B$10,'Données géométriques'!$B$11,'Données géométriques'!$B$12,I6)</f>
        <v>-3.8558346802513202E-2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0.16389999999999999</v>
      </c>
      <c r="D7">
        <v>7.1700000000000002E-3</v>
      </c>
      <c r="E7">
        <v>8.9999999999999998E-4</v>
      </c>
      <c r="F7">
        <f>C7/(1+2/'Données géométriques'!$B$6)</f>
        <v>0.10993083211066863</v>
      </c>
      <c r="G7">
        <f>F7^2/(PI()*'Données géométriques'!$B$6)</f>
        <v>9.44246468047867E-4</v>
      </c>
      <c r="H7">
        <f t="shared" si="1"/>
        <v>8.1142464680478664E-3</v>
      </c>
      <c r="I7">
        <f t="shared" si="2"/>
        <v>0.24451324979186312</v>
      </c>
      <c r="J7">
        <f>XCP_3D('Données géométriques'!$B$9,'Données géométriques'!$B$10,'Données géométriques'!$B$11,'Données géométriques'!$B$12,I7)</f>
        <v>-3.8413031542301572E-2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0.21809999999999999</v>
      </c>
      <c r="D8">
        <v>7.3200000000000001E-3</v>
      </c>
      <c r="E8">
        <v>1.1999999999999999E-3</v>
      </c>
      <c r="F8">
        <f>C8/(1+2/'Données géométriques'!$B$6)</f>
        <v>0.14628379794592331</v>
      </c>
      <c r="G8">
        <f>F8^2/(PI()*'Données géométriques'!$B$6)</f>
        <v>1.6720097015947982E-3</v>
      </c>
      <c r="H8">
        <f t="shared" si="1"/>
        <v>8.9920097015947983E-3</v>
      </c>
      <c r="I8">
        <f t="shared" si="2"/>
        <v>0.24450102794249637</v>
      </c>
      <c r="J8">
        <f>XCP_3D('Données géométriques'!$B$9,'Données géométriques'!$B$10,'Données géométriques'!$B$11,'Données géométriques'!$B$12,I8)</f>
        <v>-3.8411111489780755E-2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0.27200000000000002</v>
      </c>
      <c r="D9">
        <v>7.4999999999999997E-3</v>
      </c>
      <c r="E9">
        <v>1.6999999999999999E-3</v>
      </c>
      <c r="F9">
        <f>C9/(1+2/'Données géométriques'!$B$6)</f>
        <v>0.18243554810312307</v>
      </c>
      <c r="G9">
        <f>F9^2/(PI()*'Données géométriques'!$B$6)</f>
        <v>2.6005503695222349E-3</v>
      </c>
      <c r="H9">
        <f t="shared" si="1"/>
        <v>1.0100550369522236E-2</v>
      </c>
      <c r="I9">
        <f t="shared" si="2"/>
        <v>0.24375156811922596</v>
      </c>
      <c r="J9">
        <f>XCP_3D('Données géométriques'!$B$9,'Données géométriques'!$B$10,'Données géométriques'!$B$11,'Données géométriques'!$B$12,I9)</f>
        <v>-3.8293371351536383E-2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0.32529999999999998</v>
      </c>
      <c r="D10">
        <v>7.7299999999999999E-3</v>
      </c>
      <c r="E10">
        <v>2.2000000000000001E-3</v>
      </c>
      <c r="F10">
        <f>C10/(1+2/'Données géométriques'!$B$6)</f>
        <v>0.21818486690421296</v>
      </c>
      <c r="G10">
        <f>F10^2/(PI()*'Données géométriques'!$B$6)</f>
        <v>3.7195944278813806E-3</v>
      </c>
      <c r="H10">
        <f t="shared" si="1"/>
        <v>1.144959442788138E-2</v>
      </c>
      <c r="I10">
        <f t="shared" si="2"/>
        <v>0.2432361541801959</v>
      </c>
      <c r="J10">
        <f>XCP_3D('Données géométriques'!$B$9,'Données géométriques'!$B$10,'Données géométriques'!$B$11,'Données géométriques'!$B$12,I10)</f>
        <v>-3.8212399821722677E-2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0.37840000000000001</v>
      </c>
      <c r="D11">
        <v>8.0199999999999994E-3</v>
      </c>
      <c r="E11">
        <v>2.8999999999999998E-3</v>
      </c>
      <c r="F11">
        <f>C11/(1+2/'Données géométriques'!$B$6)</f>
        <v>0.25380004191993299</v>
      </c>
      <c r="G11">
        <f>F11^2/(PI()*'Données géométriques'!$B$6)</f>
        <v>5.0330322977754352E-3</v>
      </c>
      <c r="H11">
        <f t="shared" si="1"/>
        <v>1.3053032297775435E-2</v>
      </c>
      <c r="I11">
        <f t="shared" si="2"/>
        <v>0.24233177129860092</v>
      </c>
      <c r="J11">
        <f>XCP_3D('Données géométriques'!$B$9,'Données géométriques'!$B$10,'Données géométriques'!$B$11,'Données géométriques'!$B$12,I11)</f>
        <v>-3.807032127101867E-2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0.43099999999999999</v>
      </c>
      <c r="D12">
        <v>8.3300000000000006E-3</v>
      </c>
      <c r="E12">
        <v>3.7000000000000002E-3</v>
      </c>
      <c r="F12">
        <f>C12/(1+2/'Données géométriques'!$B$6)</f>
        <v>0.28907985747222809</v>
      </c>
      <c r="G12">
        <f>F12^2/(PI()*'Données géométriques'!$B$6)</f>
        <v>6.5295312120569301E-3</v>
      </c>
      <c r="H12">
        <f t="shared" si="1"/>
        <v>1.485953121205693E-2</v>
      </c>
      <c r="I12">
        <f t="shared" si="2"/>
        <v>0.24140596501042391</v>
      </c>
      <c r="J12">
        <f>XCP_3D('Données géométriques'!$B$9,'Données géométriques'!$B$10,'Données géométriques'!$B$11,'Données géométriques'!$B$12,I12)</f>
        <v>-3.7924877103146723E-2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0.48330000000000001</v>
      </c>
      <c r="D13">
        <v>8.6999999999999994E-3</v>
      </c>
      <c r="E13">
        <v>4.4999999999999997E-3</v>
      </c>
      <c r="F13">
        <f>C13/(1+2/'Données géométriques'!$B$6)</f>
        <v>0.32415845734646831</v>
      </c>
      <c r="G13">
        <f>F13^2/(PI()*'Données géométriques'!$B$6)</f>
        <v>8.2103382988496631E-3</v>
      </c>
      <c r="H13">
        <f t="shared" si="1"/>
        <v>1.6910338298849664E-2</v>
      </c>
      <c r="I13">
        <f t="shared" si="2"/>
        <v>0.24067343482563661</v>
      </c>
      <c r="J13">
        <f>XCP_3D('Données géométriques'!$B$9,'Données géométriques'!$B$10,'Données géométriques'!$B$11,'Données géométriques'!$B$12,I13)</f>
        <v>-3.7809796611117823E-2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0.53600000000000003</v>
      </c>
      <c r="D14">
        <v>9.1000000000000004E-3</v>
      </c>
      <c r="E14">
        <v>5.3E-3</v>
      </c>
      <c r="F14">
        <f>C14/(1+2/'Données géométriques'!$B$6)</f>
        <v>0.35950534479144841</v>
      </c>
      <c r="G14">
        <f>F14^2/(PI()*'Données géométriques'!$B$6)</f>
        <v>1.0098503986838508E-2</v>
      </c>
      <c r="H14">
        <f t="shared" si="1"/>
        <v>1.9198503986838509E-2</v>
      </c>
      <c r="I14">
        <f t="shared" si="2"/>
        <v>0.24008889096854028</v>
      </c>
      <c r="J14">
        <f>XCP_3D('Données géométriques'!$B$9,'Données géométriques'!$B$10,'Données géométriques'!$B$11,'Données géométriques'!$B$12,I14)</f>
        <v>-3.7717964771161065E-2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0.59040000000000004</v>
      </c>
      <c r="D15">
        <v>9.5499999999999995E-3</v>
      </c>
      <c r="E15">
        <v>5.5999999999999999E-3</v>
      </c>
      <c r="F15">
        <f>C15/(1+2/'Données géométriques'!$B$6)</f>
        <v>0.39599245441207304</v>
      </c>
      <c r="G15">
        <f>F15^2/(PI()*'Données géométriques'!$B$6)</f>
        <v>1.225237158700751E-2</v>
      </c>
      <c r="H15">
        <f t="shared" si="1"/>
        <v>2.180237158700751E-2</v>
      </c>
      <c r="I15">
        <f t="shared" si="2"/>
        <v>0.24048585416971022</v>
      </c>
      <c r="J15">
        <f>XCP_3D('Données géométriques'!$B$9,'Données géométriques'!$B$10,'Données géométriques'!$B$11,'Données géométriques'!$B$12,I15)</f>
        <v>-3.7780327690063953E-2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0.64759999999999995</v>
      </c>
      <c r="D16">
        <v>1.004E-2</v>
      </c>
      <c r="E16">
        <v>5.3E-3</v>
      </c>
      <c r="F16">
        <f>C16/(1+2/'Données géométriques'!$B$6)</f>
        <v>0.43435757702787681</v>
      </c>
      <c r="G16">
        <f>F16^2/(PI()*'Données géométriques'!$B$6)</f>
        <v>1.4741481849323682E-2</v>
      </c>
      <c r="H16">
        <f t="shared" si="1"/>
        <v>2.4781481849323682E-2</v>
      </c>
      <c r="I16">
        <f t="shared" si="2"/>
        <v>0.24178424300079204</v>
      </c>
      <c r="J16">
        <f>XCP_3D('Données géométriques'!$B$9,'Données géométriques'!$B$10,'Données géométriques'!$B$11,'Données géométriques'!$B$12,I16)</f>
        <v>-3.7984304575434231E-2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0.7077</v>
      </c>
      <c r="D17">
        <v>1.057E-2</v>
      </c>
      <c r="E17">
        <v>4.1999999999999997E-3</v>
      </c>
      <c r="F17">
        <f>C17/(1+2/'Données géométriques'!$B$6)</f>
        <v>0.47466778453154479</v>
      </c>
      <c r="G17">
        <f>F17^2/(PI()*'Données géométriques'!$B$6)</f>
        <v>1.7604587487575065E-2</v>
      </c>
      <c r="H17">
        <f t="shared" si="1"/>
        <v>2.8174587487575065E-2</v>
      </c>
      <c r="I17">
        <f t="shared" si="2"/>
        <v>0.24403703309313532</v>
      </c>
      <c r="J17">
        <f>XCP_3D('Données géométriques'!$B$9,'Données géométriques'!$B$10,'Données géométriques'!$B$11,'Données géométriques'!$B$12,I17)</f>
        <v>-3.8338217898946515E-2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0.76870000000000005</v>
      </c>
      <c r="D18">
        <v>1.112E-2</v>
      </c>
      <c r="E18">
        <v>2.8E-3</v>
      </c>
      <c r="F18">
        <f>C18/(1+2/'Données géométriques'!$B$6)</f>
        <v>0.5155816390693776</v>
      </c>
      <c r="G18">
        <f>F18^2/(PI()*'Données géométriques'!$B$6)</f>
        <v>2.0770226091858704E-2</v>
      </c>
      <c r="H18">
        <f t="shared" si="1"/>
        <v>3.1890226091858702E-2</v>
      </c>
      <c r="I18">
        <f t="shared" si="2"/>
        <v>0.2463366388854718</v>
      </c>
      <c r="J18">
        <f>XCP_3D('Données géométriques'!$B$9,'Données géométriques'!$B$10,'Données géométriques'!$B$11,'Données géométriques'!$B$12,I18)</f>
        <v>-3.8699485968918798E-2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0.82979999999999998</v>
      </c>
      <c r="D19">
        <v>1.17E-2</v>
      </c>
      <c r="E19">
        <v>1.4E-3</v>
      </c>
      <c r="F19">
        <f>C19/(1+2/'Données géométriques'!$B$6)</f>
        <v>0.55656256549989525</v>
      </c>
      <c r="G19">
        <f>F19^2/(PI()*'Données géométriques'!$B$6)</f>
        <v>2.4203285451762556E-2</v>
      </c>
      <c r="H19">
        <f t="shared" si="1"/>
        <v>3.5903285451762558E-2</v>
      </c>
      <c r="I19">
        <f t="shared" si="2"/>
        <v>0.24830144107451002</v>
      </c>
      <c r="J19">
        <f>XCP_3D('Données géométriques'!$B$9,'Données géométriques'!$B$10,'Données géométriques'!$B$11,'Données géométriques'!$B$12,I19)</f>
        <v>-3.9008156392820424E-2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8.5</v>
      </c>
      <c r="B20">
        <f t="shared" si="0"/>
        <v>0.14835298641951802</v>
      </c>
      <c r="C20">
        <v>0.94969999999999999</v>
      </c>
      <c r="D20">
        <v>1.294E-2</v>
      </c>
      <c r="E20">
        <v>-1.1999999999999999E-3</v>
      </c>
      <c r="F20">
        <f>C20/(1+2/'Données géométriques'!$B$6)</f>
        <v>0.63698176482917634</v>
      </c>
      <c r="G20">
        <f>F20^2/(PI()*'Données géométriques'!$B$6)</f>
        <v>3.1702998335217378E-2</v>
      </c>
      <c r="H20">
        <f t="shared" si="1"/>
        <v>4.4642998335217378E-2</v>
      </c>
      <c r="I20">
        <f t="shared" si="2"/>
        <v>0.25127499383806218</v>
      </c>
      <c r="J20">
        <f>XCP_3D('Données géométriques'!$B$9,'Données géométriques'!$B$10,'Données géométriques'!$B$11,'Données géométriques'!$B$12,I20)</f>
        <v>-3.9475301531962E-2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9</v>
      </c>
      <c r="B21">
        <f t="shared" si="0"/>
        <v>0.15707963267948966</v>
      </c>
      <c r="C21">
        <v>0.9929</v>
      </c>
      <c r="D21">
        <v>1.358E-2</v>
      </c>
      <c r="E21">
        <v>1E-3</v>
      </c>
      <c r="F21">
        <f>C21/(1+2/'Données géométriques'!$B$6)</f>
        <v>0.66595682246908416</v>
      </c>
      <c r="G21">
        <f>F21^2/(PI()*'Données géométriques'!$B$6)</f>
        <v>3.4652812067732845E-2</v>
      </c>
      <c r="H21">
        <f t="shared" si="1"/>
        <v>4.8232812067732847E-2</v>
      </c>
      <c r="I21">
        <f t="shared" si="2"/>
        <v>0.24898249912062168</v>
      </c>
      <c r="J21">
        <f>XCP_3D('Données géométriques'!$B$9,'Données géométriques'!$B$10,'Données géométriques'!$B$11,'Données géométriques'!$B$12,I21)</f>
        <v>-3.9115150611847428E-2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9.5</v>
      </c>
      <c r="B22">
        <f t="shared" si="0"/>
        <v>0.16580627893946129</v>
      </c>
      <c r="C22">
        <v>1.0367</v>
      </c>
      <c r="D22">
        <v>1.423E-2</v>
      </c>
      <c r="E22">
        <v>3.0999999999999999E-3</v>
      </c>
      <c r="F22">
        <f>C22/(1+2/'Données géométriques'!$B$6)</f>
        <v>0.69533431146510172</v>
      </c>
      <c r="G22">
        <f>F22^2/(PI()*'Données géométriques'!$B$6)</f>
        <v>3.7777538683125708E-2</v>
      </c>
      <c r="H22">
        <f t="shared" si="1"/>
        <v>5.2007538683125708E-2</v>
      </c>
      <c r="I22">
        <f t="shared" si="2"/>
        <v>0.24697511075426939</v>
      </c>
      <c r="J22">
        <f>XCP_3D('Données géométriques'!$B$9,'Données géométriques'!$B$10,'Données géométriques'!$B$11,'Données géométriques'!$B$12,I22)</f>
        <v>-3.8799789899512167E-2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10</v>
      </c>
      <c r="B23">
        <f t="shared" si="0"/>
        <v>0.17453292519943295</v>
      </c>
      <c r="C23">
        <v>1.0809</v>
      </c>
      <c r="D23">
        <v>1.498E-2</v>
      </c>
      <c r="E23">
        <v>5.0000000000000001E-3</v>
      </c>
      <c r="F23">
        <f>C23/(1+2/'Données géométriques'!$B$6)</f>
        <v>0.7249800880318592</v>
      </c>
      <c r="G23">
        <f>F23^2/(PI()*'Données géométriques'!$B$6)</f>
        <v>4.1067521725979737E-2</v>
      </c>
      <c r="H23">
        <f t="shared" si="1"/>
        <v>5.6047521725979738E-2</v>
      </c>
      <c r="I23">
        <f t="shared" si="2"/>
        <v>0.24531431548281177</v>
      </c>
      <c r="J23">
        <f>XCP_3D('Données géométriques'!$B$9,'Données géométriques'!$B$10,'Données géométriques'!$B$11,'Données géométriques'!$B$12,I23)</f>
        <v>-3.8538878962359302E-2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10.5</v>
      </c>
      <c r="B24">
        <f t="shared" si="0"/>
        <v>0.18325957145940461</v>
      </c>
      <c r="C24">
        <v>1.1256999999999999</v>
      </c>
      <c r="D24">
        <v>1.576E-2</v>
      </c>
      <c r="E24">
        <v>6.7000000000000002E-3</v>
      </c>
      <c r="F24">
        <f>C24/(1+2/'Données géométriques'!$B$6)</f>
        <v>0.75502829595472654</v>
      </c>
      <c r="G24">
        <f>F24^2/(PI()*'Données géométriques'!$B$6)</f>
        <v>4.4542315940314887E-2</v>
      </c>
      <c r="H24">
        <f t="shared" si="1"/>
        <v>6.0302315940314891E-2</v>
      </c>
      <c r="I24">
        <f t="shared" si="2"/>
        <v>0.24396245229977653</v>
      </c>
      <c r="J24">
        <f>XCP_3D('Données géométriques'!$B$9,'Données géométriques'!$B$10,'Données géométriques'!$B$11,'Données géométriques'!$B$12,I24)</f>
        <v>-3.8326501256302561E-2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11</v>
      </c>
      <c r="B25">
        <f t="shared" si="0"/>
        <v>0.19198621771937624</v>
      </c>
      <c r="C25">
        <v>1.1692</v>
      </c>
      <c r="D25">
        <v>1.668E-2</v>
      </c>
      <c r="E25">
        <v>8.3999999999999995E-3</v>
      </c>
      <c r="F25">
        <f>C25/(1+2/'Données géométriques'!$B$6)</f>
        <v>0.78420456927268922</v>
      </c>
      <c r="G25">
        <f>F25^2/(PI()*'Données géométriques'!$B$6)</f>
        <v>4.8051292642996832E-2</v>
      </c>
      <c r="H25">
        <f t="shared" si="1"/>
        <v>6.4731292642996832E-2</v>
      </c>
      <c r="I25">
        <f t="shared" si="2"/>
        <v>0.24270137174033046</v>
      </c>
      <c r="J25">
        <f>XCP_3D('Données géométriques'!$B$9,'Données géométriques'!$B$10,'Données géométriques'!$B$11,'Données géométriques'!$B$12,I25)</f>
        <v>-3.8128385500409798E-2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11.5</v>
      </c>
      <c r="B26">
        <f t="shared" si="0"/>
        <v>0.20071286397934787</v>
      </c>
      <c r="C26">
        <v>1.2125999999999999</v>
      </c>
      <c r="D26">
        <v>1.7579999999999998E-2</v>
      </c>
      <c r="E26">
        <v>0.01</v>
      </c>
      <c r="F26">
        <f>C26/(1+2/'Données géométriques'!$B$6)</f>
        <v>0.81331377069796695</v>
      </c>
      <c r="G26">
        <f>F26^2/(PI()*'Données géométriques'!$B$6)</f>
        <v>5.1684770202517237E-2</v>
      </c>
      <c r="H26">
        <f t="shared" si="1"/>
        <v>6.9264770202517228E-2</v>
      </c>
      <c r="I26">
        <f t="shared" si="2"/>
        <v>0.24160905996221155</v>
      </c>
      <c r="J26">
        <f>XCP_3D('Données géométriques'!$B$9,'Données géométriques'!$B$10,'Données géométriques'!$B$11,'Données géométriques'!$B$12,I26)</f>
        <v>-3.7956783320075987E-2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12</v>
      </c>
      <c r="B27">
        <f t="shared" si="0"/>
        <v>0.20943951023931953</v>
      </c>
      <c r="C27">
        <v>1.2543</v>
      </c>
      <c r="D27">
        <v>1.8589999999999999E-2</v>
      </c>
      <c r="E27">
        <v>1.18E-2</v>
      </c>
      <c r="F27">
        <f>C27/(1+2/'Données géométriques'!$B$6)</f>
        <v>0.84128274994760022</v>
      </c>
      <c r="G27">
        <f>F27^2/(PI()*'Données géométriques'!$B$6)</f>
        <v>5.5300658967171124E-2</v>
      </c>
      <c r="H27">
        <f t="shared" si="1"/>
        <v>7.3890658967171119E-2</v>
      </c>
      <c r="I27">
        <f t="shared" si="2"/>
        <v>0.24041239392579761</v>
      </c>
      <c r="J27">
        <f>XCP_3D('Données géométriques'!$B$9,'Données géométriques'!$B$10,'Données géométriques'!$B$11,'Données géométriques'!$B$12,I27)</f>
        <v>-3.7768787085743646E-2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12.5</v>
      </c>
      <c r="B28">
        <f t="shared" si="0"/>
        <v>0.21816615649929119</v>
      </c>
      <c r="C28">
        <v>1.2928999999999999</v>
      </c>
      <c r="D28">
        <v>1.9769999999999999E-2</v>
      </c>
      <c r="E28">
        <v>1.3899999999999999E-2</v>
      </c>
      <c r="F28">
        <f>C28/(1+2/'Données géométriques'!$B$6)</f>
        <v>0.86717250052399919</v>
      </c>
      <c r="G28">
        <f>F28^2/(PI()*'Données géométriques'!$B$6)</f>
        <v>5.875669142538012E-2</v>
      </c>
      <c r="H28">
        <f t="shared" si="1"/>
        <v>7.8526691425380116E-2</v>
      </c>
      <c r="I28">
        <f t="shared" si="2"/>
        <v>0.23902515001872432</v>
      </c>
      <c r="J28">
        <f>XCP_3D('Données géométriques'!$B$9,'Données géométriques'!$B$10,'Données géométriques'!$B$11,'Données géométriques'!$B$12,I28)</f>
        <v>-3.7550851067951647E-2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13</v>
      </c>
      <c r="B29">
        <f t="shared" si="0"/>
        <v>0.22689280275926285</v>
      </c>
      <c r="C29">
        <v>1.3293999999999999</v>
      </c>
      <c r="D29">
        <v>2.0979999999999999E-2</v>
      </c>
      <c r="E29">
        <v>1.6299999999999999E-2</v>
      </c>
      <c r="F29">
        <f>C29/(1+2/'Données géométriques'!$B$6)</f>
        <v>0.89165374135401387</v>
      </c>
      <c r="G29">
        <f>F29^2/(PI()*'Données géométriques'!$B$6)</f>
        <v>6.2121053287957612E-2</v>
      </c>
      <c r="H29">
        <f t="shared" si="1"/>
        <v>8.310105328795761E-2</v>
      </c>
      <c r="I29">
        <f t="shared" si="2"/>
        <v>0.23746199211796648</v>
      </c>
      <c r="J29">
        <f>XCP_3D('Données géométriques'!$B$9,'Données géométriques'!$B$10,'Données géométriques'!$B$11,'Données géométriques'!$B$12,I29)</f>
        <v>-3.7305278961739116E-2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13.5</v>
      </c>
      <c r="B30">
        <f t="shared" si="0"/>
        <v>0.23561944901923448</v>
      </c>
      <c r="C30">
        <v>1.3608</v>
      </c>
      <c r="D30">
        <v>2.2290000000000001E-2</v>
      </c>
      <c r="E30">
        <v>1.9300000000000001E-2</v>
      </c>
      <c r="F30">
        <f>C30/(1+2/'Données géométriques'!$B$6)</f>
        <v>0.91271431565709504</v>
      </c>
      <c r="G30">
        <f>F30^2/(PI()*'Données géométriques'!$B$6)</f>
        <v>6.509026850974052E-2</v>
      </c>
      <c r="H30">
        <f t="shared" si="1"/>
        <v>8.7380268509740525E-2</v>
      </c>
      <c r="I30">
        <f t="shared" si="2"/>
        <v>0.23547129265198105</v>
      </c>
      <c r="J30">
        <f>XCP_3D('Données géométriques'!$B$9,'Données géométriques'!$B$10,'Données géométriques'!$B$11,'Données géométriques'!$B$12,I30)</f>
        <v>-3.6992540075638028E-2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14</v>
      </c>
      <c r="B31">
        <f t="shared" si="0"/>
        <v>0.24434609527920614</v>
      </c>
      <c r="C31">
        <v>1.3852</v>
      </c>
      <c r="D31">
        <v>2.383E-2</v>
      </c>
      <c r="E31">
        <v>2.29E-2</v>
      </c>
      <c r="F31">
        <f>C31/(1+2/'Données géométriques'!$B$6)</f>
        <v>0.92907985747222821</v>
      </c>
      <c r="G31">
        <f>F31^2/(PI()*'Données géométriques'!$B$6)</f>
        <v>6.7445414434249562E-2</v>
      </c>
      <c r="H31">
        <f t="shared" si="1"/>
        <v>9.1275414434249566E-2</v>
      </c>
      <c r="I31">
        <f t="shared" si="2"/>
        <v>0.23303475789888739</v>
      </c>
      <c r="J31">
        <f>XCP_3D('Données géométriques'!$B$9,'Données géométriques'!$B$10,'Données géométriques'!$B$11,'Données géométriques'!$B$12,I31)</f>
        <v>-3.6609760465920078E-2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14.5</v>
      </c>
      <c r="B32">
        <f t="shared" si="0"/>
        <v>0.2530727415391778</v>
      </c>
      <c r="C32">
        <v>1.4059999999999999</v>
      </c>
      <c r="D32">
        <v>2.5749999999999999E-2</v>
      </c>
      <c r="E32">
        <v>2.63E-2</v>
      </c>
      <c r="F32">
        <f>C32/(1+2/'Données géométriques'!$B$6)</f>
        <v>0.9430308111507022</v>
      </c>
      <c r="G32">
        <f>F32^2/(PI()*'Données géométriques'!$B$6)</f>
        <v>6.948612659878968E-2</v>
      </c>
      <c r="H32">
        <f t="shared" si="1"/>
        <v>9.5236126598789675E-2</v>
      </c>
      <c r="I32">
        <f t="shared" si="2"/>
        <v>0.23077011475164502</v>
      </c>
      <c r="J32">
        <f>XCP_3D('Données géométriques'!$B$9,'Données géométriques'!$B$10,'Données géométriques'!$B$11,'Données géométriques'!$B$12,I32)</f>
        <v>-3.6253985027489846E-2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15</v>
      </c>
      <c r="B33">
        <f t="shared" si="0"/>
        <v>0.26179938779914941</v>
      </c>
      <c r="C33">
        <v>1.4216</v>
      </c>
      <c r="D33">
        <v>2.828E-2</v>
      </c>
      <c r="E33">
        <v>2.9100000000000001E-2</v>
      </c>
      <c r="F33">
        <f>C33/(1+2/'Données géométriques'!$B$6)</f>
        <v>0.95349402640955783</v>
      </c>
      <c r="G33">
        <f>F33^2/(PI()*'Données géométriques'!$B$6)</f>
        <v>7.1036620396203079E-2</v>
      </c>
      <c r="H33">
        <f t="shared" si="1"/>
        <v>9.9316620396203079E-2</v>
      </c>
      <c r="I33">
        <f t="shared" si="2"/>
        <v>0.22892036876083097</v>
      </c>
      <c r="J33">
        <f>XCP_3D('Données géométriques'!$B$9,'Données géométriques'!$B$10,'Données géométriques'!$B$11,'Données géométriques'!$B$12,I33)</f>
        <v>-3.5963389932340613E-2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15.5</v>
      </c>
      <c r="B34">
        <f t="shared" si="0"/>
        <v>0.27052603405912107</v>
      </c>
      <c r="C34">
        <v>1.4333</v>
      </c>
      <c r="D34">
        <v>3.1480000000000001E-2</v>
      </c>
      <c r="E34">
        <v>3.09E-2</v>
      </c>
      <c r="F34">
        <f>C34/(1+2/'Données géométriques'!$B$6)</f>
        <v>0.96134143785369952</v>
      </c>
      <c r="G34">
        <f>F34^2/(PI()*'Données géométriques'!$B$6)</f>
        <v>7.2210718060892784E-2</v>
      </c>
      <c r="H34">
        <f t="shared" si="1"/>
        <v>0.10369071806089278</v>
      </c>
      <c r="I34">
        <f t="shared" si="2"/>
        <v>0.22776313219223782</v>
      </c>
      <c r="J34">
        <f>XCP_3D('Données géométriques'!$B$9,'Données géométriques'!$B$10,'Données géométriques'!$B$11,'Données géométriques'!$B$12,I34)</f>
        <v>-3.5781588067411628E-2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16</v>
      </c>
      <c r="B35">
        <f t="shared" si="0"/>
        <v>0.27925268031909273</v>
      </c>
      <c r="C35">
        <v>1.4417</v>
      </c>
      <c r="D35">
        <v>3.5499999999999997E-2</v>
      </c>
      <c r="E35">
        <v>3.15E-2</v>
      </c>
      <c r="F35">
        <f>C35/(1+2/'Données géométriques'!$B$6)</f>
        <v>0.96697547683923712</v>
      </c>
      <c r="G35">
        <f>F35^2/(PI()*'Données géométriques'!$B$6)</f>
        <v>7.3059594729144875E-2</v>
      </c>
      <c r="H35">
        <f t="shared" si="1"/>
        <v>0.10855959472914486</v>
      </c>
      <c r="I35">
        <f t="shared" si="2"/>
        <v>0.22742964680919064</v>
      </c>
      <c r="J35">
        <f>XCP_3D('Données géométriques'!$B$9,'Données géométriques'!$B$10,'Données géométriques'!$B$11,'Données géométriques'!$B$12,I35)</f>
        <v>-3.5729197513727273E-2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16.5</v>
      </c>
      <c r="B36">
        <f t="shared" si="0"/>
        <v>0.28797932657906439</v>
      </c>
      <c r="C36">
        <v>1.4441999999999999</v>
      </c>
      <c r="D36">
        <v>4.0779999999999997E-2</v>
      </c>
      <c r="E36">
        <v>3.0700000000000002E-2</v>
      </c>
      <c r="F36">
        <f>C36/(1+2/'Données géométriques'!$B$6)</f>
        <v>0.96865227415636146</v>
      </c>
      <c r="G36">
        <f>F36^2/(PI()*'Données géométriques'!$B$6)</f>
        <v>7.3313194436899404E-2</v>
      </c>
      <c r="H36">
        <f t="shared" si="1"/>
        <v>0.1140931944368994</v>
      </c>
      <c r="I36">
        <f t="shared" si="2"/>
        <v>0.22801347219176063</v>
      </c>
      <c r="J36">
        <f>XCP_3D('Données géométriques'!$B$9,'Données géométriques'!$B$10,'Données géométriques'!$B$11,'Données géométriques'!$B$12,I36)</f>
        <v>-3.5820916481333689E-2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17</v>
      </c>
      <c r="B37">
        <f t="shared" si="0"/>
        <v>0.29670597283903605</v>
      </c>
      <c r="C37">
        <v>1.4375</v>
      </c>
      <c r="D37">
        <v>4.7899999999999998E-2</v>
      </c>
      <c r="E37">
        <v>2.81E-2</v>
      </c>
      <c r="F37">
        <f>C37/(1+2/'Données géométriques'!$B$6)</f>
        <v>0.96415845734646832</v>
      </c>
      <c r="G37">
        <f>F37^2/(PI()*'Données géométriques'!$B$6)</f>
        <v>7.2634536345974193E-2</v>
      </c>
      <c r="H37">
        <f t="shared" si="1"/>
        <v>0.12053453634597419</v>
      </c>
      <c r="I37">
        <f t="shared" si="2"/>
        <v>0.22976514157886108</v>
      </c>
      <c r="J37">
        <f>XCP_3D('Données géométriques'!$B$9,'Données géométriques'!$B$10,'Données géométriques'!$B$11,'Données géométriques'!$B$12,I37)</f>
        <v>-3.6096103742049843E-2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17.5</v>
      </c>
      <c r="B38">
        <f t="shared" si="0"/>
        <v>0.30543261909900765</v>
      </c>
      <c r="C38">
        <v>1.4186000000000001</v>
      </c>
      <c r="D38">
        <v>5.74E-2</v>
      </c>
      <c r="E38">
        <v>2.3599999999999999E-2</v>
      </c>
      <c r="F38">
        <f>C38/(1+2/'Données géométriques'!$B$6)</f>
        <v>0.95148186962900883</v>
      </c>
      <c r="G38">
        <f>F38^2/(PI()*'Données géométriques'!$B$6)</f>
        <v>7.0737119835560927E-2</v>
      </c>
      <c r="H38">
        <f t="shared" si="1"/>
        <v>0.12813711983556092</v>
      </c>
      <c r="I38">
        <f t="shared" si="2"/>
        <v>0.23277627952327545</v>
      </c>
      <c r="J38">
        <f>XCP_3D('Données géométriques'!$B$9,'Données géométriques'!$B$10,'Données géométriques'!$B$11,'Données géométriques'!$B$12,I38)</f>
        <v>-3.6569153513115259E-2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18</v>
      </c>
      <c r="B39">
        <f t="shared" si="0"/>
        <v>0.31415926535897931</v>
      </c>
      <c r="C39">
        <v>1.3818999999999999</v>
      </c>
      <c r="D39">
        <v>7.0139999999999994E-2</v>
      </c>
      <c r="E39">
        <v>1.72E-2</v>
      </c>
      <c r="F39">
        <f>C39/(1+2/'Données géométriques'!$B$6)</f>
        <v>0.92686648501362401</v>
      </c>
      <c r="G39">
        <f>F39^2/(PI()*'Données géométriques'!$B$6)</f>
        <v>6.7124443093679056E-2</v>
      </c>
      <c r="H39">
        <f t="shared" si="1"/>
        <v>0.13726444309367905</v>
      </c>
      <c r="I39">
        <f t="shared" si="2"/>
        <v>0.23712516500943698</v>
      </c>
      <c r="J39">
        <f>XCP_3D('Données géométriques'!$B$9,'Données géométriques'!$B$10,'Données géométriques'!$B$11,'Données géométriques'!$B$12,I39)</f>
        <v>-3.7252363422986483E-2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18.5</v>
      </c>
      <c r="B40">
        <f t="shared" si="0"/>
        <v>0.32288591161895097</v>
      </c>
      <c r="C40">
        <v>1.3245</v>
      </c>
      <c r="D40">
        <v>8.6889999999999995E-2</v>
      </c>
      <c r="E40">
        <v>8.5000000000000006E-3</v>
      </c>
      <c r="F40">
        <f>C40/(1+2/'Données géométriques'!$B$6)</f>
        <v>0.88836721861245038</v>
      </c>
      <c r="G40">
        <f>F40^2/(PI()*'Données géométriques'!$B$6)</f>
        <v>6.1663956576968666E-2</v>
      </c>
      <c r="H40">
        <f t="shared" si="1"/>
        <v>0.14855395657696865</v>
      </c>
      <c r="I40">
        <f t="shared" si="2"/>
        <v>0.24337812980693793</v>
      </c>
      <c r="J40">
        <f>XCP_3D('Données géométriques'!$B$9,'Données géométriques'!$B$10,'Données géométriques'!$B$11,'Données géométriques'!$B$12,I40)</f>
        <v>-3.8234704192676452E-2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19</v>
      </c>
      <c r="B41">
        <f t="shared" si="0"/>
        <v>0.33161255787892258</v>
      </c>
      <c r="C41">
        <v>1.2505999999999999</v>
      </c>
      <c r="D41">
        <v>0.10730000000000001</v>
      </c>
      <c r="E41">
        <v>-2E-3</v>
      </c>
      <c r="F41">
        <f>C41/(1+2/'Données géométriques'!$B$6)</f>
        <v>0.83880108991825619</v>
      </c>
      <c r="G41">
        <f>F41^2/(PI()*'Données géométriques'!$B$6)</f>
        <v>5.4974882598006432E-2</v>
      </c>
      <c r="H41">
        <f t="shared" si="1"/>
        <v>0.16227488259800643</v>
      </c>
      <c r="I41">
        <f t="shared" si="2"/>
        <v>0.25164284676633136</v>
      </c>
      <c r="J41">
        <f>XCP_3D('Données géométriques'!$B$9,'Données géométriques'!$B$10,'Données géométriques'!$B$11,'Données géométriques'!$B$12,I41)</f>
        <v>-3.953309122699071E-2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19.5</v>
      </c>
      <c r="B42">
        <f t="shared" si="0"/>
        <v>0.34033920413889424</v>
      </c>
      <c r="C42">
        <v>1.1778999999999999</v>
      </c>
      <c r="D42">
        <v>0.12867000000000001</v>
      </c>
      <c r="E42">
        <v>-1.34E-2</v>
      </c>
      <c r="F42">
        <f>C42/(1+2/'Données géométriques'!$B$6)</f>
        <v>0.7900398239362818</v>
      </c>
      <c r="G42">
        <f>F42^2/(PI()*'Données géométriques'!$B$6)</f>
        <v>4.8769051082917077E-2</v>
      </c>
      <c r="H42">
        <f t="shared" si="1"/>
        <v>0.17743905108291708</v>
      </c>
      <c r="I42">
        <f t="shared" si="2"/>
        <v>0.26161895037379401</v>
      </c>
      <c r="J42">
        <f>XCP_3D('Données géométriques'!$B$9,'Données géométriques'!$B$10,'Données géométriques'!$B$11,'Données géométriques'!$B$12,I42)</f>
        <v>-4.1100337103719388E-2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20</v>
      </c>
      <c r="B43">
        <f t="shared" si="0"/>
        <v>0.3490658503988659</v>
      </c>
      <c r="C43">
        <v>1.1209</v>
      </c>
      <c r="D43">
        <v>0.14829000000000001</v>
      </c>
      <c r="E43">
        <v>-2.4299999999999999E-2</v>
      </c>
      <c r="F43">
        <f>C43/(1+2/'Données géométriques'!$B$6)</f>
        <v>0.75180884510584789</v>
      </c>
      <c r="G43">
        <f>F43^2/(PI()*'Données géométriques'!$B$6)</f>
        <v>4.4163267727068654E-2</v>
      </c>
      <c r="H43">
        <f t="shared" si="1"/>
        <v>0.19245326772706867</v>
      </c>
      <c r="I43">
        <f t="shared" si="2"/>
        <v>0.27201047828724384</v>
      </c>
      <c r="J43">
        <f>XCP_3D('Données géométriques'!$B$9,'Données géométriques'!$B$10,'Données géométriques'!$B$11,'Données géométriques'!$B$12,I43)</f>
        <v>-4.2732846138935493E-2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DCAF6-6475-4836-9731-6837CC2091CB}">
  <sheetPr codeName="Feuil10"/>
  <dimension ref="A1:L44"/>
  <sheetViews>
    <sheetView workbookViewId="0">
      <selection activeCell="A2" sqref="A2:L3"/>
    </sheetView>
  </sheetViews>
  <sheetFormatPr baseColWidth="10" defaultRowHeight="14.4" x14ac:dyDescent="0.3"/>
  <sheetData>
    <row r="1" spans="1:12" x14ac:dyDescent="0.3">
      <c r="A1">
        <v>5</v>
      </c>
      <c r="C1" s="2">
        <f>A1*'Données géométriques'!B2/'Données géométriques'!F2</f>
        <v>780039.72194637533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6.8599999999999998E-3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6.8599999999999998E-3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4" si="0">A5*PI()/180</f>
        <v>8.7266462599716477E-3</v>
      </c>
      <c r="C5">
        <v>5.5199999999999999E-2</v>
      </c>
      <c r="D5">
        <v>6.8700000000000002E-3</v>
      </c>
      <c r="E5">
        <v>2.0000000000000001E-4</v>
      </c>
      <c r="F5">
        <f>C5/(1+2/'Données géométriques'!$B$6)</f>
        <v>3.7023684762104388E-2</v>
      </c>
      <c r="G5">
        <f>F5^2/(PI()*'Données géométriques'!$B$6)</f>
        <v>1.0710398191431973E-4</v>
      </c>
      <c r="H5">
        <f>D5+G5</f>
        <v>6.9771039819143199E-3</v>
      </c>
      <c r="I5">
        <f>0.25-E5/(C5*COS(B5)+D5*SIN(B5))</f>
        <v>0.2463806047107629</v>
      </c>
      <c r="J5">
        <f>XCP_3D('Données géométriques'!$B$9,'Données géométriques'!$B$10,'Données géométriques'!$B$11,'Données géométriques'!$B$12,I5)</f>
        <v>-3.8706393000072177E-2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0.11020000000000001</v>
      </c>
      <c r="D6">
        <v>6.9300000000000004E-3</v>
      </c>
      <c r="E6">
        <v>4.0000000000000002E-4</v>
      </c>
      <c r="F6">
        <f>C6/(1+2/'Données géométriques'!$B$6)</f>
        <v>7.3913225738838836E-2</v>
      </c>
      <c r="G6">
        <f>F6^2/(PI()*'Données géométriques'!$B$6)</f>
        <v>4.2686510204223627E-4</v>
      </c>
      <c r="H6">
        <f t="shared" ref="H6:H44" si="1">D6+G6</f>
        <v>7.3568651020422364E-3</v>
      </c>
      <c r="I6">
        <f t="shared" ref="I6:I44" si="2">0.25-E6/(C6*COS(B6)+D6*SIN(B6))</f>
        <v>0.24637366355257492</v>
      </c>
      <c r="J6">
        <f>XCP_3D('Données géométriques'!$B$9,'Données géométriques'!$B$10,'Données géométriques'!$B$11,'Données géométriques'!$B$12,I6)</f>
        <v>-3.8705302544119677E-2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0.1651</v>
      </c>
      <c r="D7">
        <v>7.0299999999999998E-3</v>
      </c>
      <c r="E7">
        <v>5.9999999999999995E-4</v>
      </c>
      <c r="F7">
        <f>C7/(1+2/'Données géométriques'!$B$6)</f>
        <v>0.11073569482288829</v>
      </c>
      <c r="G7">
        <f>F7^2/(PI()*'Données géométriques'!$B$6)</f>
        <v>9.5812375618972701E-4</v>
      </c>
      <c r="H7">
        <f t="shared" si="1"/>
        <v>7.9881237561897269E-3</v>
      </c>
      <c r="I7">
        <f t="shared" si="2"/>
        <v>0.24636864209807113</v>
      </c>
      <c r="J7">
        <f>XCP_3D('Données géométriques'!$B$9,'Données géométriques'!$B$10,'Données géométriques'!$B$11,'Données géométriques'!$B$12,I7)</f>
        <v>-3.8704513673613862E-2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0.21970000000000001</v>
      </c>
      <c r="D8">
        <v>7.1700000000000002E-3</v>
      </c>
      <c r="E8">
        <v>8.0000000000000004E-4</v>
      </c>
      <c r="F8">
        <f>C8/(1+2/'Données géométriques'!$B$6)</f>
        <v>0.14735694822888284</v>
      </c>
      <c r="G8">
        <f>F8^2/(PI()*'Données géométriques'!$B$6)</f>
        <v>1.6966316944965461E-3</v>
      </c>
      <c r="H8">
        <f t="shared" si="1"/>
        <v>8.8666316944965469E-3</v>
      </c>
      <c r="I8">
        <f t="shared" si="2"/>
        <v>0.24636059902028179</v>
      </c>
      <c r="J8">
        <f>XCP_3D('Données géométriques'!$B$9,'Données géométriques'!$B$10,'Données géométriques'!$B$11,'Données géométriques'!$B$12,I8)</f>
        <v>-3.8703250106095592E-2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0.27389999999999998</v>
      </c>
      <c r="D9">
        <v>7.3499999999999998E-3</v>
      </c>
      <c r="E9">
        <v>1.1999999999999999E-3</v>
      </c>
      <c r="F9">
        <f>C9/(1+2/'Données géométriques'!$B$6)</f>
        <v>0.1837099140641375</v>
      </c>
      <c r="G9">
        <f>F9^2/(PI()*'Données géométriques'!$B$6)</f>
        <v>2.6370084800430515E-3</v>
      </c>
      <c r="H9">
        <f t="shared" si="1"/>
        <v>9.9870084800430508E-3</v>
      </c>
      <c r="I9">
        <f t="shared" si="2"/>
        <v>0.24561979707797865</v>
      </c>
      <c r="J9">
        <f>XCP_3D('Données géométriques'!$B$9,'Données géométriques'!$B$10,'Données géométriques'!$B$11,'Données géométriques'!$B$12,I9)</f>
        <v>-3.8586870120956358E-2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0.32790000000000002</v>
      </c>
      <c r="D10">
        <v>7.5700000000000003E-3</v>
      </c>
      <c r="E10">
        <v>1.6000000000000001E-3</v>
      </c>
      <c r="F10">
        <f>C10/(1+2/'Données géométriques'!$B$6)</f>
        <v>0.21992873611402225</v>
      </c>
      <c r="G10">
        <f>F10^2/(PI()*'Données géométriques'!$B$6)</f>
        <v>3.7792906690087475E-3</v>
      </c>
      <c r="H10">
        <f t="shared" si="1"/>
        <v>1.1349290669008747E-2</v>
      </c>
      <c r="I10">
        <f t="shared" si="2"/>
        <v>0.24511967186277325</v>
      </c>
      <c r="J10">
        <f>XCP_3D('Données géométriques'!$B$9,'Données géométriques'!$B$10,'Données géométriques'!$B$11,'Données géométriques'!$B$12,I10)</f>
        <v>-3.8508300449654233E-2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0.38159999999999999</v>
      </c>
      <c r="D11">
        <v>7.8100000000000001E-3</v>
      </c>
      <c r="E11">
        <v>2E-3</v>
      </c>
      <c r="F11">
        <f>C11/(1+2/'Données géométriques'!$B$6)</f>
        <v>0.25594634248585207</v>
      </c>
      <c r="G11">
        <f>F11^2/(PI()*'Données géométriques'!$B$6)</f>
        <v>5.1185175175348157E-3</v>
      </c>
      <c r="H11">
        <f t="shared" si="1"/>
        <v>1.2928517517534816E-2</v>
      </c>
      <c r="I11">
        <f t="shared" si="2"/>
        <v>0.24475568064122458</v>
      </c>
      <c r="J11">
        <f>XCP_3D('Données géométriques'!$B$9,'Données géométriques'!$B$10,'Données géométriques'!$B$11,'Données géométriques'!$B$12,I11)</f>
        <v>-3.8451117428737101E-2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0.43480000000000002</v>
      </c>
      <c r="D12">
        <v>8.09E-3</v>
      </c>
      <c r="E12">
        <v>2.7000000000000001E-3</v>
      </c>
      <c r="F12">
        <f>C12/(1+2/'Données géométriques'!$B$6)</f>
        <v>0.29162858939425701</v>
      </c>
      <c r="G12">
        <f>F12^2/(PI()*'Données géométriques'!$B$6)</f>
        <v>6.6451766859126678E-3</v>
      </c>
      <c r="H12">
        <f t="shared" si="1"/>
        <v>1.4735176685912668E-2</v>
      </c>
      <c r="I12">
        <f t="shared" si="2"/>
        <v>0.24378317337435487</v>
      </c>
      <c r="J12">
        <f>XCP_3D('Données géométriques'!$B$9,'Données géométriques'!$B$10,'Données géométriques'!$B$11,'Données géométriques'!$B$12,I12)</f>
        <v>-3.8298336537111462E-2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0.48770000000000002</v>
      </c>
      <c r="D13">
        <v>8.3899999999999999E-3</v>
      </c>
      <c r="E13">
        <v>3.3999999999999998E-3</v>
      </c>
      <c r="F13">
        <f>C13/(1+2/'Données géométriques'!$B$6)</f>
        <v>0.32710962062460708</v>
      </c>
      <c r="G13">
        <f>F13^2/(PI()*'Données géométriques'!$B$6)</f>
        <v>8.3605138962591953E-3</v>
      </c>
      <c r="H13">
        <f t="shared" si="1"/>
        <v>1.6750513896259193E-2</v>
      </c>
      <c r="I13">
        <f t="shared" si="2"/>
        <v>0.24301639911409703</v>
      </c>
      <c r="J13">
        <f>XCP_3D('Données géométriques'!$B$9,'Données géométriques'!$B$10,'Données géométriques'!$B$11,'Données géométriques'!$B$12,I13)</f>
        <v>-3.8177876300827522E-2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0.5403</v>
      </c>
      <c r="D14">
        <v>8.7299999999999999E-3</v>
      </c>
      <c r="E14">
        <v>4.1999999999999997E-3</v>
      </c>
      <c r="F14">
        <f>C14/(1+2/'Données géométriques'!$B$6)</f>
        <v>0.36238943617690217</v>
      </c>
      <c r="G14">
        <f>F14^2/(PI()*'Données géométriques'!$B$6)</f>
        <v>1.0261182149139573E-2</v>
      </c>
      <c r="H14">
        <f t="shared" si="1"/>
        <v>1.8991182149139571E-2</v>
      </c>
      <c r="I14">
        <f t="shared" si="2"/>
        <v>0.24220786253961274</v>
      </c>
      <c r="J14">
        <f>XCP_3D('Données géométriques'!$B$9,'Données géométriques'!$B$10,'Données géométriques'!$B$11,'Données géométriques'!$B$12,I14)</f>
        <v>-3.8050855204972915E-2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5.5</v>
      </c>
      <c r="B15">
        <f t="shared" si="0"/>
        <v>9.599310885968812E-2</v>
      </c>
      <c r="C15">
        <v>0.5927</v>
      </c>
      <c r="D15">
        <v>9.11E-3</v>
      </c>
      <c r="E15">
        <v>5.0000000000000001E-3</v>
      </c>
      <c r="F15">
        <f>C15/(1+2/'Données géométriques'!$B$6)</f>
        <v>0.39753510794382735</v>
      </c>
      <c r="G15">
        <f>F15^2/(PI()*'Données géométriques'!$B$6)</f>
        <v>1.2348019776170276E-2</v>
      </c>
      <c r="H15">
        <f t="shared" si="1"/>
        <v>2.1458019776170276E-2</v>
      </c>
      <c r="I15">
        <f t="shared" si="2"/>
        <v>0.24153753626225147</v>
      </c>
      <c r="J15">
        <f>XCP_3D('Données géométriques'!$B$9,'Données géométriques'!$B$10,'Données géométriques'!$B$11,'Données géométriques'!$B$12,I15)</f>
        <v>-3.7945546946799941E-2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</v>
      </c>
      <c r="B16">
        <f t="shared" si="0"/>
        <v>0.10471975511965977</v>
      </c>
      <c r="C16">
        <v>0.64649999999999996</v>
      </c>
      <c r="D16">
        <v>9.5300000000000003E-3</v>
      </c>
      <c r="E16">
        <v>5.4999999999999997E-3</v>
      </c>
      <c r="F16">
        <f>C16/(1+2/'Données géométriques'!$B$6)</f>
        <v>0.43361978620834207</v>
      </c>
      <c r="G16">
        <f>F16^2/(PI()*'Données géométriques'!$B$6)</f>
        <v>1.4691445227128088E-2</v>
      </c>
      <c r="H16">
        <f t="shared" si="1"/>
        <v>2.4221445227128088E-2</v>
      </c>
      <c r="I16">
        <f t="shared" si="2"/>
        <v>0.24145902470782332</v>
      </c>
      <c r="J16">
        <f>XCP_3D('Données géométriques'!$B$9,'Données géométriques'!$B$10,'Données géométriques'!$B$11,'Données géométriques'!$B$12,I16)</f>
        <v>-3.7933212781609889E-2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6.5</v>
      </c>
      <c r="B17">
        <f t="shared" si="0"/>
        <v>0.11344640137963143</v>
      </c>
      <c r="C17">
        <v>0.70299999999999996</v>
      </c>
      <c r="D17">
        <v>9.9900000000000006E-3</v>
      </c>
      <c r="E17">
        <v>5.1999999999999998E-3</v>
      </c>
      <c r="F17">
        <f>C17/(1+2/'Données géométriques'!$B$6)</f>
        <v>0.4715154055753511</v>
      </c>
      <c r="G17">
        <f>F17^2/(PI()*'Données géométriques'!$B$6)</f>
        <v>1.737153164969742E-2</v>
      </c>
      <c r="H17">
        <f t="shared" si="1"/>
        <v>2.7361531649697422E-2</v>
      </c>
      <c r="I17">
        <f t="shared" si="2"/>
        <v>0.24256730783004202</v>
      </c>
      <c r="J17">
        <f>XCP_3D('Données géométriques'!$B$9,'Données géométriques'!$B$10,'Données géométriques'!$B$11,'Données géométriques'!$B$12,I17)</f>
        <v>-3.8107324060110331E-2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</v>
      </c>
      <c r="B18">
        <f t="shared" si="0"/>
        <v>0.12217304763960307</v>
      </c>
      <c r="C18">
        <v>0.76239999999999997</v>
      </c>
      <c r="D18">
        <v>1.0489999999999999E-2</v>
      </c>
      <c r="E18">
        <v>4.3E-3</v>
      </c>
      <c r="F18">
        <f>C18/(1+2/'Données géométriques'!$B$6)</f>
        <v>0.51135610983022428</v>
      </c>
      <c r="G18">
        <f>F18^2/(PI()*'Données géométriques'!$B$6)</f>
        <v>2.0431169987486321E-2</v>
      </c>
      <c r="H18">
        <f t="shared" si="1"/>
        <v>3.092116998748632E-2</v>
      </c>
      <c r="I18">
        <f t="shared" si="2"/>
        <v>0.24432714381724524</v>
      </c>
      <c r="J18">
        <f>XCP_3D('Données géométriques'!$B$9,'Données géométriques'!$B$10,'Données géométriques'!$B$11,'Données géométriques'!$B$12,I18)</f>
        <v>-3.8383794293704587E-2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7.5</v>
      </c>
      <c r="B19">
        <f t="shared" si="0"/>
        <v>0.1308996938995747</v>
      </c>
      <c r="C19">
        <v>0.82399999999999995</v>
      </c>
      <c r="D19">
        <v>1.103E-2</v>
      </c>
      <c r="E19">
        <v>2.8E-3</v>
      </c>
      <c r="F19">
        <f>C19/(1+2/'Données géométriques'!$B$6)</f>
        <v>0.55267239572416693</v>
      </c>
      <c r="G19">
        <f>F19^2/(PI()*'Données géométriques'!$B$6)</f>
        <v>2.3866123590191513E-2</v>
      </c>
      <c r="H19">
        <f t="shared" si="1"/>
        <v>3.4896123590191515E-2</v>
      </c>
      <c r="I19">
        <f t="shared" si="2"/>
        <v>0.24657864944909291</v>
      </c>
      <c r="J19">
        <f>XCP_3D('Données géométriques'!$B$9,'Données géométriques'!$B$10,'Données géométriques'!$B$11,'Données géométriques'!$B$12,I19)</f>
        <v>-3.8737505828465524E-2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</v>
      </c>
      <c r="B20">
        <f t="shared" si="0"/>
        <v>0.13962634015954636</v>
      </c>
      <c r="C20">
        <v>0.88449999999999995</v>
      </c>
      <c r="D20">
        <v>1.1610000000000001E-2</v>
      </c>
      <c r="E20">
        <v>1.5E-3</v>
      </c>
      <c r="F20">
        <f>C20/(1+2/'Données géométriques'!$B$6)</f>
        <v>0.59325089079857474</v>
      </c>
      <c r="G20">
        <f>F20^2/(PI()*'Données géométriques'!$B$6)</f>
        <v>2.7499394818198762E-2</v>
      </c>
      <c r="H20">
        <f t="shared" si="1"/>
        <v>3.9109394818198764E-2</v>
      </c>
      <c r="I20">
        <f t="shared" si="2"/>
        <v>0.24829061369261515</v>
      </c>
      <c r="J20">
        <f>XCP_3D('Données géométriques'!$B$9,'Données géométriques'!$B$10,'Données géométriques'!$B$11,'Données géométriques'!$B$12,I20)</f>
        <v>-3.9006455411109503E-2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8.5</v>
      </c>
      <c r="B21">
        <f t="shared" si="0"/>
        <v>0.14835298641951802</v>
      </c>
      <c r="C21">
        <v>0.9466</v>
      </c>
      <c r="D21">
        <v>1.225E-2</v>
      </c>
      <c r="E21">
        <v>-2.9999999999999997E-4</v>
      </c>
      <c r="F21">
        <f>C21/(1+2/'Données géométriques'!$B$6)</f>
        <v>0.63490253615594228</v>
      </c>
      <c r="G21">
        <f>F21^2/(PI()*'Données géométriques'!$B$6)</f>
        <v>3.1496366991092338E-2</v>
      </c>
      <c r="H21">
        <f t="shared" si="1"/>
        <v>4.3746366991092342E-2</v>
      </c>
      <c r="I21">
        <f t="shared" si="2"/>
        <v>0.25031982496396099</v>
      </c>
      <c r="J21">
        <f>XCP_3D('Données géométriques'!$B$9,'Données géométriques'!$B$10,'Données géométriques'!$B$11,'Données géométriques'!$B$12,I21)</f>
        <v>-3.9325244501837296E-2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9</v>
      </c>
      <c r="B22">
        <f t="shared" si="0"/>
        <v>0.15707963267948966</v>
      </c>
      <c r="C22">
        <v>0.99990000000000001</v>
      </c>
      <c r="D22">
        <v>1.2840000000000001E-2</v>
      </c>
      <c r="E22">
        <v>-2.0000000000000001E-4</v>
      </c>
      <c r="F22">
        <f>C22/(1+2/'Données géométriques'!$B$6)</f>
        <v>0.67065185495703217</v>
      </c>
      <c r="G22">
        <f>F22^2/(PI()*'Données géométriques'!$B$6)</f>
        <v>3.5143142915411901E-2</v>
      </c>
      <c r="H22">
        <f t="shared" si="1"/>
        <v>4.7983142915411905E-2</v>
      </c>
      <c r="I22">
        <f t="shared" si="2"/>
        <v>0.2502021022289268</v>
      </c>
      <c r="J22">
        <f>XCP_3D('Données géométriques'!$B$9,'Données géométriques'!$B$10,'Données géométriques'!$B$11,'Données géométriques'!$B$12,I22)</f>
        <v>-3.9306750260174335E-2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9.5</v>
      </c>
      <c r="B23">
        <f t="shared" si="0"/>
        <v>0.16580627893946129</v>
      </c>
      <c r="C23">
        <v>1.0434000000000001</v>
      </c>
      <c r="D23">
        <v>1.349E-2</v>
      </c>
      <c r="E23">
        <v>2E-3</v>
      </c>
      <c r="F23">
        <f>C23/(1+2/'Données géométriques'!$B$6)</f>
        <v>0.69982812827499496</v>
      </c>
      <c r="G23">
        <f>F23^2/(PI()*'Données géométriques'!$B$6)</f>
        <v>3.8267415039073084E-2</v>
      </c>
      <c r="H23">
        <f t="shared" si="1"/>
        <v>5.1757415039073086E-2</v>
      </c>
      <c r="I23">
        <f t="shared" si="2"/>
        <v>0.24806073184524693</v>
      </c>
      <c r="J23">
        <f>XCP_3D('Données géométriques'!$B$9,'Données géométriques'!$B$10,'Données géométriques'!$B$11,'Données géométriques'!$B$12,I23)</f>
        <v>-3.8970340972891759E-2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10</v>
      </c>
      <c r="B24">
        <f t="shared" si="0"/>
        <v>0.17453292519943295</v>
      </c>
      <c r="C24">
        <v>1.0881000000000001</v>
      </c>
      <c r="D24">
        <v>1.413E-2</v>
      </c>
      <c r="E24">
        <v>3.8999999999999998E-3</v>
      </c>
      <c r="F24">
        <f>C24/(1+2/'Données géométriques'!$B$6)</f>
        <v>0.72980926430517723</v>
      </c>
      <c r="G24">
        <f>F24^2/(PI()*'Données géométriques'!$B$6)</f>
        <v>4.1616454941414902E-2</v>
      </c>
      <c r="H24">
        <f t="shared" si="1"/>
        <v>5.5746454941414905E-2</v>
      </c>
      <c r="I24">
        <f t="shared" si="2"/>
        <v>0.24636879272808168</v>
      </c>
      <c r="J24">
        <f>XCP_3D('Données géométriques'!$B$9,'Données géométriques'!$B$10,'Données géométriques'!$B$11,'Données géométriques'!$B$12,I24)</f>
        <v>-3.8704537337583875E-2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10.5</v>
      </c>
      <c r="B25">
        <f t="shared" si="0"/>
        <v>0.18325957145940461</v>
      </c>
      <c r="C25">
        <v>1.1328</v>
      </c>
      <c r="D25">
        <v>1.49E-2</v>
      </c>
      <c r="E25">
        <v>5.5999999999999999E-3</v>
      </c>
      <c r="F25">
        <f>C25/(1+2/'Données géométriques'!$B$6)</f>
        <v>0.75979040033535961</v>
      </c>
      <c r="G25">
        <f>F25^2/(PI()*'Données géométriques'!$B$6)</f>
        <v>4.5105961260491129E-2</v>
      </c>
      <c r="H25">
        <f t="shared" si="1"/>
        <v>6.0005961260491125E-2</v>
      </c>
      <c r="I25">
        <f t="shared" si="2"/>
        <v>0.24498453476197013</v>
      </c>
      <c r="J25">
        <f>XCP_3D('Données géométriques'!$B$9,'Données géométriques'!$B$10,'Données géométriques'!$B$11,'Données géométriques'!$B$12,I25)</f>
        <v>-3.8487070411107181E-2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11</v>
      </c>
      <c r="B26">
        <f t="shared" si="0"/>
        <v>0.19198621771937624</v>
      </c>
      <c r="C26">
        <v>1.1780999999999999</v>
      </c>
      <c r="D26">
        <v>1.567E-2</v>
      </c>
      <c r="E26">
        <v>7.1000000000000004E-3</v>
      </c>
      <c r="F26">
        <f>C26/(1+2/'Données géométriques'!$B$6)</f>
        <v>0.79017396772165172</v>
      </c>
      <c r="G26">
        <f>F26^2/(PI()*'Données géométriques'!$B$6)</f>
        <v>4.8785613844245457E-2</v>
      </c>
      <c r="H26">
        <f t="shared" si="1"/>
        <v>6.445561384424546E-2</v>
      </c>
      <c r="I26">
        <f t="shared" si="2"/>
        <v>0.24387638030776654</v>
      </c>
      <c r="J26">
        <f>XCP_3D('Données géométriques'!$B$9,'Données géométriques'!$B$10,'Données géométriques'!$B$11,'Données géométriques'!$B$12,I26)</f>
        <v>-3.8312979346356801E-2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11.5</v>
      </c>
      <c r="B27">
        <f t="shared" si="0"/>
        <v>0.20071286397934787</v>
      </c>
      <c r="C27">
        <v>1.2223999999999999</v>
      </c>
      <c r="D27">
        <v>1.652E-2</v>
      </c>
      <c r="E27">
        <v>8.6999999999999994E-3</v>
      </c>
      <c r="F27">
        <f>C27/(1+2/'Données géométriques'!$B$6)</f>
        <v>0.81988681618109416</v>
      </c>
      <c r="G27">
        <f>F27^2/(PI()*'Données géométriques'!$B$6)</f>
        <v>5.2523558771233575E-2</v>
      </c>
      <c r="H27">
        <f t="shared" si="1"/>
        <v>6.9043558771233582E-2</v>
      </c>
      <c r="I27">
        <f t="shared" si="2"/>
        <v>0.24275696247366968</v>
      </c>
      <c r="J27">
        <f>XCP_3D('Données géométriques'!$B$9,'Données géométriques'!$B$10,'Données géométriques'!$B$11,'Données géométriques'!$B$12,I27)</f>
        <v>-3.8137118804628146E-2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12</v>
      </c>
      <c r="B28">
        <f t="shared" si="0"/>
        <v>0.20943951023931953</v>
      </c>
      <c r="C28">
        <v>1.2645999999999999</v>
      </c>
      <c r="D28">
        <v>1.753E-2</v>
      </c>
      <c r="E28">
        <v>1.04E-2</v>
      </c>
      <c r="F28">
        <f>C28/(1+2/'Données géométriques'!$B$6)</f>
        <v>0.8481911548941522</v>
      </c>
      <c r="G28">
        <f>F28^2/(PI()*'Données géométriques'!$B$6)</f>
        <v>5.6212618595680414E-2</v>
      </c>
      <c r="H28">
        <f t="shared" si="1"/>
        <v>7.3742618595680418E-2</v>
      </c>
      <c r="I28">
        <f t="shared" si="2"/>
        <v>0.24161702810652663</v>
      </c>
      <c r="J28">
        <f>XCP_3D('Données géométriques'!$B$9,'Données géométriques'!$B$10,'Données géométriques'!$B$11,'Données géométriques'!$B$12,I28)</f>
        <v>-3.7958035115551375E-2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12.5</v>
      </c>
      <c r="B29">
        <f t="shared" si="0"/>
        <v>0.21816615649929119</v>
      </c>
      <c r="C29">
        <v>1.3064</v>
      </c>
      <c r="D29">
        <v>1.8489999999999999E-2</v>
      </c>
      <c r="E29">
        <v>1.2200000000000001E-2</v>
      </c>
      <c r="F29">
        <f>C29/(1+2/'Données géométriques'!$B$6)</f>
        <v>0.87622720603647042</v>
      </c>
      <c r="G29">
        <f>F29^2/(PI()*'Données géométriques'!$B$6)</f>
        <v>5.9990130314453965E-2</v>
      </c>
      <c r="H29">
        <f t="shared" si="1"/>
        <v>7.8480130314453972E-2</v>
      </c>
      <c r="I29">
        <f t="shared" si="2"/>
        <v>0.24046454152661853</v>
      </c>
      <c r="J29">
        <f>XCP_3D('Données géométriques'!$B$9,'Données géométriques'!$B$10,'Données géométriques'!$B$11,'Données géométriques'!$B$12,I29)</f>
        <v>-3.7776979473833995E-2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13</v>
      </c>
      <c r="B30">
        <f t="shared" si="0"/>
        <v>0.22689280275926285</v>
      </c>
      <c r="C30">
        <v>1.3455999999999999</v>
      </c>
      <c r="D30">
        <v>1.958E-2</v>
      </c>
      <c r="E30">
        <v>1.4200000000000001E-2</v>
      </c>
      <c r="F30">
        <f>C30/(1+2/'Données géométriques'!$B$6)</f>
        <v>0.90251938796897935</v>
      </c>
      <c r="G30">
        <f>F30^2/(PI()*'Données géométriques'!$B$6)</f>
        <v>6.3644286017510571E-2</v>
      </c>
      <c r="H30">
        <f t="shared" si="1"/>
        <v>8.3224286017510571E-2</v>
      </c>
      <c r="I30">
        <f t="shared" si="2"/>
        <v>0.23920576391594908</v>
      </c>
      <c r="J30">
        <f>XCP_3D('Données géométriques'!$B$9,'Données géométriques'!$B$10,'Données géométriques'!$B$11,'Données géométriques'!$B$12,I30)</f>
        <v>-3.7579225511195961E-2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13.5</v>
      </c>
      <c r="B31">
        <f t="shared" si="0"/>
        <v>0.23561944901923448</v>
      </c>
      <c r="C31">
        <v>1.3812</v>
      </c>
      <c r="D31">
        <v>2.0809999999999999E-2</v>
      </c>
      <c r="E31">
        <v>1.66E-2</v>
      </c>
      <c r="F31">
        <f>C31/(1+2/'Données géométriques'!$B$6)</f>
        <v>0.92639698176482932</v>
      </c>
      <c r="G31">
        <f>F31^2/(PI()*'Données géométriques'!$B$6)</f>
        <v>6.7056456684344373E-2</v>
      </c>
      <c r="H31">
        <f t="shared" si="1"/>
        <v>8.7866456684344368E-2</v>
      </c>
      <c r="I31">
        <f t="shared" si="2"/>
        <v>0.23768450368142163</v>
      </c>
      <c r="J31">
        <f>XCP_3D('Données géométriques'!$B$9,'Données géométriques'!$B$10,'Données géométriques'!$B$11,'Données géométriques'!$B$12,I31)</f>
        <v>-3.7340235528365288E-2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14</v>
      </c>
      <c r="B32">
        <f t="shared" si="0"/>
        <v>0.24434609527920614</v>
      </c>
      <c r="C32">
        <v>1.4086000000000001</v>
      </c>
      <c r="D32">
        <v>2.222E-2</v>
      </c>
      <c r="E32">
        <v>2.0199999999999999E-2</v>
      </c>
      <c r="F32">
        <f>C32/(1+2/'Données géométriques'!$B$6)</f>
        <v>0.9447746803605116</v>
      </c>
      <c r="G32">
        <f>F32^2/(PI()*'Données géométriques'!$B$6)</f>
        <v>6.9743354155858098E-2</v>
      </c>
      <c r="H32">
        <f t="shared" si="1"/>
        <v>9.1963354155858101E-2</v>
      </c>
      <c r="I32">
        <f t="shared" si="2"/>
        <v>0.23527840644595721</v>
      </c>
      <c r="J32">
        <f>XCP_3D('Données géométriques'!$B$9,'Données géométriques'!$B$10,'Données géométriques'!$B$11,'Données géométriques'!$B$12,I32)</f>
        <v>-3.6962237652668643E-2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14.5</v>
      </c>
      <c r="B33">
        <f t="shared" si="0"/>
        <v>0.2530727415391778</v>
      </c>
      <c r="C33">
        <v>1.4319999999999999</v>
      </c>
      <c r="D33">
        <v>2.383E-2</v>
      </c>
      <c r="E33">
        <v>2.3800000000000002E-2</v>
      </c>
      <c r="F33">
        <f>C33/(1+2/'Données géométriques'!$B$6)</f>
        <v>0.96046950324879488</v>
      </c>
      <c r="G33">
        <f>F33^2/(PI()*'Données géométriques'!$B$6)</f>
        <v>7.2079787534482631E-2</v>
      </c>
      <c r="H33">
        <f t="shared" si="1"/>
        <v>9.5909787534482635E-2</v>
      </c>
      <c r="I33">
        <f t="shared" si="2"/>
        <v>0.23290664557908047</v>
      </c>
      <c r="J33">
        <f>XCP_3D('Données géométriques'!$B$9,'Données géométriques'!$B$10,'Données géométriques'!$B$11,'Données géométriques'!$B$12,I33)</f>
        <v>-3.6589634020484242E-2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15</v>
      </c>
      <c r="B34">
        <f t="shared" si="0"/>
        <v>0.26179938779914941</v>
      </c>
      <c r="C34">
        <v>1.4532</v>
      </c>
      <c r="D34">
        <v>2.5739999999999999E-2</v>
      </c>
      <c r="E34">
        <v>2.69E-2</v>
      </c>
      <c r="F34">
        <f>C34/(1+2/'Données géométriques'!$B$6)</f>
        <v>0.97468874449800891</v>
      </c>
      <c r="G34">
        <f>F34^2/(PI()*'Données géométriques'!$B$6)</f>
        <v>7.4229791427679617E-2</v>
      </c>
      <c r="H34">
        <f t="shared" si="1"/>
        <v>9.9969791427679616E-2</v>
      </c>
      <c r="I34">
        <f t="shared" si="2"/>
        <v>0.23092665828360368</v>
      </c>
      <c r="J34">
        <f>XCP_3D('Données géométriques'!$B$9,'Données géométriques'!$B$10,'Données géométriques'!$B$11,'Données géométriques'!$B$12,I34)</f>
        <v>-3.6278578016365581E-2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15.5</v>
      </c>
      <c r="B35">
        <f t="shared" si="0"/>
        <v>0.27052603405912107</v>
      </c>
      <c r="C35">
        <v>1.4708000000000001</v>
      </c>
      <c r="D35">
        <v>2.8150000000000001E-2</v>
      </c>
      <c r="E35">
        <v>2.9399999999999999E-2</v>
      </c>
      <c r="F35">
        <f>C35/(1+2/'Données géométriques'!$B$6)</f>
        <v>0.98649339761056398</v>
      </c>
      <c r="G35">
        <f>F35^2/(PI()*'Données géométriques'!$B$6)</f>
        <v>7.6038703670009061E-2</v>
      </c>
      <c r="H35">
        <f t="shared" si="1"/>
        <v>0.10418870367000907</v>
      </c>
      <c r="I35">
        <f t="shared" si="2"/>
        <v>0.22936596568748596</v>
      </c>
      <c r="J35">
        <f>XCP_3D('Données géométriques'!$B$9,'Données géométriques'!$B$10,'Données géométriques'!$B$11,'Données géométriques'!$B$12,I35)</f>
        <v>-3.6033393209506666E-2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16</v>
      </c>
      <c r="B36">
        <f t="shared" si="0"/>
        <v>0.27925268031909273</v>
      </c>
      <c r="C36">
        <v>1.4837</v>
      </c>
      <c r="D36">
        <v>3.1269999999999999E-2</v>
      </c>
      <c r="E36">
        <v>3.1099999999999999E-2</v>
      </c>
      <c r="F36">
        <f>C36/(1+2/'Données géométriques'!$B$6)</f>
        <v>0.99514567176692537</v>
      </c>
      <c r="G36">
        <f>F36^2/(PI()*'Données géométriques'!$B$6)</f>
        <v>7.7378383955761659E-2</v>
      </c>
      <c r="H36">
        <f t="shared" si="1"/>
        <v>0.10864838395576165</v>
      </c>
      <c r="I36">
        <f t="shared" si="2"/>
        <v>0.22832515713068494</v>
      </c>
      <c r="J36">
        <f>XCP_3D('Données géométriques'!$B$9,'Données géométriques'!$B$10,'Données géométriques'!$B$11,'Données géométriques'!$B$12,I36)</f>
        <v>-3.5869882185239552E-2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16.5</v>
      </c>
      <c r="B37">
        <f t="shared" si="0"/>
        <v>0.28797932657906439</v>
      </c>
      <c r="C37">
        <v>1.4913000000000001</v>
      </c>
      <c r="D37">
        <v>3.5389999999999998E-2</v>
      </c>
      <c r="E37">
        <v>3.1600000000000003E-2</v>
      </c>
      <c r="F37">
        <f>C37/(1+2/'Données géométriques'!$B$6)</f>
        <v>1.0002431356109831</v>
      </c>
      <c r="G37">
        <f>F37^2/(PI()*'Données géométriques'!$B$6)</f>
        <v>7.8173129358212134E-2</v>
      </c>
      <c r="H37">
        <f t="shared" si="1"/>
        <v>0.11356312935821214</v>
      </c>
      <c r="I37">
        <f t="shared" si="2"/>
        <v>0.22805462857175859</v>
      </c>
      <c r="J37">
        <f>XCP_3D('Données géométriques'!$B$9,'Données géométriques'!$B$10,'Données géométriques'!$B$11,'Données géométriques'!$B$12,I37)</f>
        <v>-3.5827382148630856E-2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17</v>
      </c>
      <c r="B38">
        <f t="shared" si="0"/>
        <v>0.29670597283903605</v>
      </c>
      <c r="C38">
        <v>1.4914000000000001</v>
      </c>
      <c r="D38">
        <v>4.0930000000000001E-2</v>
      </c>
      <c r="E38">
        <v>3.0700000000000002E-2</v>
      </c>
      <c r="F38">
        <f>C38/(1+2/'Données géométriques'!$B$6)</f>
        <v>1.0003102075036681</v>
      </c>
      <c r="G38">
        <f>F38^2/(PI()*'Données géométriques'!$B$6)</f>
        <v>7.8183613600193061E-2</v>
      </c>
      <c r="H38">
        <f t="shared" si="1"/>
        <v>0.11911361360019307</v>
      </c>
      <c r="I38">
        <f t="shared" si="2"/>
        <v>0.22865386824982706</v>
      </c>
      <c r="J38">
        <f>XCP_3D('Données géométriques'!$B$9,'Données géométriques'!$B$10,'Données géométriques'!$B$11,'Données géométriques'!$B$12,I38)</f>
        <v>-3.5921522702055578E-2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17.5</v>
      </c>
      <c r="B39">
        <f t="shared" si="0"/>
        <v>0.30543261909900765</v>
      </c>
      <c r="C39">
        <v>1.4811000000000001</v>
      </c>
      <c r="D39">
        <v>4.8489999999999998E-2</v>
      </c>
      <c r="E39">
        <v>2.7900000000000001E-2</v>
      </c>
      <c r="F39">
        <f>C39/(1+2/'Données géométriques'!$B$6)</f>
        <v>0.99340180255711608</v>
      </c>
      <c r="G39">
        <f>F39^2/(PI()*'Données géométriques'!$B$6)</f>
        <v>7.7107429553290099E-2</v>
      </c>
      <c r="H39">
        <f t="shared" si="1"/>
        <v>0.12559742955329009</v>
      </c>
      <c r="I39">
        <f t="shared" si="2"/>
        <v>0.23045029350446372</v>
      </c>
      <c r="J39">
        <f>XCP_3D('Données géométriques'!$B$9,'Données géométriques'!$B$10,'Données géométriques'!$B$11,'Données géométriques'!$B$12,I39)</f>
        <v>-3.6203741109564549E-2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18</v>
      </c>
      <c r="B40">
        <f t="shared" si="0"/>
        <v>0.31415926535897931</v>
      </c>
      <c r="C40">
        <v>1.4562999999999999</v>
      </c>
      <c r="D40">
        <v>5.8799999999999998E-2</v>
      </c>
      <c r="E40">
        <v>2.3E-2</v>
      </c>
      <c r="F40">
        <f>C40/(1+2/'Données géométriques'!$B$6)</f>
        <v>0.97676797317124298</v>
      </c>
      <c r="G40">
        <f>F40^2/(PI()*'Données géométriques'!$B$6)</f>
        <v>7.4546826651922513E-2</v>
      </c>
      <c r="H40">
        <f t="shared" si="1"/>
        <v>0.13334682665192252</v>
      </c>
      <c r="I40">
        <f t="shared" si="2"/>
        <v>0.23360882157884619</v>
      </c>
      <c r="J40">
        <f>XCP_3D('Données géométriques'!$B$9,'Données géométriques'!$B$10,'Données géométriques'!$B$11,'Données géométriques'!$B$12,I40)</f>
        <v>-3.6699945870045048E-2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18.5</v>
      </c>
      <c r="B41">
        <f t="shared" si="0"/>
        <v>0.32288591161895097</v>
      </c>
      <c r="C41">
        <v>1.4127000000000001</v>
      </c>
      <c r="D41">
        <v>7.2590000000000002E-2</v>
      </c>
      <c r="E41">
        <v>1.61E-2</v>
      </c>
      <c r="F41">
        <f>C41/(1+2/'Données géométriques'!$B$6)</f>
        <v>0.94752462796059544</v>
      </c>
      <c r="G41">
        <f>F41^2/(PI()*'Données géométriques'!$B$6)</f>
        <v>7.0149947801861109E-2</v>
      </c>
      <c r="H41">
        <f t="shared" si="1"/>
        <v>0.14273994780186111</v>
      </c>
      <c r="I41">
        <f t="shared" si="2"/>
        <v>0.23818548037959034</v>
      </c>
      <c r="J41">
        <f>XCP_3D('Données géométriques'!$B$9,'Données géométriques'!$B$10,'Données géométriques'!$B$11,'Données géométriques'!$B$12,I41)</f>
        <v>-3.7418938967633202E-2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  <row r="42" spans="1:12" x14ac:dyDescent="0.3">
      <c r="A42">
        <v>19</v>
      </c>
      <c r="B42">
        <f t="shared" si="0"/>
        <v>0.33161255787892258</v>
      </c>
      <c r="C42">
        <v>1.3471</v>
      </c>
      <c r="D42">
        <v>9.0679999999999997E-2</v>
      </c>
      <c r="E42">
        <v>6.7999999999999996E-3</v>
      </c>
      <c r="F42">
        <f>C42/(1+2/'Données géométriques'!$B$6)</f>
        <v>0.9035254663592539</v>
      </c>
      <c r="G42">
        <f>F42^2/(PI()*'Données géométriques'!$B$6)</f>
        <v>6.3786259322144268E-2</v>
      </c>
      <c r="H42">
        <f t="shared" si="1"/>
        <v>0.15446625932214425</v>
      </c>
      <c r="I42">
        <f t="shared" si="2"/>
        <v>0.24478219738375573</v>
      </c>
      <c r="J42">
        <f>XCP_3D('Données géométriques'!$B$9,'Données géométriques'!$B$10,'Données géométriques'!$B$11,'Données géométriques'!$B$12,I42)</f>
        <v>-3.8455283208997083E-2</v>
      </c>
      <c r="K42">
        <f>ZCP_3D('Données géométriques'!$B$9,'Données géométriques'!$B$10,'Données géométriques'!$B$11)</f>
        <v>-0.15998400159986725</v>
      </c>
      <c r="L42">
        <f>'0.1kts'!L42</f>
        <v>-3.9454670999999998E-3</v>
      </c>
    </row>
    <row r="43" spans="1:12" x14ac:dyDescent="0.3">
      <c r="A43">
        <v>19.5</v>
      </c>
      <c r="B43">
        <f t="shared" si="0"/>
        <v>0.34033920413889424</v>
      </c>
      <c r="C43">
        <v>1.2656000000000001</v>
      </c>
      <c r="D43">
        <v>0.11246</v>
      </c>
      <c r="E43">
        <v>-4.4999999999999997E-3</v>
      </c>
      <c r="F43">
        <f>C43/(1+2/'Données géométriques'!$B$6)</f>
        <v>0.84886187382100209</v>
      </c>
      <c r="G43">
        <f>F43^2/(PI()*'Données géométriques'!$B$6)</f>
        <v>5.6301555562388993E-2</v>
      </c>
      <c r="H43">
        <f t="shared" si="1"/>
        <v>0.168761555562389</v>
      </c>
      <c r="I43">
        <f t="shared" si="2"/>
        <v>0.25365691032905147</v>
      </c>
      <c r="J43">
        <f>XCP_3D('Données géométriques'!$B$9,'Données géométriques'!$B$10,'Données géométriques'!$B$11,'Données géométriques'!$B$12,I43)</f>
        <v>-3.9849500612707006E-2</v>
      </c>
      <c r="K43">
        <f>ZCP_3D('Données géométriques'!$B$9,'Données géométriques'!$B$10,'Données géométriques'!$B$11)</f>
        <v>-0.15998400159986725</v>
      </c>
      <c r="L43">
        <f>'0.1kts'!L43</f>
        <v>-4.7419263874999996E-3</v>
      </c>
    </row>
    <row r="44" spans="1:12" x14ac:dyDescent="0.3">
      <c r="A44">
        <v>20</v>
      </c>
      <c r="B44">
        <f t="shared" si="0"/>
        <v>0.3490658503988659</v>
      </c>
      <c r="C44">
        <v>1.1842999999999999</v>
      </c>
      <c r="D44">
        <v>0.1356</v>
      </c>
      <c r="E44">
        <v>-1.7100000000000001E-2</v>
      </c>
      <c r="F44">
        <f>C44/(1+2/'Données géométriques'!$B$6)</f>
        <v>0.79433242506811996</v>
      </c>
      <c r="G44">
        <f>F44^2/(PI()*'Données géométriques'!$B$6)</f>
        <v>4.9300454204273945E-2</v>
      </c>
      <c r="H44">
        <f t="shared" si="1"/>
        <v>0.18490045420427395</v>
      </c>
      <c r="I44">
        <f t="shared" si="2"/>
        <v>0.26475084143809868</v>
      </c>
      <c r="J44">
        <f>XCP_3D('Données géométriques'!$B$9,'Données géométriques'!$B$10,'Données géométriques'!$B$11,'Données géométriques'!$B$12,I44)</f>
        <v>-4.1592357189941968E-2</v>
      </c>
      <c r="K44">
        <f>ZCP_3D('Données géométriques'!$B$9,'Données géométriques'!$B$10,'Données géométriques'!$B$11)</f>
        <v>-0.15998400159986725</v>
      </c>
      <c r="L44">
        <f>'0.1kts'!L44</f>
        <v>-5.5810000000000018E-3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EC015-D3A3-4C76-9B4E-B4AA9508007B}">
  <sheetPr codeName="Feuil11"/>
  <dimension ref="A1:L41"/>
  <sheetViews>
    <sheetView workbookViewId="0">
      <selection activeCell="L11" sqref="L11"/>
    </sheetView>
  </sheetViews>
  <sheetFormatPr baseColWidth="10" defaultRowHeight="14.4" x14ac:dyDescent="0.3"/>
  <sheetData>
    <row r="1" spans="1:12" x14ac:dyDescent="0.3">
      <c r="A1">
        <v>10</v>
      </c>
      <c r="C1" s="2">
        <f>A1*'Données géométriques'!B2/'Données géométriques'!F2</f>
        <v>1560079.4438927507</v>
      </c>
    </row>
    <row r="2" spans="1:1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19</v>
      </c>
      <c r="J2" t="s">
        <v>25</v>
      </c>
      <c r="K2" t="s">
        <v>26</v>
      </c>
      <c r="L2" t="s">
        <v>11</v>
      </c>
    </row>
    <row r="3" spans="1:12" x14ac:dyDescent="0.3">
      <c r="A3" t="s">
        <v>8</v>
      </c>
      <c r="B3" t="s">
        <v>8</v>
      </c>
      <c r="C3" t="s">
        <v>9</v>
      </c>
      <c r="D3" t="s">
        <v>10</v>
      </c>
      <c r="E3" t="s">
        <v>9</v>
      </c>
      <c r="F3" t="s">
        <v>8</v>
      </c>
      <c r="G3" t="s">
        <v>9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</row>
    <row r="4" spans="1:12" x14ac:dyDescent="0.3">
      <c r="A4">
        <v>0</v>
      </c>
      <c r="B4">
        <f>A4*PI()/180</f>
        <v>0</v>
      </c>
      <c r="C4">
        <v>0</v>
      </c>
      <c r="D4">
        <v>6.5300000000000002E-3</v>
      </c>
      <c r="E4">
        <v>0</v>
      </c>
      <c r="F4">
        <f>C4/(1+2/'Données géométriques'!$B$6)</f>
        <v>0</v>
      </c>
      <c r="G4">
        <f>F4^2/(PI()*'Données géométriques'!$B$6)</f>
        <v>0</v>
      </c>
      <c r="H4">
        <f>D4+G4</f>
        <v>6.5300000000000002E-3</v>
      </c>
      <c r="I4">
        <v>0</v>
      </c>
      <c r="J4">
        <f>XCP_3D('Données géométriques'!$B$9,'Données géométriques'!$B$10,'Données géométriques'!$B$11,'Données géométriques'!$B$12,I4)</f>
        <v>0</v>
      </c>
      <c r="K4">
        <f>ZCP_3D('Données géométriques'!$B$9,'Données géométriques'!$B$10,'Données géométriques'!$B$11)</f>
        <v>-0.15998400159986725</v>
      </c>
      <c r="L4">
        <f>'0.1kts'!L4</f>
        <v>5.5383999999999997E-3</v>
      </c>
    </row>
    <row r="5" spans="1:12" x14ac:dyDescent="0.3">
      <c r="A5">
        <v>0.5</v>
      </c>
      <c r="B5">
        <f t="shared" ref="B5:B41" si="0">A5*PI()/180</f>
        <v>8.7266462599716477E-3</v>
      </c>
      <c r="C5">
        <v>5.5800000000000002E-2</v>
      </c>
      <c r="D5">
        <v>6.5500000000000003E-3</v>
      </c>
      <c r="E5">
        <v>0</v>
      </c>
      <c r="F5">
        <f>C5/(1+2/'Données géométriques'!$B$6)</f>
        <v>3.7426116118214219E-2</v>
      </c>
      <c r="G5">
        <f>F5^2/(PI()*'Données géométriques'!$B$6)</f>
        <v>1.0944498340937516E-4</v>
      </c>
      <c r="H5">
        <f>D5+G5</f>
        <v>6.6594449834093752E-3</v>
      </c>
      <c r="I5">
        <f>0.25-E5/(C5*COS(B5)+D5*SIN(B5))</f>
        <v>0.25</v>
      </c>
      <c r="J5">
        <f>XCP_3D('Données géométriques'!$B$9,'Données géométriques'!$B$10,'Données géométriques'!$B$11,'Données géométriques'!$B$12,I5)</f>
        <v>-3.9275000000009289E-2</v>
      </c>
      <c r="K5">
        <f>ZCP_3D('Données géométriques'!$B$9,'Données géométriques'!$B$10,'Données géométriques'!$B$11)</f>
        <v>-0.15998400159986725</v>
      </c>
      <c r="L5">
        <f>'0.1kts'!L5</f>
        <v>5.5516128874999989E-3</v>
      </c>
    </row>
    <row r="6" spans="1:12" x14ac:dyDescent="0.3">
      <c r="A6">
        <v>1</v>
      </c>
      <c r="B6">
        <f t="shared" si="0"/>
        <v>1.7453292519943295E-2</v>
      </c>
      <c r="C6">
        <v>0.1116</v>
      </c>
      <c r="D6">
        <v>6.6100000000000004E-3</v>
      </c>
      <c r="E6">
        <v>0</v>
      </c>
      <c r="F6">
        <f>C6/(1+2/'Données géométriques'!$B$6)</f>
        <v>7.4852232236428437E-2</v>
      </c>
      <c r="G6">
        <f>F6^2/(PI()*'Données géométriques'!$B$6)</f>
        <v>4.3777993363750066E-4</v>
      </c>
      <c r="H6">
        <f t="shared" ref="H6:H41" si="1">D6+G6</f>
        <v>7.0477799336375012E-3</v>
      </c>
      <c r="I6">
        <f t="shared" ref="I6:I41" si="2">0.25-E6/(C6*COS(B6)+D6*SIN(B6))</f>
        <v>0.25</v>
      </c>
      <c r="J6">
        <f>XCP_3D('Données géométriques'!$B$9,'Données géométriques'!$B$10,'Données géométriques'!$B$11,'Données géométriques'!$B$12,I6)</f>
        <v>-3.9275000000009289E-2</v>
      </c>
      <c r="K6">
        <f>ZCP_3D('Données géométriques'!$B$9,'Données géométriques'!$B$10,'Données géométriques'!$B$11)</f>
        <v>-0.15998400159986725</v>
      </c>
      <c r="L6">
        <f>'0.1kts'!L6</f>
        <v>5.5637330999999991E-3</v>
      </c>
    </row>
    <row r="7" spans="1:12" x14ac:dyDescent="0.3">
      <c r="A7">
        <v>1.5</v>
      </c>
      <c r="B7">
        <f t="shared" si="0"/>
        <v>2.6179938779914941E-2</v>
      </c>
      <c r="C7">
        <v>0.1673</v>
      </c>
      <c r="D7">
        <v>6.7000000000000002E-3</v>
      </c>
      <c r="E7">
        <v>1E-4</v>
      </c>
      <c r="F7">
        <f>C7/(1+2/'Données géométriques'!$B$6)</f>
        <v>0.11221127646195768</v>
      </c>
      <c r="G7">
        <f>F7^2/(PI()*'Données géométriques'!$B$6)</f>
        <v>9.8382837440750713E-4</v>
      </c>
      <c r="H7">
        <f t="shared" si="1"/>
        <v>7.6838283744075069E-3</v>
      </c>
      <c r="I7">
        <f t="shared" si="2"/>
        <v>0.24940269286135533</v>
      </c>
      <c r="J7">
        <f>XCP_3D('Données géométriques'!$B$9,'Données géométriques'!$B$10,'Données géométriques'!$B$11,'Données géométriques'!$B$12,I7)</f>
        <v>-3.9181163048518361E-2</v>
      </c>
      <c r="K7">
        <f>ZCP_3D('Données géométriques'!$B$9,'Données géométriques'!$B$10,'Données géométriques'!$B$11)</f>
        <v>-0.15998400159986725</v>
      </c>
      <c r="L7">
        <f>'0.1kts'!L7</f>
        <v>5.5736679624999999E-3</v>
      </c>
    </row>
    <row r="8" spans="1:12" x14ac:dyDescent="0.3">
      <c r="A8">
        <v>2</v>
      </c>
      <c r="B8">
        <f t="shared" si="0"/>
        <v>3.4906585039886591E-2</v>
      </c>
      <c r="C8">
        <v>0.22289999999999999</v>
      </c>
      <c r="D8">
        <v>6.8300000000000001E-3</v>
      </c>
      <c r="E8">
        <v>2.0000000000000001E-4</v>
      </c>
      <c r="F8">
        <f>C8/(1+2/'Données géométriques'!$B$6)</f>
        <v>0.14950324879480195</v>
      </c>
      <c r="G8">
        <f>F8^2/(PI()*'Données géométriques'!$B$6)</f>
        <v>1.7464155869511546E-3</v>
      </c>
      <c r="H8">
        <f t="shared" si="1"/>
        <v>8.5764155869511548E-3</v>
      </c>
      <c r="I8">
        <f t="shared" si="2"/>
        <v>0.24910314938516845</v>
      </c>
      <c r="J8">
        <f>XCP_3D('Données géométriques'!$B$9,'Données géométriques'!$B$10,'Données géométriques'!$B$11,'Données géométriques'!$B$12,I8)</f>
        <v>-3.9134104768408375E-2</v>
      </c>
      <c r="K8">
        <f>ZCP_3D('Données géométriques'!$B$9,'Données géométriques'!$B$10,'Données géométriques'!$B$11)</f>
        <v>-0.15998400159986725</v>
      </c>
      <c r="L8">
        <f>'0.1kts'!L8</f>
        <v>5.5803247999999988E-3</v>
      </c>
    </row>
    <row r="9" spans="1:12" x14ac:dyDescent="0.3">
      <c r="A9">
        <v>2.5</v>
      </c>
      <c r="B9">
        <f t="shared" si="0"/>
        <v>4.3633231299858237E-2</v>
      </c>
      <c r="C9">
        <v>0.27829999999999999</v>
      </c>
      <c r="D9">
        <v>6.9699999999999996E-3</v>
      </c>
      <c r="E9">
        <v>2.0000000000000001E-4</v>
      </c>
      <c r="F9">
        <f>C9/(1+2/'Données géométriques'!$B$6)</f>
        <v>0.18666107734227627</v>
      </c>
      <c r="G9">
        <f>F9^2/(PI()*'Données géométriques'!$B$6)</f>
        <v>2.7224121514020055E-3</v>
      </c>
      <c r="H9">
        <f t="shared" si="1"/>
        <v>9.6924121514020047E-3</v>
      </c>
      <c r="I9">
        <f t="shared" si="2"/>
        <v>0.24928145213486969</v>
      </c>
      <c r="J9">
        <f>XCP_3D('Données géométriques'!$B$9,'Données géométriques'!$B$10,'Données géométriques'!$B$11,'Données géométriques'!$B$12,I9)</f>
        <v>-3.9162116130396642E-2</v>
      </c>
      <c r="K9">
        <f>ZCP_3D('Données géométriques'!$B$9,'Données géométriques'!$B$10,'Données géométriques'!$B$11)</f>
        <v>-0.15998400159986725</v>
      </c>
      <c r="L9">
        <f>'0.1kts'!L9</f>
        <v>5.5826109374999995E-3</v>
      </c>
    </row>
    <row r="10" spans="1:12" x14ac:dyDescent="0.3">
      <c r="A10">
        <v>3</v>
      </c>
      <c r="B10">
        <f t="shared" si="0"/>
        <v>5.2359877559829883E-2</v>
      </c>
      <c r="C10">
        <v>0.33360000000000001</v>
      </c>
      <c r="D10">
        <v>7.1500000000000001E-3</v>
      </c>
      <c r="E10">
        <v>4.0000000000000002E-4</v>
      </c>
      <c r="F10">
        <f>C10/(1+2/'Données géométriques'!$B$6)</f>
        <v>0.22375183399706564</v>
      </c>
      <c r="G10">
        <f>F10^2/(PI()*'Données géométriques'!$B$6)</f>
        <v>3.9118261522997572E-3</v>
      </c>
      <c r="H10">
        <f t="shared" si="1"/>
        <v>1.1061826152299756E-2</v>
      </c>
      <c r="I10">
        <f t="shared" si="2"/>
        <v>0.24880066088939298</v>
      </c>
      <c r="J10">
        <f>XCP_3D('Données géométriques'!$B$9,'Données géométriques'!$B$10,'Données géométriques'!$B$11,'Données géométriques'!$B$12,I10)</f>
        <v>-3.9086583825726093E-2</v>
      </c>
      <c r="K10">
        <f>ZCP_3D('Données géométriques'!$B$9,'Données géométriques'!$B$10,'Données géométriques'!$B$11)</f>
        <v>-0.15998400159986725</v>
      </c>
      <c r="L10">
        <f>'0.1kts'!L10</f>
        <v>5.5794336999999998E-3</v>
      </c>
    </row>
    <row r="11" spans="1:12" x14ac:dyDescent="0.3">
      <c r="A11">
        <v>3.5</v>
      </c>
      <c r="B11">
        <f t="shared" si="0"/>
        <v>6.1086523819801536E-2</v>
      </c>
      <c r="C11">
        <v>0.38879999999999998</v>
      </c>
      <c r="D11">
        <v>7.3299999999999997E-3</v>
      </c>
      <c r="E11">
        <v>5.0000000000000001E-4</v>
      </c>
      <c r="F11">
        <f>C11/(1+2/'Données géométriques'!$B$6)</f>
        <v>0.26077551875916999</v>
      </c>
      <c r="G11">
        <f>F11^2/(PI()*'Données géométriques'!$B$6)</f>
        <v>5.3134913069175921E-3</v>
      </c>
      <c r="H11">
        <f t="shared" si="1"/>
        <v>1.2643491306917592E-2</v>
      </c>
      <c r="I11">
        <f t="shared" si="2"/>
        <v>0.24871307256779709</v>
      </c>
      <c r="J11">
        <f>XCP_3D('Données géométriques'!$B$9,'Données géométriques'!$B$10,'Données géométriques'!$B$11,'Données géométriques'!$B$12,I11)</f>
        <v>-3.9072823700414018E-2</v>
      </c>
      <c r="K11">
        <f>ZCP_3D('Données géométriques'!$B$9,'Données géométriques'!$B$10,'Données géométriques'!$B$11)</f>
        <v>-0.15998400159986725</v>
      </c>
      <c r="L11">
        <f>'0.1kts'!L11</f>
        <v>5.5697004124999989E-3</v>
      </c>
    </row>
    <row r="12" spans="1:12" x14ac:dyDescent="0.3">
      <c r="A12">
        <v>4</v>
      </c>
      <c r="B12">
        <f t="shared" si="0"/>
        <v>6.9813170079773182E-2</v>
      </c>
      <c r="C12">
        <v>0.44379999999999997</v>
      </c>
      <c r="D12">
        <v>7.5199999999999998E-3</v>
      </c>
      <c r="E12">
        <v>6.9999999999999999E-4</v>
      </c>
      <c r="F12">
        <f>C12/(1+2/'Données géométriques'!$B$6)</f>
        <v>0.29766505973590446</v>
      </c>
      <c r="G12">
        <f>F12^2/(PI()*'Données géométriques'!$B$6)</f>
        <v>6.9231231607174912E-3</v>
      </c>
      <c r="H12">
        <f t="shared" si="1"/>
        <v>1.444312316071749E-2</v>
      </c>
      <c r="I12">
        <f t="shared" si="2"/>
        <v>0.24842073260142808</v>
      </c>
      <c r="J12">
        <f>XCP_3D('Données géométriques'!$B$9,'Données géométriques'!$B$10,'Données géométriques'!$B$11,'Données géométriques'!$B$12,I12)</f>
        <v>-3.9026897091683783E-2</v>
      </c>
      <c r="K12">
        <f>ZCP_3D('Données géométriques'!$B$9,'Données géométriques'!$B$10,'Données géométriques'!$B$11)</f>
        <v>-0.15998400159986725</v>
      </c>
      <c r="L12">
        <f>'0.1kts'!L12</f>
        <v>5.5523183999999989E-3</v>
      </c>
    </row>
    <row r="13" spans="1:12" x14ac:dyDescent="0.3">
      <c r="A13">
        <v>4.5</v>
      </c>
      <c r="B13">
        <f t="shared" si="0"/>
        <v>7.8539816339744828E-2</v>
      </c>
      <c r="C13">
        <v>0.49859999999999999</v>
      </c>
      <c r="D13">
        <v>7.7200000000000003E-3</v>
      </c>
      <c r="E13">
        <v>8.9999999999999998E-4</v>
      </c>
      <c r="F13">
        <f>C13/(1+2/'Données géométriques'!$B$6)</f>
        <v>0.33442045692726896</v>
      </c>
      <c r="G13">
        <f>F13^2/(PI()*'Données géométriques'!$B$6)</f>
        <v>8.738401802307956E-3</v>
      </c>
      <c r="H13">
        <f t="shared" si="1"/>
        <v>1.6458401802307957E-2</v>
      </c>
      <c r="I13">
        <f t="shared" si="2"/>
        <v>0.24819156795708047</v>
      </c>
      <c r="J13">
        <f>XCP_3D('Données géométriques'!$B$9,'Données géométriques'!$B$10,'Données géométriques'!$B$11,'Données géométriques'!$B$12,I13)</f>
        <v>-3.8990895326059087E-2</v>
      </c>
      <c r="K13">
        <f>ZCP_3D('Données géométriques'!$B$9,'Données géométriques'!$B$10,'Données géométriques'!$B$11)</f>
        <v>-0.15998400159986725</v>
      </c>
      <c r="L13">
        <f>'0.1kts'!L13</f>
        <v>5.5261949874999992E-3</v>
      </c>
    </row>
    <row r="14" spans="1:12" x14ac:dyDescent="0.3">
      <c r="A14">
        <v>5</v>
      </c>
      <c r="B14">
        <f t="shared" si="0"/>
        <v>8.7266462599716474E-2</v>
      </c>
      <c r="C14">
        <v>0.55310000000000004</v>
      </c>
      <c r="D14">
        <v>7.9299999999999995E-3</v>
      </c>
      <c r="E14">
        <v>1.1999999999999999E-3</v>
      </c>
      <c r="F14">
        <f>C14/(1+2/'Données géométriques'!$B$6)</f>
        <v>0.37097463844057854</v>
      </c>
      <c r="G14">
        <f>F14^2/(PI()*'Données géométriques'!$B$6)</f>
        <v>1.075312709274435E-2</v>
      </c>
      <c r="H14">
        <f t="shared" si="1"/>
        <v>1.8683127092744348E-2</v>
      </c>
      <c r="I14">
        <f t="shared" si="2"/>
        <v>0.24782485134817706</v>
      </c>
      <c r="J14">
        <f>XCP_3D('Données géométriques'!$B$9,'Données géométriques'!$B$10,'Données géométriques'!$B$11,'Données géométriques'!$B$12,I14)</f>
        <v>-3.8933284146809785E-2</v>
      </c>
      <c r="K14">
        <f>ZCP_3D('Données géométriques'!$B$9,'Données géométriques'!$B$10,'Données géométriques'!$B$11)</f>
        <v>-0.15998400159986725</v>
      </c>
      <c r="L14">
        <f>'0.1kts'!L14</f>
        <v>5.4902374999999991E-3</v>
      </c>
    </row>
    <row r="15" spans="1:12" x14ac:dyDescent="0.3">
      <c r="A15">
        <v>6</v>
      </c>
      <c r="B15">
        <f t="shared" si="0"/>
        <v>0.10471975511965977</v>
      </c>
      <c r="C15">
        <v>0.66069999999999995</v>
      </c>
      <c r="D15">
        <v>8.43E-3</v>
      </c>
      <c r="E15">
        <v>2.2000000000000001E-3</v>
      </c>
      <c r="F15">
        <f>C15/(1+2/'Données géométriques'!$B$6)</f>
        <v>0.4431439949696081</v>
      </c>
      <c r="G15">
        <f>F15^2/(PI()*'Données géométriques'!$B$6)</f>
        <v>1.534391116694157E-2</v>
      </c>
      <c r="H15">
        <f t="shared" si="1"/>
        <v>2.377391116694157E-2</v>
      </c>
      <c r="I15">
        <f t="shared" si="2"/>
        <v>0.24665634079459706</v>
      </c>
      <c r="J15">
        <f>XCP_3D('Données géométriques'!$B$9,'Données géométriques'!$B$10,'Données géométriques'!$B$11,'Données géométriques'!$B$12,I15)</f>
        <v>-3.8749711138834561E-2</v>
      </c>
      <c r="K15">
        <f>ZCP_3D('Données géométriques'!$B$9,'Données géométriques'!$B$10,'Données géométriques'!$B$11)</f>
        <v>-0.15998400159986725</v>
      </c>
      <c r="L15">
        <f>'0.1kts'!L15</f>
        <v>5.4433532624999998E-3</v>
      </c>
    </row>
    <row r="16" spans="1:12" x14ac:dyDescent="0.3">
      <c r="A16">
        <v>6.5</v>
      </c>
      <c r="B16">
        <f t="shared" si="0"/>
        <v>0.11344640137963143</v>
      </c>
      <c r="C16">
        <v>0.71379999999999999</v>
      </c>
      <c r="D16">
        <v>8.7299999999999999E-3</v>
      </c>
      <c r="E16">
        <v>2.8E-3</v>
      </c>
      <c r="F16">
        <f>C16/(1+2/'Données géométriques'!$B$6)</f>
        <v>0.47875916998532808</v>
      </c>
      <c r="G16">
        <f>F16^2/(PI()*'Données géométriques'!$B$6)</f>
        <v>1.7909379906701942E-2</v>
      </c>
      <c r="H16">
        <f t="shared" si="1"/>
        <v>2.663937990670194E-2</v>
      </c>
      <c r="I16">
        <f t="shared" si="2"/>
        <v>0.24605744779907532</v>
      </c>
      <c r="J16">
        <f>XCP_3D('Données géométriques'!$B$9,'Données géométriques'!$B$10,'Données géométriques'!$B$11,'Données géométriques'!$B$12,I16)</f>
        <v>-3.8655625049245579E-2</v>
      </c>
      <c r="K16">
        <f>ZCP_3D('Données géométriques'!$B$9,'Données géométriques'!$B$10,'Données géométriques'!$B$11)</f>
        <v>-0.15998400159986725</v>
      </c>
      <c r="L16">
        <f>'0.1kts'!L16</f>
        <v>5.3844495999999997E-3</v>
      </c>
    </row>
    <row r="17" spans="1:12" x14ac:dyDescent="0.3">
      <c r="A17">
        <v>7</v>
      </c>
      <c r="B17">
        <f t="shared" si="0"/>
        <v>0.12217304763960307</v>
      </c>
      <c r="C17">
        <v>0.76619999999999999</v>
      </c>
      <c r="D17">
        <v>9.0600000000000003E-3</v>
      </c>
      <c r="E17">
        <v>3.5999999999999999E-3</v>
      </c>
      <c r="F17">
        <f>C17/(1+2/'Données géométriques'!$B$6)</f>
        <v>0.51390484175225326</v>
      </c>
      <c r="G17">
        <f>F17^2/(PI()*'Données géométriques'!$B$6)</f>
        <v>2.0635346092055376E-2</v>
      </c>
      <c r="H17">
        <f t="shared" si="1"/>
        <v>2.9695346092055375E-2</v>
      </c>
      <c r="I17">
        <f t="shared" si="2"/>
        <v>0.24527306578295613</v>
      </c>
      <c r="J17">
        <f>XCP_3D('Données géométriques'!$B$9,'Données géométriques'!$B$10,'Données géométriques'!$B$11,'Données géométriques'!$B$12,I17)</f>
        <v>-3.853239863450203E-2</v>
      </c>
      <c r="K17">
        <f>ZCP_3D('Données géométriques'!$B$9,'Données géométriques'!$B$10,'Données géométriques'!$B$11)</f>
        <v>-0.15998400159986725</v>
      </c>
      <c r="L17">
        <f>'0.1kts'!L17</f>
        <v>5.3124338374999991E-3</v>
      </c>
    </row>
    <row r="18" spans="1:12" x14ac:dyDescent="0.3">
      <c r="A18">
        <v>7.5</v>
      </c>
      <c r="B18">
        <f t="shared" si="0"/>
        <v>0.1308996938995747</v>
      </c>
      <c r="C18">
        <v>0.81850000000000001</v>
      </c>
      <c r="D18">
        <v>9.4199999999999996E-3</v>
      </c>
      <c r="E18">
        <v>4.3E-3</v>
      </c>
      <c r="F18">
        <f>C18/(1+2/'Données géométriques'!$B$6)</f>
        <v>0.54898344162649348</v>
      </c>
      <c r="G18">
        <f>F18^2/(PI()*'Données géométriques'!$B$6)</f>
        <v>2.3548585718480449E-2</v>
      </c>
      <c r="H18">
        <f t="shared" si="1"/>
        <v>3.296858571848045E-2</v>
      </c>
      <c r="I18">
        <f t="shared" si="2"/>
        <v>0.2447091716282877</v>
      </c>
      <c r="J18">
        <f>XCP_3D('Données géométriques'!$B$9,'Données géométriques'!$B$10,'Données géométriques'!$B$11,'Données géométriques'!$B$12,I18)</f>
        <v>-3.8443810862818228E-2</v>
      </c>
      <c r="K18">
        <f>ZCP_3D('Données géométriques'!$B$9,'Données géométriques'!$B$10,'Données géométriques'!$B$11)</f>
        <v>-0.15998400159986725</v>
      </c>
      <c r="L18">
        <f>'0.1kts'!L18</f>
        <v>5.2262132999999992E-3</v>
      </c>
    </row>
    <row r="19" spans="1:12" x14ac:dyDescent="0.3">
      <c r="A19">
        <v>8</v>
      </c>
      <c r="B19">
        <f t="shared" si="0"/>
        <v>0.13962634015954636</v>
      </c>
      <c r="C19">
        <v>0.87350000000000005</v>
      </c>
      <c r="D19">
        <v>9.8600000000000007E-3</v>
      </c>
      <c r="E19">
        <v>4.4000000000000003E-3</v>
      </c>
      <c r="F19">
        <f>C19/(1+2/'Données géométriques'!$B$6)</f>
        <v>0.58587298260322795</v>
      </c>
      <c r="G19">
        <f>F19^2/(PI()*'Données géométriques'!$B$6)</f>
        <v>2.6819660780490334E-2</v>
      </c>
      <c r="H19">
        <f t="shared" si="1"/>
        <v>3.6679660780490335E-2</v>
      </c>
      <c r="I19">
        <f t="shared" si="2"/>
        <v>0.24492134669321419</v>
      </c>
      <c r="J19">
        <f>XCP_3D('Données géométriques'!$B$9,'Données géométriques'!$B$10,'Données géométriques'!$B$11,'Données géométriques'!$B$12,I19)</f>
        <v>-3.8477143565504371E-2</v>
      </c>
      <c r="K19">
        <f>ZCP_3D('Données géométriques'!$B$9,'Données géométriques'!$B$10,'Données géométriques'!$B$11)</f>
        <v>-0.15998400159986725</v>
      </c>
      <c r="L19">
        <f>'0.1kts'!L19</f>
        <v>5.1246953125000001E-3</v>
      </c>
    </row>
    <row r="20" spans="1:12" x14ac:dyDescent="0.3">
      <c r="A20">
        <v>8.5</v>
      </c>
      <c r="B20">
        <f t="shared" si="0"/>
        <v>0.14835298641951802</v>
      </c>
      <c r="C20">
        <v>0.93120000000000003</v>
      </c>
      <c r="D20">
        <v>1.0359999999999999E-2</v>
      </c>
      <c r="E20">
        <v>3.8E-3</v>
      </c>
      <c r="F20">
        <f>C20/(1+2/'Données géométriques'!$B$6)</f>
        <v>0.62457346468245656</v>
      </c>
      <c r="G20">
        <f>F20^2/(PI()*'Données géométriques'!$B$6)</f>
        <v>3.0479890081870221E-2</v>
      </c>
      <c r="H20">
        <f t="shared" si="1"/>
        <v>4.0839890081870223E-2</v>
      </c>
      <c r="I20">
        <f t="shared" si="2"/>
        <v>0.24588077165628477</v>
      </c>
      <c r="J20">
        <f>XCP_3D('Données géométriques'!$B$9,'Données géométriques'!$B$10,'Données géométriques'!$B$11,'Données géométriques'!$B$12,I20)</f>
        <v>-3.8627869227215124E-2</v>
      </c>
      <c r="K20">
        <f>ZCP_3D('Données géométriques'!$B$9,'Données géométriques'!$B$10,'Données géométriques'!$B$11)</f>
        <v>-0.15998400159986725</v>
      </c>
      <c r="L20">
        <f>'0.1kts'!L20</f>
        <v>5.0067871999999996E-3</v>
      </c>
    </row>
    <row r="21" spans="1:12" x14ac:dyDescent="0.3">
      <c r="A21">
        <v>10</v>
      </c>
      <c r="B21">
        <f t="shared" si="0"/>
        <v>0.17453292519943295</v>
      </c>
      <c r="C21">
        <v>1.1085</v>
      </c>
      <c r="D21">
        <v>1.204E-2</v>
      </c>
      <c r="E21">
        <v>5.0000000000000001E-4</v>
      </c>
      <c r="F21">
        <f>C21/(1+2/'Données géométriques'!$B$6)</f>
        <v>0.74349193041291151</v>
      </c>
      <c r="G21">
        <f>F21^2/(PI()*'Données géométriques'!$B$6)</f>
        <v>4.3191556671661011E-2</v>
      </c>
      <c r="H21">
        <f t="shared" si="1"/>
        <v>5.5231556671661013E-2</v>
      </c>
      <c r="I21">
        <f t="shared" si="2"/>
        <v>0.2495428571922905</v>
      </c>
      <c r="J21">
        <f>XCP_3D('Données géométriques'!$B$9,'Données géométriques'!$B$10,'Données géométriques'!$B$11,'Données géométriques'!$B$12,I21)</f>
        <v>-3.9203182864912783E-2</v>
      </c>
      <c r="K21">
        <f>ZCP_3D('Données géométriques'!$B$9,'Données géométriques'!$B$10,'Données géométriques'!$B$11)</f>
        <v>-0.15998400159986725</v>
      </c>
      <c r="L21">
        <f>'0.1kts'!L21</f>
        <v>4.8713962874999996E-3</v>
      </c>
    </row>
    <row r="22" spans="1:12" x14ac:dyDescent="0.3">
      <c r="A22">
        <v>10.5</v>
      </c>
      <c r="B22">
        <f t="shared" si="0"/>
        <v>0.18325957145940461</v>
      </c>
      <c r="C22">
        <v>1.1532</v>
      </c>
      <c r="D22">
        <v>1.265E-2</v>
      </c>
      <c r="E22">
        <v>2.3999999999999998E-3</v>
      </c>
      <c r="F22">
        <f>C22/(1+2/'Données géométriques'!$B$6)</f>
        <v>0.77347306644309377</v>
      </c>
      <c r="G22">
        <f>F22^2/(PI()*'Données géométriques'!$B$6)</f>
        <v>4.674516846951534E-2</v>
      </c>
      <c r="H22">
        <f t="shared" si="1"/>
        <v>5.9395168469515341E-2</v>
      </c>
      <c r="I22">
        <f t="shared" si="2"/>
        <v>0.24788768623299301</v>
      </c>
      <c r="J22">
        <f>XCP_3D('Données géométriques'!$B$9,'Données géométriques'!$B$10,'Données géométriques'!$B$11,'Données géométriques'!$B$12,I22)</f>
        <v>-3.8943155507214638E-2</v>
      </c>
      <c r="K22">
        <f>ZCP_3D('Données géométriques'!$B$9,'Données géométriques'!$B$10,'Données géométriques'!$B$11)</f>
        <v>-0.15998400159986725</v>
      </c>
      <c r="L22">
        <f>'0.1kts'!L22</f>
        <v>4.7174298999999986E-3</v>
      </c>
    </row>
    <row r="23" spans="1:12" x14ac:dyDescent="0.3">
      <c r="A23">
        <v>11</v>
      </c>
      <c r="B23">
        <f t="shared" si="0"/>
        <v>0.19198621771937624</v>
      </c>
      <c r="C23">
        <v>1.1998</v>
      </c>
      <c r="D23">
        <v>1.325E-2</v>
      </c>
      <c r="E23">
        <v>3.8999999999999998E-3</v>
      </c>
      <c r="F23">
        <f>C23/(1+2/'Données géométriques'!$B$6)</f>
        <v>0.80472856843429064</v>
      </c>
      <c r="G23">
        <f>F23^2/(PI()*'Données géométriques'!$B$6)</f>
        <v>5.0599377864898661E-2</v>
      </c>
      <c r="H23">
        <f t="shared" si="1"/>
        <v>6.3849377864898665E-2</v>
      </c>
      <c r="I23">
        <f t="shared" si="2"/>
        <v>0.24669571196257689</v>
      </c>
      <c r="J23">
        <f>XCP_3D('Données géométriques'!$B$9,'Données géométriques'!$B$10,'Données géométriques'!$B$11,'Données géométriques'!$B$12,I23)</f>
        <v>-3.8755896349332332E-2</v>
      </c>
      <c r="K23">
        <f>ZCP_3D('Données géométriques'!$B$9,'Données géométriques'!$B$10,'Données géométriques'!$B$11)</f>
        <v>-0.15998400159986725</v>
      </c>
      <c r="L23">
        <f>'0.1kts'!L23</f>
        <v>4.5437953624999994E-3</v>
      </c>
    </row>
    <row r="24" spans="1:12" x14ac:dyDescent="0.3">
      <c r="A24">
        <v>11.5</v>
      </c>
      <c r="B24">
        <f t="shared" si="0"/>
        <v>0.20071286397934787</v>
      </c>
      <c r="C24">
        <v>1.2464</v>
      </c>
      <c r="D24">
        <v>1.393E-2</v>
      </c>
      <c r="E24">
        <v>5.3E-3</v>
      </c>
      <c r="F24">
        <f>C24/(1+2/'Données géométriques'!$B$6)</f>
        <v>0.83598407042548739</v>
      </c>
      <c r="G24">
        <f>F24^2/(PI()*'Données géométriques'!$B$6)</f>
        <v>5.4606248677897658E-2</v>
      </c>
      <c r="H24">
        <f t="shared" si="1"/>
        <v>6.8536248677897663E-2</v>
      </c>
      <c r="I24">
        <f t="shared" si="2"/>
        <v>0.24567048413236886</v>
      </c>
      <c r="J24">
        <f>XCP_3D('Données géométriques'!$B$9,'Données géométriques'!$B$10,'Données géométriques'!$B$11,'Données géométriques'!$B$12,I24)</f>
        <v>-3.8594833057203348E-2</v>
      </c>
      <c r="K24">
        <f>ZCP_3D('Données géométriques'!$B$9,'Données géométriques'!$B$10,'Données géométriques'!$B$11)</f>
        <v>-0.15998400159986725</v>
      </c>
      <c r="L24">
        <f>'0.1kts'!L24</f>
        <v>4.3493999999999998E-3</v>
      </c>
    </row>
    <row r="25" spans="1:12" x14ac:dyDescent="0.3">
      <c r="A25">
        <v>12</v>
      </c>
      <c r="B25">
        <f t="shared" si="0"/>
        <v>0.20943951023931953</v>
      </c>
      <c r="C25">
        <v>1.2921</v>
      </c>
      <c r="D25">
        <v>1.4710000000000001E-2</v>
      </c>
      <c r="E25">
        <v>6.6E-3</v>
      </c>
      <c r="F25">
        <f>C25/(1+2/'Données géométriques'!$B$6)</f>
        <v>0.86663592538251955</v>
      </c>
      <c r="G25">
        <f>F25^2/(PI()*'Données géométriques'!$B$6)</f>
        <v>5.8684000868446592E-2</v>
      </c>
      <c r="H25">
        <f t="shared" si="1"/>
        <v>7.3394000868446593E-2</v>
      </c>
      <c r="I25">
        <f t="shared" si="2"/>
        <v>0.24479052748871885</v>
      </c>
      <c r="J25">
        <f>XCP_3D('Données géométriques'!$B$9,'Données géométriques'!$B$10,'Données géométriques'!$B$11,'Données géométriques'!$B$12,I25)</f>
        <v>-3.8456591868480695E-2</v>
      </c>
      <c r="K25">
        <f>ZCP_3D('Données géométriques'!$B$9,'Données géométriques'!$B$10,'Données géométriques'!$B$11)</f>
        <v>-0.15998400159986725</v>
      </c>
      <c r="L25">
        <f>'0.1kts'!L25</f>
        <v>4.1331511374999991E-3</v>
      </c>
    </row>
    <row r="26" spans="1:12" x14ac:dyDescent="0.3">
      <c r="A26">
        <v>12.5</v>
      </c>
      <c r="B26">
        <f t="shared" si="0"/>
        <v>0.21816615649929119</v>
      </c>
      <c r="C26">
        <v>1.3375999999999999</v>
      </c>
      <c r="D26">
        <v>1.5469999999999999E-2</v>
      </c>
      <c r="E26">
        <v>8.0000000000000002E-3</v>
      </c>
      <c r="F26">
        <f>C26/(1+2/'Données géométriques'!$B$6)</f>
        <v>0.89715363655418157</v>
      </c>
      <c r="G26">
        <f>F26^2/(PI()*'Données géométriques'!$B$6)</f>
        <v>6.2889766472581723E-2</v>
      </c>
      <c r="H26">
        <f t="shared" si="1"/>
        <v>7.8359766472581721E-2</v>
      </c>
      <c r="I26">
        <f t="shared" si="2"/>
        <v>0.24388959347794004</v>
      </c>
      <c r="J26">
        <f>XCP_3D('Données géométriques'!$B$9,'Données géométriques'!$B$10,'Données géométriques'!$B$11,'Données géométriques'!$B$12,I26)</f>
        <v>-3.8315055135394023E-2</v>
      </c>
      <c r="K26">
        <f>ZCP_3D('Données géométriques'!$B$9,'Données géométriques'!$B$10,'Données géométriques'!$B$11)</f>
        <v>-0.15998400159986725</v>
      </c>
      <c r="L26">
        <f>'0.1kts'!L26</f>
        <v>3.8939560999999992E-3</v>
      </c>
    </row>
    <row r="27" spans="1:12" x14ac:dyDescent="0.3">
      <c r="A27">
        <v>13</v>
      </c>
      <c r="B27">
        <f t="shared" si="0"/>
        <v>0.22689280275926285</v>
      </c>
      <c r="C27">
        <v>1.3817999999999999</v>
      </c>
      <c r="D27">
        <v>1.6299999999999999E-2</v>
      </c>
      <c r="E27">
        <v>9.4999999999999998E-3</v>
      </c>
      <c r="F27">
        <f>C27/(1+2/'Données géométriques'!$B$6)</f>
        <v>0.92679941312093905</v>
      </c>
      <c r="G27">
        <f>F27^2/(PI()*'Données géométriques'!$B$6)</f>
        <v>6.711472864047803E-2</v>
      </c>
      <c r="H27">
        <f t="shared" si="1"/>
        <v>8.3414728640478025E-2</v>
      </c>
      <c r="I27">
        <f t="shared" si="2"/>
        <v>0.2429632301397637</v>
      </c>
      <c r="J27">
        <f>XCP_3D('Données géométriques'!$B$9,'Données géométriques'!$B$10,'Données géométriques'!$B$11,'Données géométriques'!$B$12,I27)</f>
        <v>-3.8169523454955868E-2</v>
      </c>
      <c r="K27">
        <f>ZCP_3D('Données géométriques'!$B$9,'Données géométriques'!$B$10,'Données géométriques'!$B$11)</f>
        <v>-0.15998400159986725</v>
      </c>
      <c r="L27">
        <f>'0.1kts'!L27</f>
        <v>3.6307222124999988E-3</v>
      </c>
    </row>
    <row r="28" spans="1:12" x14ac:dyDescent="0.3">
      <c r="A28">
        <v>13.5</v>
      </c>
      <c r="B28">
        <f t="shared" si="0"/>
        <v>0.23561944901923448</v>
      </c>
      <c r="C28">
        <v>1.4239999999999999</v>
      </c>
      <c r="D28">
        <v>1.7219999999999999E-2</v>
      </c>
      <c r="E28">
        <v>1.12E-2</v>
      </c>
      <c r="F28">
        <f>C28/(1+2/'Données géométriques'!$B$6)</f>
        <v>0.95510375183399709</v>
      </c>
      <c r="G28">
        <f>F28^2/(PI()*'Données géométriques'!$B$6)</f>
        <v>7.1276676390953697E-2</v>
      </c>
      <c r="H28">
        <f t="shared" si="1"/>
        <v>8.8496676390953696E-2</v>
      </c>
      <c r="I28">
        <f t="shared" si="2"/>
        <v>0.24193475618603974</v>
      </c>
      <c r="J28">
        <f>XCP_3D('Données géométriques'!$B$9,'Données géométriques'!$B$10,'Données géométriques'!$B$11,'Données géométriques'!$B$12,I28)</f>
        <v>-3.800795019683801E-2</v>
      </c>
      <c r="K28">
        <f>ZCP_3D('Données géométriques'!$B$9,'Données géométriques'!$B$10,'Données géométriques'!$B$11)</f>
        <v>-0.15998400159986725</v>
      </c>
      <c r="L28">
        <f>'0.1kts'!L28</f>
        <v>3.3423567999999993E-3</v>
      </c>
    </row>
    <row r="29" spans="1:12" x14ac:dyDescent="0.3">
      <c r="A29">
        <v>14</v>
      </c>
      <c r="B29">
        <f t="shared" si="0"/>
        <v>0.24434609527920614</v>
      </c>
      <c r="C29">
        <v>1.4632000000000001</v>
      </c>
      <c r="D29">
        <v>1.8280000000000001E-2</v>
      </c>
      <c r="E29">
        <v>1.32E-2</v>
      </c>
      <c r="F29">
        <f>C29/(1+2/'Données géométriques'!$B$6)</f>
        <v>0.98139593376650613</v>
      </c>
      <c r="G29">
        <f>F29^2/(PI()*'Données géométriques'!$B$6)</f>
        <v>7.5254911061340232E-2</v>
      </c>
      <c r="H29">
        <f t="shared" si="1"/>
        <v>9.3534911061340237E-2</v>
      </c>
      <c r="I29">
        <f t="shared" si="2"/>
        <v>0.24073137224207927</v>
      </c>
      <c r="J29">
        <f>XCP_3D('Données géométriques'!$B$9,'Données géométriques'!$B$10,'Données géométriques'!$B$11,'Données géométriques'!$B$12,I29)</f>
        <v>-3.7818898579245357E-2</v>
      </c>
      <c r="K29">
        <f>ZCP_3D('Données géométriques'!$B$9,'Données géométriques'!$B$10,'Données géométriques'!$B$11)</f>
        <v>-0.15998400159986725</v>
      </c>
      <c r="L29">
        <f>'0.1kts'!L29</f>
        <v>3.0277671874999997E-3</v>
      </c>
    </row>
    <row r="30" spans="1:12" x14ac:dyDescent="0.3">
      <c r="A30">
        <v>14.5</v>
      </c>
      <c r="B30">
        <f t="shared" si="0"/>
        <v>0.2530727415391778</v>
      </c>
      <c r="C30">
        <v>1.4996</v>
      </c>
      <c r="D30">
        <v>1.9400000000000001E-2</v>
      </c>
      <c r="E30">
        <v>1.55E-2</v>
      </c>
      <c r="F30">
        <f>C30/(1+2/'Données géométriques'!$B$6)</f>
        <v>1.0058101027038358</v>
      </c>
      <c r="G30">
        <f>F30^2/(PI()*'Données géométriques'!$B$6)</f>
        <v>7.9045713763376671E-2</v>
      </c>
      <c r="H30">
        <f t="shared" si="1"/>
        <v>9.8445713763376672E-2</v>
      </c>
      <c r="I30">
        <f t="shared" si="2"/>
        <v>0.23935944967279246</v>
      </c>
      <c r="J30">
        <f>XCP_3D('Données géométriques'!$B$9,'Données géométriques'!$B$10,'Données géométriques'!$B$11,'Données géométriques'!$B$12,I30)</f>
        <v>-3.7603369543608628E-2</v>
      </c>
      <c r="K30">
        <f>ZCP_3D('Données géométriques'!$B$9,'Données géométriques'!$B$10,'Données géométriques'!$B$11)</f>
        <v>-0.15998400159986725</v>
      </c>
      <c r="L30">
        <f>'0.1kts'!L30</f>
        <v>2.6858606999999994E-3</v>
      </c>
    </row>
    <row r="31" spans="1:12" x14ac:dyDescent="0.3">
      <c r="A31">
        <v>15</v>
      </c>
      <c r="B31">
        <f t="shared" si="0"/>
        <v>0.26179938779914941</v>
      </c>
      <c r="C31">
        <v>1.5295000000000001</v>
      </c>
      <c r="D31">
        <v>2.0549999999999999E-2</v>
      </c>
      <c r="E31">
        <v>1.89E-2</v>
      </c>
      <c r="F31">
        <f>C31/(1+2/'Données géométriques'!$B$6)</f>
        <v>1.0258645986166424</v>
      </c>
      <c r="G31">
        <f>F31^2/(PI()*'Données géométriques'!$B$6)</f>
        <v>8.2229268059132013E-2</v>
      </c>
      <c r="H31">
        <f t="shared" si="1"/>
        <v>0.10277926805913201</v>
      </c>
      <c r="I31">
        <f t="shared" si="2"/>
        <v>0.23725300404491068</v>
      </c>
      <c r="J31">
        <f>XCP_3D('Données géométriques'!$B$9,'Données géométriques'!$B$10,'Données géométriques'!$B$11,'Données géométriques'!$B$12,I31)</f>
        <v>-3.7272446935471416E-2</v>
      </c>
      <c r="K31">
        <f>ZCP_3D('Données géométriques'!$B$9,'Données géométriques'!$B$10,'Données géométriques'!$B$11)</f>
        <v>-0.15998400159986725</v>
      </c>
      <c r="L31">
        <f>'0.1kts'!L31</f>
        <v>2.3155446624999994E-3</v>
      </c>
    </row>
    <row r="32" spans="1:12" x14ac:dyDescent="0.3">
      <c r="A32">
        <v>15.5</v>
      </c>
      <c r="B32">
        <f t="shared" si="0"/>
        <v>0.27052603405912107</v>
      </c>
      <c r="C32">
        <v>1.5548999999999999</v>
      </c>
      <c r="D32">
        <v>2.1930000000000002E-2</v>
      </c>
      <c r="E32">
        <v>2.24E-2</v>
      </c>
      <c r="F32">
        <f>C32/(1+2/'Données géométriques'!$B$6)</f>
        <v>1.0429008593586251</v>
      </c>
      <c r="G32">
        <f>F32^2/(PI()*'Données géométriques'!$B$6)</f>
        <v>8.4983064745141959E-2</v>
      </c>
      <c r="H32">
        <f t="shared" si="1"/>
        <v>0.10691306474514196</v>
      </c>
      <c r="I32">
        <f t="shared" si="2"/>
        <v>0.23510845758921645</v>
      </c>
      <c r="J32">
        <f>XCP_3D('Données géométriques'!$B$9,'Données géométriques'!$B$10,'Données géométriques'!$B$11,'Données géométriques'!$B$12,I32)</f>
        <v>-3.6935538687266033E-2</v>
      </c>
      <c r="K32">
        <f>ZCP_3D('Données géométriques'!$B$9,'Données géométriques'!$B$10,'Données géométriques'!$B$11)</f>
        <v>-0.15998400159986725</v>
      </c>
      <c r="L32">
        <f>'0.1kts'!L32</f>
        <v>1.9157263999999995E-3</v>
      </c>
    </row>
    <row r="33" spans="1:12" x14ac:dyDescent="0.3">
      <c r="A33">
        <v>16</v>
      </c>
      <c r="B33">
        <f t="shared" si="0"/>
        <v>0.27925268031909273</v>
      </c>
      <c r="C33">
        <v>1.5772999999999999</v>
      </c>
      <c r="D33">
        <v>2.3640000000000001E-2</v>
      </c>
      <c r="E33">
        <v>2.5600000000000001E-2</v>
      </c>
      <c r="F33">
        <f>C33/(1+2/'Données géométriques'!$B$6)</f>
        <v>1.0579249633200587</v>
      </c>
      <c r="G33">
        <f>F33^2/(PI()*'Données géométriques'!$B$6)</f>
        <v>8.7449245846868723E-2</v>
      </c>
      <c r="H33">
        <f t="shared" si="1"/>
        <v>0.11108924584686872</v>
      </c>
      <c r="I33">
        <f t="shared" si="2"/>
        <v>0.23318791470708847</v>
      </c>
      <c r="J33">
        <f>XCP_3D('Données géométriques'!$B$9,'Données géométriques'!$B$10,'Données géométriques'!$B$11,'Données géométriques'!$B$12,I33)</f>
        <v>-3.6633821400493476E-2</v>
      </c>
      <c r="K33">
        <f>ZCP_3D('Données géométriques'!$B$9,'Données géométriques'!$B$10,'Données géométriques'!$B$11)</f>
        <v>-0.15998400159986725</v>
      </c>
      <c r="L33">
        <f>'0.1kts'!L33</f>
        <v>1.4853132374999995E-3</v>
      </c>
    </row>
    <row r="34" spans="1:12" x14ac:dyDescent="0.3">
      <c r="A34">
        <v>16.5</v>
      </c>
      <c r="B34">
        <f t="shared" si="0"/>
        <v>0.28797932657906439</v>
      </c>
      <c r="C34">
        <v>1.5960000000000001</v>
      </c>
      <c r="D34">
        <v>2.579E-2</v>
      </c>
      <c r="E34">
        <v>2.8400000000000002E-2</v>
      </c>
      <c r="F34">
        <f>C34/(1+2/'Données géométriques'!$B$6)</f>
        <v>1.0704674072521485</v>
      </c>
      <c r="G34">
        <f>F34^2/(PI()*'Données géométriques'!$B$6)</f>
        <v>8.9535082045482106E-2</v>
      </c>
      <c r="H34">
        <f t="shared" si="1"/>
        <v>0.11532508204548211</v>
      </c>
      <c r="I34">
        <f t="shared" si="2"/>
        <v>0.23152966925187118</v>
      </c>
      <c r="J34">
        <f>XCP_3D('Données géométriques'!$B$9,'Données géométriques'!$B$10,'Données géométriques'!$B$11,'Données géométriques'!$B$12,I34)</f>
        <v>-3.6373311039468309E-2</v>
      </c>
      <c r="K34">
        <f>ZCP_3D('Données géométriques'!$B$9,'Données géométriques'!$B$10,'Données géométriques'!$B$11)</f>
        <v>-0.15998400159986725</v>
      </c>
      <c r="L34">
        <f>'0.1kts'!L34</f>
        <v>1.0232124999999988E-3</v>
      </c>
    </row>
    <row r="35" spans="1:12" x14ac:dyDescent="0.3">
      <c r="A35">
        <v>17</v>
      </c>
      <c r="B35">
        <f t="shared" si="0"/>
        <v>0.29670597283903605</v>
      </c>
      <c r="C35">
        <v>1.6104000000000001</v>
      </c>
      <c r="D35">
        <v>2.8559999999999999E-2</v>
      </c>
      <c r="E35">
        <v>3.0499999999999999E-2</v>
      </c>
      <c r="F35">
        <f>C35/(1+2/'Données géométriques'!$B$6)</f>
        <v>1.0801257597987846</v>
      </c>
      <c r="G35">
        <f>F35^2/(PI()*'Données géométriques'!$B$6)</f>
        <v>9.1158041438724455E-2</v>
      </c>
      <c r="H35">
        <f t="shared" si="1"/>
        <v>0.11971804143872446</v>
      </c>
      <c r="I35">
        <f t="shared" si="2"/>
        <v>0.23030203522170373</v>
      </c>
      <c r="J35">
        <f>XCP_3D('Données géométriques'!$B$9,'Données géométriques'!$B$10,'Données géométriques'!$B$11,'Données géométriques'!$B$12,I35)</f>
        <v>-3.6180449733341849E-2</v>
      </c>
      <c r="K35">
        <f>ZCP_3D('Données géométriques'!$B$9,'Données géométriques'!$B$10,'Données géométriques'!$B$11)</f>
        <v>-0.15998400159986725</v>
      </c>
      <c r="L35">
        <f>'0.1kts'!L35</f>
        <v>5.2833151249999898E-4</v>
      </c>
    </row>
    <row r="36" spans="1:12" x14ac:dyDescent="0.3">
      <c r="A36">
        <v>17.5</v>
      </c>
      <c r="B36">
        <f t="shared" si="0"/>
        <v>0.30543261909900765</v>
      </c>
      <c r="C36">
        <v>1.62</v>
      </c>
      <c r="D36">
        <v>3.2169999999999997E-2</v>
      </c>
      <c r="E36">
        <v>3.1699999999999999E-2</v>
      </c>
      <c r="F36">
        <f>C36/(1+2/'Données géométriques'!$B$6)</f>
        <v>1.0865646614965419</v>
      </c>
      <c r="G36">
        <f>F36^2/(PI()*'Données géométriques'!$B$6)</f>
        <v>9.2248112967319343E-2</v>
      </c>
      <c r="H36">
        <f t="shared" si="1"/>
        <v>0.12441811296731933</v>
      </c>
      <c r="I36">
        <f t="shared" si="2"/>
        <v>0.22961015078859431</v>
      </c>
      <c r="J36">
        <f>XCP_3D('Données géométriques'!$B$9,'Données géométriques'!$B$10,'Données géométriques'!$B$11,'Données géométriques'!$B$12,I36)</f>
        <v>-3.6071754688885287E-2</v>
      </c>
      <c r="K36">
        <f>ZCP_3D('Données géométriques'!$B$9,'Données géométriques'!$B$10,'Données géométriques'!$B$11)</f>
        <v>-0.15998400159986725</v>
      </c>
      <c r="L36">
        <f>'0.1kts'!L36</f>
        <v>-4.2240000000128926E-7</v>
      </c>
    </row>
    <row r="37" spans="1:12" x14ac:dyDescent="0.3">
      <c r="A37">
        <v>18</v>
      </c>
      <c r="B37">
        <f t="shared" si="0"/>
        <v>0.31415926535897931</v>
      </c>
      <c r="C37">
        <v>1.6234</v>
      </c>
      <c r="D37">
        <v>3.6900000000000002E-2</v>
      </c>
      <c r="E37">
        <v>3.1699999999999999E-2</v>
      </c>
      <c r="F37">
        <f>C37/(1+2/'Données géométriques'!$B$6)</f>
        <v>1.0888451058478308</v>
      </c>
      <c r="G37">
        <f>F37^2/(PI()*'Données géométriques'!$B$6)</f>
        <v>9.2635733604658863E-2</v>
      </c>
      <c r="H37">
        <f t="shared" si="1"/>
        <v>0.12953573360465886</v>
      </c>
      <c r="I37">
        <f t="shared" si="2"/>
        <v>0.22961870749536728</v>
      </c>
      <c r="J37">
        <f>XCP_3D('Données géométriques'!$B$9,'Données géométriques'!$B$10,'Données géométriques'!$B$11,'Données géométriques'!$B$12,I37)</f>
        <v>-3.6073098947531919E-2</v>
      </c>
      <c r="K37">
        <f>ZCP_3D('Données géométriques'!$B$9,'Données géométriques'!$B$10,'Données géométriques'!$B$11)</f>
        <v>-0.15998400159986725</v>
      </c>
      <c r="L37">
        <f>'0.1kts'!L37</f>
        <v>-5.6414191250000112E-4</v>
      </c>
    </row>
    <row r="38" spans="1:12" x14ac:dyDescent="0.3">
      <c r="A38">
        <v>18.5</v>
      </c>
      <c r="B38">
        <f t="shared" si="0"/>
        <v>0.32288591161895097</v>
      </c>
      <c r="C38">
        <v>1.6185</v>
      </c>
      <c r="D38">
        <v>4.3180000000000003E-2</v>
      </c>
      <c r="E38">
        <v>3.0200000000000001E-2</v>
      </c>
      <c r="F38">
        <f>C38/(1+2/'Données géométriques'!$B$6)</f>
        <v>1.0855585831062673</v>
      </c>
      <c r="G38">
        <f>F38^2/(PI()*'Données géométriques'!$B$6)</f>
        <v>9.2077362216379327E-2</v>
      </c>
      <c r="H38">
        <f t="shared" si="1"/>
        <v>0.13525736221637932</v>
      </c>
      <c r="I38">
        <f t="shared" si="2"/>
        <v>0.23049804947870264</v>
      </c>
      <c r="J38">
        <f>XCP_3D('Données géométriques'!$B$9,'Données géométriques'!$B$10,'Données géométriques'!$B$11,'Données géométriques'!$B$12,I38)</f>
        <v>-3.6211243573102826E-2</v>
      </c>
      <c r="K38">
        <f>ZCP_3D('Données géométriques'!$B$9,'Données géométriques'!$B$10,'Données géométriques'!$B$11)</f>
        <v>-0.15998400159986725</v>
      </c>
      <c r="L38">
        <f>'0.1kts'!L38</f>
        <v>-1.1639197000000003E-3</v>
      </c>
    </row>
    <row r="39" spans="1:12" x14ac:dyDescent="0.3">
      <c r="A39">
        <v>19</v>
      </c>
      <c r="B39">
        <f t="shared" si="0"/>
        <v>0.33161255787892258</v>
      </c>
      <c r="C39">
        <v>1.6026</v>
      </c>
      <c r="D39">
        <v>5.1459999999999999E-2</v>
      </c>
      <c r="E39">
        <v>2.7E-2</v>
      </c>
      <c r="F39">
        <f>C39/(1+2/'Données géométriques'!$B$6)</f>
        <v>1.0748941521693567</v>
      </c>
      <c r="G39">
        <f>F39^2/(PI()*'Données géométriques'!$B$6)</f>
        <v>9.0277128903166151E-2</v>
      </c>
      <c r="H39">
        <f t="shared" si="1"/>
        <v>0.14173712890316614</v>
      </c>
      <c r="I39">
        <f t="shared" si="2"/>
        <v>0.23237646003801465</v>
      </c>
      <c r="J39">
        <f>XCP_3D('Données géométriques'!$B$9,'Données géométriques'!$B$10,'Données géométriques'!$B$11,'Données géométriques'!$B$12,I39)</f>
        <v>-3.6506341871969591E-2</v>
      </c>
      <c r="K39">
        <f>ZCP_3D('Données géométriques'!$B$9,'Données géométriques'!$B$10,'Données géométriques'!$B$11)</f>
        <v>-0.15998400159986725</v>
      </c>
      <c r="L39">
        <f>'0.1kts'!L39</f>
        <v>-1.8008484375000007E-3</v>
      </c>
    </row>
    <row r="40" spans="1:12" x14ac:dyDescent="0.3">
      <c r="A40">
        <v>19.5</v>
      </c>
      <c r="B40">
        <f t="shared" si="0"/>
        <v>0.34033920413889424</v>
      </c>
      <c r="C40">
        <v>1.5741000000000001</v>
      </c>
      <c r="D40">
        <v>6.2059999999999997E-2</v>
      </c>
      <c r="E40">
        <v>2.2200000000000001E-2</v>
      </c>
      <c r="F40">
        <f>C40/(1+2/'Données géométriques'!$B$6)</f>
        <v>1.0557786627541397</v>
      </c>
      <c r="G40">
        <f>F40^2/(PI()*'Données géométriques'!$B$6)</f>
        <v>8.7094774634303318E-2</v>
      </c>
      <c r="H40">
        <f t="shared" si="1"/>
        <v>0.14915477463430332</v>
      </c>
      <c r="I40">
        <f t="shared" si="2"/>
        <v>0.23524454205313297</v>
      </c>
      <c r="J40">
        <f>XCP_3D('Données géométriques'!$B$9,'Données géométriques'!$B$10,'Données géométriques'!$B$11,'Données géométriques'!$B$12,I40)</f>
        <v>-3.6956917556560519E-2</v>
      </c>
      <c r="K40">
        <f>ZCP_3D('Données géométriques'!$B$9,'Données géométriques'!$B$10,'Données géométriques'!$B$11)</f>
        <v>-0.15998400159986725</v>
      </c>
      <c r="L40">
        <f>'0.1kts'!L40</f>
        <v>-2.4760208000000018E-3</v>
      </c>
    </row>
    <row r="41" spans="1:12" x14ac:dyDescent="0.3">
      <c r="A41">
        <v>20</v>
      </c>
      <c r="B41">
        <f t="shared" si="0"/>
        <v>0.3490658503988659</v>
      </c>
      <c r="C41">
        <v>1.5244</v>
      </c>
      <c r="D41">
        <v>7.646E-2</v>
      </c>
      <c r="E41">
        <v>1.5100000000000001E-2</v>
      </c>
      <c r="F41">
        <f>C41/(1+2/'Données géométriques'!$B$6)</f>
        <v>1.0224439320897087</v>
      </c>
      <c r="G41">
        <f>F41^2/(PI()*'Données géométriques'!$B$6)</f>
        <v>8.1681807987430438E-2</v>
      </c>
      <c r="H41">
        <f t="shared" si="1"/>
        <v>0.15814180798743044</v>
      </c>
      <c r="I41">
        <f t="shared" si="2"/>
        <v>0.23964773711517065</v>
      </c>
      <c r="J41">
        <f>XCP_3D('Données géométriques'!$B$9,'Données géométriques'!$B$10,'Données géométriques'!$B$11,'Données géométriques'!$B$12,I41)</f>
        <v>-3.7648659500792873E-2</v>
      </c>
      <c r="K41">
        <f>ZCP_3D('Données géométriques'!$B$9,'Données géométriques'!$B$10,'Données géométriques'!$B$11)</f>
        <v>-0.15998400159986725</v>
      </c>
      <c r="L41">
        <f>'0.1kts'!L41</f>
        <v>-3.1905294625000006E-3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1858-7B48-43E9-B39B-D795B8B3B5E9}">
  <sheetPr codeName="Feuil12"/>
  <dimension ref="A1:F12"/>
  <sheetViews>
    <sheetView workbookViewId="0">
      <selection activeCell="G9" sqref="G9"/>
    </sheetView>
  </sheetViews>
  <sheetFormatPr baseColWidth="10" defaultRowHeight="14.4" x14ac:dyDescent="0.3"/>
  <cols>
    <col min="1" max="1" width="17.21875" bestFit="1" customWidth="1"/>
    <col min="3" max="3" width="20.88671875" bestFit="1" customWidth="1"/>
    <col min="6" max="6" width="22.33203125" bestFit="1" customWidth="1"/>
  </cols>
  <sheetData>
    <row r="1" spans="1:6" x14ac:dyDescent="0.3">
      <c r="A1" t="s">
        <v>24</v>
      </c>
      <c r="F1" t="s">
        <v>13</v>
      </c>
    </row>
    <row r="2" spans="1:6" x14ac:dyDescent="0.3">
      <c r="A2" t="s">
        <v>12</v>
      </c>
      <c r="B2">
        <v>0.15709999999999999</v>
      </c>
      <c r="F2" s="2">
        <v>1.0070000000000001E-6</v>
      </c>
    </row>
    <row r="3" spans="1:6" x14ac:dyDescent="0.3">
      <c r="A3" t="s">
        <v>14</v>
      </c>
      <c r="B3">
        <v>0.32</v>
      </c>
    </row>
    <row r="4" spans="1:6" x14ac:dyDescent="0.3">
      <c r="A4" t="s">
        <v>15</v>
      </c>
      <c r="B4">
        <f>B3/B2</f>
        <v>2.0369191597708469</v>
      </c>
    </row>
    <row r="5" spans="1:6" x14ac:dyDescent="0.3">
      <c r="A5" t="s">
        <v>16</v>
      </c>
      <c r="B5">
        <v>2</v>
      </c>
      <c r="C5" t="s">
        <v>18</v>
      </c>
    </row>
    <row r="6" spans="1:6" x14ac:dyDescent="0.3">
      <c r="A6" t="s">
        <v>17</v>
      </c>
      <c r="B6">
        <f>B5*B4</f>
        <v>4.0738383195416938</v>
      </c>
    </row>
    <row r="9" spans="1:6" x14ac:dyDescent="0.3">
      <c r="A9" t="s">
        <v>20</v>
      </c>
      <c r="B9">
        <v>0.15709999999999999</v>
      </c>
    </row>
    <row r="10" spans="1:6" x14ac:dyDescent="0.3">
      <c r="A10" t="s">
        <v>21</v>
      </c>
      <c r="B10">
        <v>0.15709999999999999</v>
      </c>
    </row>
    <row r="11" spans="1:6" x14ac:dyDescent="0.3">
      <c r="A11" t="s">
        <v>22</v>
      </c>
      <c r="B11">
        <f>B3</f>
        <v>0.32</v>
      </c>
    </row>
    <row r="12" spans="1:6" x14ac:dyDescent="0.3">
      <c r="A12" t="s">
        <v>23</v>
      </c>
      <c r="B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0.1kts</vt:lpstr>
      <vt:lpstr>0.5kts</vt:lpstr>
      <vt:lpstr>1kts</vt:lpstr>
      <vt:lpstr>1.5kts</vt:lpstr>
      <vt:lpstr>2kts</vt:lpstr>
      <vt:lpstr>2.5kts</vt:lpstr>
      <vt:lpstr>3kts</vt:lpstr>
      <vt:lpstr>3.5kts</vt:lpstr>
      <vt:lpstr>4kts</vt:lpstr>
      <vt:lpstr>5kts</vt:lpstr>
      <vt:lpstr>10kts</vt:lpstr>
      <vt:lpstr>Données géométriques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Loughlin</dc:creator>
  <cp:lastModifiedBy>Loughlin</cp:lastModifiedBy>
  <dcterms:created xsi:type="dcterms:W3CDTF">2015-06-05T18:19:34Z</dcterms:created>
  <dcterms:modified xsi:type="dcterms:W3CDTF">2020-03-18T15:02:47Z</dcterms:modified>
</cp:coreProperties>
</file>