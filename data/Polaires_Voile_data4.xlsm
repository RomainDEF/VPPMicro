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eo\Documents\GitHub\ProjetMT\"/>
    </mc:Choice>
  </mc:AlternateContent>
  <xr:revisionPtr revIDLastSave="0" documentId="13_ncr:1_{EBCF731C-6387-4046-98BB-DAF2017CD909}" xr6:coauthVersionLast="44" xr6:coauthVersionMax="44" xr10:uidLastSave="{00000000-0000-0000-0000-000000000000}"/>
  <bookViews>
    <workbookView xWindow="-120" yWindow="-120" windowWidth="29040" windowHeight="15840" activeTab="9" xr2:uid="{00000000-000D-0000-FFFF-FFFF00000000}"/>
  </bookViews>
  <sheets>
    <sheet name="1kts" sheetId="10" r:id="rId1"/>
    <sheet name="5kts" sheetId="1" r:id="rId2"/>
    <sheet name="10kts" sheetId="2" r:id="rId3"/>
    <sheet name="15kts" sheetId="3" r:id="rId4"/>
    <sheet name="20kts" sheetId="4" r:id="rId5"/>
    <sheet name="25kts" sheetId="5" r:id="rId6"/>
    <sheet name="30kts" sheetId="6" r:id="rId7"/>
    <sheet name="35kts" sheetId="7" r:id="rId8"/>
    <sheet name="40kts" sheetId="8" r:id="rId9"/>
    <sheet name="Données géométriques" sheetId="9" r:id="rId10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'1kts'!$J$4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1" i="4" l="1"/>
  <c r="C32" i="4"/>
  <c r="C33" i="4"/>
  <c r="C34" i="4"/>
  <c r="C35" i="4"/>
  <c r="C36" i="4"/>
  <c r="C37" i="4"/>
  <c r="C38" i="4"/>
  <c r="C39" i="4"/>
  <c r="C40" i="4"/>
  <c r="C41" i="4"/>
  <c r="C42" i="4"/>
  <c r="C43" i="4"/>
  <c r="I5" i="4"/>
  <c r="J5" i="4"/>
  <c r="F33" i="4" l="1"/>
  <c r="F34" i="4"/>
  <c r="F35" i="4"/>
  <c r="F36" i="4"/>
  <c r="F37" i="4"/>
  <c r="F38" i="4"/>
  <c r="F39" i="4"/>
  <c r="F40" i="4"/>
  <c r="F41" i="4"/>
  <c r="F42" i="4"/>
  <c r="F43" i="4"/>
  <c r="F30" i="4"/>
  <c r="F31" i="4"/>
  <c r="F32" i="4"/>
  <c r="F29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4" i="4"/>
  <c r="L78" i="8" l="1"/>
  <c r="K78" i="8"/>
  <c r="J78" i="8"/>
  <c r="L77" i="8"/>
  <c r="K77" i="8"/>
  <c r="J77" i="8"/>
  <c r="L76" i="8"/>
  <c r="K76" i="8"/>
  <c r="J76" i="8"/>
  <c r="L75" i="8"/>
  <c r="K75" i="8"/>
  <c r="J75" i="8"/>
  <c r="L74" i="8"/>
  <c r="K74" i="8"/>
  <c r="J74" i="8"/>
  <c r="L73" i="8"/>
  <c r="K73" i="8"/>
  <c r="J73" i="8"/>
  <c r="L72" i="8"/>
  <c r="K72" i="8"/>
  <c r="J72" i="8"/>
  <c r="L71" i="8"/>
  <c r="K71" i="8"/>
  <c r="J71" i="8"/>
  <c r="L70" i="8"/>
  <c r="K70" i="8"/>
  <c r="J70" i="8"/>
  <c r="L69" i="8"/>
  <c r="K69" i="8"/>
  <c r="J69" i="8"/>
  <c r="L68" i="8"/>
  <c r="K68" i="8"/>
  <c r="J68" i="8"/>
  <c r="L67" i="8"/>
  <c r="K67" i="8"/>
  <c r="J67" i="8"/>
  <c r="L66" i="8"/>
  <c r="K66" i="8"/>
  <c r="J66" i="8"/>
  <c r="L65" i="8"/>
  <c r="K65" i="8"/>
  <c r="J65" i="8"/>
  <c r="L64" i="8"/>
  <c r="K64" i="8"/>
  <c r="J64" i="8"/>
  <c r="L63" i="8"/>
  <c r="K63" i="8"/>
  <c r="J63" i="8"/>
  <c r="L62" i="8"/>
  <c r="K62" i="8"/>
  <c r="J62" i="8"/>
  <c r="L61" i="8"/>
  <c r="K61" i="8"/>
  <c r="J61" i="8"/>
  <c r="L60" i="8"/>
  <c r="K60" i="8"/>
  <c r="J60" i="8"/>
  <c r="L59" i="8"/>
  <c r="K59" i="8"/>
  <c r="J59" i="8"/>
  <c r="L58" i="8"/>
  <c r="K58" i="8"/>
  <c r="J58" i="8"/>
  <c r="L57" i="8"/>
  <c r="K57" i="8"/>
  <c r="J57" i="8"/>
  <c r="L56" i="8"/>
  <c r="K56" i="8"/>
  <c r="J56" i="8"/>
  <c r="L55" i="8"/>
  <c r="K55" i="8"/>
  <c r="J55" i="8"/>
  <c r="L54" i="8"/>
  <c r="K54" i="8"/>
  <c r="J54" i="8"/>
  <c r="L53" i="8"/>
  <c r="K53" i="8"/>
  <c r="J53" i="8"/>
  <c r="L52" i="8"/>
  <c r="K52" i="8"/>
  <c r="J52" i="8"/>
  <c r="L51" i="8"/>
  <c r="K51" i="8"/>
  <c r="J51" i="8"/>
  <c r="L50" i="8"/>
  <c r="K50" i="8"/>
  <c r="J50" i="8"/>
  <c r="L49" i="8"/>
  <c r="K49" i="8"/>
  <c r="J49" i="8"/>
  <c r="L48" i="8"/>
  <c r="K48" i="8"/>
  <c r="J48" i="8"/>
  <c r="L47" i="8"/>
  <c r="K47" i="8"/>
  <c r="J47" i="8"/>
  <c r="L46" i="8"/>
  <c r="K46" i="8"/>
  <c r="J46" i="8"/>
  <c r="L45" i="8"/>
  <c r="K45" i="8"/>
  <c r="J45" i="8"/>
  <c r="L44" i="8"/>
  <c r="K44" i="8"/>
  <c r="J44" i="8"/>
  <c r="L43" i="8"/>
  <c r="K43" i="8"/>
  <c r="J43" i="8"/>
  <c r="L42" i="8"/>
  <c r="K42" i="8"/>
  <c r="J42" i="8"/>
  <c r="L41" i="8"/>
  <c r="K41" i="8"/>
  <c r="J41" i="8"/>
  <c r="L40" i="8"/>
  <c r="K40" i="8"/>
  <c r="J40" i="8"/>
  <c r="L39" i="8"/>
  <c r="K39" i="8"/>
  <c r="J39" i="8"/>
  <c r="L38" i="8"/>
  <c r="K38" i="8"/>
  <c r="J38" i="8"/>
  <c r="L37" i="8"/>
  <c r="K37" i="8"/>
  <c r="J37" i="8"/>
  <c r="L36" i="8"/>
  <c r="K36" i="8"/>
  <c r="J36" i="8"/>
  <c r="L78" i="7"/>
  <c r="K78" i="7"/>
  <c r="J78" i="7"/>
  <c r="L77" i="7"/>
  <c r="K77" i="7"/>
  <c r="J77" i="7"/>
  <c r="L76" i="7"/>
  <c r="K76" i="7"/>
  <c r="J76" i="7"/>
  <c r="L75" i="7"/>
  <c r="K75" i="7"/>
  <c r="J75" i="7"/>
  <c r="L74" i="7"/>
  <c r="K74" i="7"/>
  <c r="J74" i="7"/>
  <c r="L73" i="7"/>
  <c r="K73" i="7"/>
  <c r="J73" i="7"/>
  <c r="L72" i="7"/>
  <c r="K72" i="7"/>
  <c r="J72" i="7"/>
  <c r="L71" i="7"/>
  <c r="K71" i="7"/>
  <c r="J71" i="7"/>
  <c r="L70" i="7"/>
  <c r="K70" i="7"/>
  <c r="J70" i="7"/>
  <c r="L69" i="7"/>
  <c r="K69" i="7"/>
  <c r="J69" i="7"/>
  <c r="L68" i="7"/>
  <c r="K68" i="7"/>
  <c r="J68" i="7"/>
  <c r="L67" i="7"/>
  <c r="K67" i="7"/>
  <c r="J67" i="7"/>
  <c r="L66" i="7"/>
  <c r="K66" i="7"/>
  <c r="J66" i="7"/>
  <c r="L65" i="7"/>
  <c r="K65" i="7"/>
  <c r="J65" i="7"/>
  <c r="L64" i="7"/>
  <c r="K64" i="7"/>
  <c r="J64" i="7"/>
  <c r="L63" i="7"/>
  <c r="K63" i="7"/>
  <c r="J63" i="7"/>
  <c r="L62" i="7"/>
  <c r="K62" i="7"/>
  <c r="J62" i="7"/>
  <c r="L61" i="7"/>
  <c r="K61" i="7"/>
  <c r="J61" i="7"/>
  <c r="L60" i="7"/>
  <c r="K60" i="7"/>
  <c r="J60" i="7"/>
  <c r="L59" i="7"/>
  <c r="K59" i="7"/>
  <c r="J59" i="7"/>
  <c r="L58" i="7"/>
  <c r="K58" i="7"/>
  <c r="J58" i="7"/>
  <c r="L57" i="7"/>
  <c r="K57" i="7"/>
  <c r="J57" i="7"/>
  <c r="L56" i="7"/>
  <c r="K56" i="7"/>
  <c r="J56" i="7"/>
  <c r="L55" i="7"/>
  <c r="K55" i="7"/>
  <c r="J55" i="7"/>
  <c r="L54" i="7"/>
  <c r="K54" i="7"/>
  <c r="J54" i="7"/>
  <c r="L53" i="7"/>
  <c r="K53" i="7"/>
  <c r="J53" i="7"/>
  <c r="L52" i="7"/>
  <c r="K52" i="7"/>
  <c r="J52" i="7"/>
  <c r="L51" i="7"/>
  <c r="K51" i="7"/>
  <c r="J51" i="7"/>
  <c r="L50" i="7"/>
  <c r="K50" i="7"/>
  <c r="J50" i="7"/>
  <c r="L49" i="7"/>
  <c r="K49" i="7"/>
  <c r="J49" i="7"/>
  <c r="L48" i="7"/>
  <c r="K48" i="7"/>
  <c r="J48" i="7"/>
  <c r="L47" i="7"/>
  <c r="K47" i="7"/>
  <c r="J47" i="7"/>
  <c r="L46" i="7"/>
  <c r="K46" i="7"/>
  <c r="J46" i="7"/>
  <c r="L45" i="7"/>
  <c r="K45" i="7"/>
  <c r="J45" i="7"/>
  <c r="L44" i="7"/>
  <c r="K44" i="7"/>
  <c r="J44" i="7"/>
  <c r="L43" i="7"/>
  <c r="K43" i="7"/>
  <c r="J43" i="7"/>
  <c r="L42" i="7"/>
  <c r="K42" i="7"/>
  <c r="J42" i="7"/>
  <c r="L41" i="7"/>
  <c r="K41" i="7"/>
  <c r="J41" i="7"/>
  <c r="L40" i="7"/>
  <c r="K40" i="7"/>
  <c r="J40" i="7"/>
  <c r="L39" i="7"/>
  <c r="K39" i="7"/>
  <c r="J39" i="7"/>
  <c r="L38" i="7"/>
  <c r="K38" i="7"/>
  <c r="J38" i="7"/>
  <c r="L37" i="7"/>
  <c r="K37" i="7"/>
  <c r="J37" i="7"/>
  <c r="L36" i="7"/>
  <c r="K36" i="7"/>
  <c r="J36" i="7"/>
  <c r="L35" i="7"/>
  <c r="K35" i="7"/>
  <c r="J35" i="7"/>
  <c r="L34" i="7"/>
  <c r="K34" i="7"/>
  <c r="J34" i="7"/>
  <c r="J35" i="6"/>
  <c r="K35" i="6"/>
  <c r="L35" i="6"/>
  <c r="J36" i="6"/>
  <c r="K36" i="6"/>
  <c r="L36" i="6"/>
  <c r="J37" i="6"/>
  <c r="K37" i="6"/>
  <c r="L37" i="6"/>
  <c r="J38" i="6"/>
  <c r="K38" i="6"/>
  <c r="L38" i="6"/>
  <c r="J39" i="6"/>
  <c r="K39" i="6"/>
  <c r="L39" i="6"/>
  <c r="J40" i="6"/>
  <c r="K40" i="6"/>
  <c r="L40" i="6"/>
  <c r="J41" i="6"/>
  <c r="K41" i="6"/>
  <c r="L41" i="6"/>
  <c r="J42" i="6"/>
  <c r="K42" i="6"/>
  <c r="L42" i="6"/>
  <c r="J43" i="6"/>
  <c r="K43" i="6"/>
  <c r="L43" i="6"/>
  <c r="J44" i="6"/>
  <c r="K44" i="6"/>
  <c r="L44" i="6"/>
  <c r="J45" i="6"/>
  <c r="K45" i="6"/>
  <c r="L45" i="6"/>
  <c r="J46" i="6"/>
  <c r="K46" i="6"/>
  <c r="L46" i="6"/>
  <c r="J47" i="6"/>
  <c r="K47" i="6"/>
  <c r="L47" i="6"/>
  <c r="J48" i="6"/>
  <c r="K48" i="6"/>
  <c r="L48" i="6"/>
  <c r="J49" i="6"/>
  <c r="K49" i="6"/>
  <c r="L49" i="6"/>
  <c r="J50" i="6"/>
  <c r="K50" i="6"/>
  <c r="L50" i="6"/>
  <c r="J51" i="6"/>
  <c r="K51" i="6"/>
  <c r="L51" i="6"/>
  <c r="J52" i="6"/>
  <c r="K52" i="6"/>
  <c r="L52" i="6"/>
  <c r="J53" i="6"/>
  <c r="K53" i="6"/>
  <c r="L53" i="6"/>
  <c r="J54" i="6"/>
  <c r="K54" i="6"/>
  <c r="L54" i="6"/>
  <c r="J55" i="6"/>
  <c r="K55" i="6"/>
  <c r="L55" i="6"/>
  <c r="J56" i="6"/>
  <c r="K56" i="6"/>
  <c r="L56" i="6"/>
  <c r="J57" i="6"/>
  <c r="K57" i="6"/>
  <c r="L57" i="6"/>
  <c r="J58" i="6"/>
  <c r="K58" i="6"/>
  <c r="L58" i="6"/>
  <c r="J59" i="6"/>
  <c r="K59" i="6"/>
  <c r="L59" i="6"/>
  <c r="J60" i="6"/>
  <c r="K60" i="6"/>
  <c r="L60" i="6"/>
  <c r="J61" i="6"/>
  <c r="K61" i="6"/>
  <c r="L61" i="6"/>
  <c r="J62" i="6"/>
  <c r="K62" i="6"/>
  <c r="L62" i="6"/>
  <c r="J63" i="6"/>
  <c r="K63" i="6"/>
  <c r="L63" i="6"/>
  <c r="J64" i="6"/>
  <c r="K64" i="6"/>
  <c r="L64" i="6"/>
  <c r="J65" i="6"/>
  <c r="K65" i="6"/>
  <c r="L65" i="6"/>
  <c r="J66" i="6"/>
  <c r="K66" i="6"/>
  <c r="L66" i="6"/>
  <c r="J67" i="6"/>
  <c r="K67" i="6"/>
  <c r="L67" i="6"/>
  <c r="J68" i="6"/>
  <c r="K68" i="6"/>
  <c r="L68" i="6"/>
  <c r="J69" i="6"/>
  <c r="K69" i="6"/>
  <c r="L69" i="6"/>
  <c r="J70" i="6"/>
  <c r="K70" i="6"/>
  <c r="L70" i="6"/>
  <c r="J71" i="6"/>
  <c r="K71" i="6"/>
  <c r="L71" i="6"/>
  <c r="J72" i="6"/>
  <c r="K72" i="6"/>
  <c r="L72" i="6"/>
  <c r="J73" i="6"/>
  <c r="K73" i="6"/>
  <c r="L73" i="6"/>
  <c r="J74" i="6"/>
  <c r="K74" i="6"/>
  <c r="L74" i="6"/>
  <c r="J75" i="6"/>
  <c r="K75" i="6"/>
  <c r="L75" i="6"/>
  <c r="J76" i="6"/>
  <c r="K76" i="6"/>
  <c r="L76" i="6"/>
  <c r="J77" i="6"/>
  <c r="K77" i="6"/>
  <c r="L77" i="6"/>
  <c r="J78" i="6"/>
  <c r="K78" i="6"/>
  <c r="L78" i="6"/>
  <c r="J79" i="6"/>
  <c r="K79" i="6"/>
  <c r="L79" i="6"/>
  <c r="L34" i="6"/>
  <c r="K34" i="6"/>
  <c r="J34" i="6"/>
  <c r="J34" i="5"/>
  <c r="K34" i="5"/>
  <c r="L34" i="5"/>
  <c r="J35" i="5"/>
  <c r="K35" i="5"/>
  <c r="L35" i="5"/>
  <c r="J36" i="5"/>
  <c r="K36" i="5"/>
  <c r="L36" i="5"/>
  <c r="J37" i="5"/>
  <c r="K37" i="5"/>
  <c r="L37" i="5"/>
  <c r="J38" i="5"/>
  <c r="K38" i="5"/>
  <c r="L38" i="5"/>
  <c r="J39" i="5"/>
  <c r="K39" i="5"/>
  <c r="L39" i="5"/>
  <c r="J40" i="5"/>
  <c r="K40" i="5"/>
  <c r="L40" i="5"/>
  <c r="J41" i="5"/>
  <c r="K41" i="5"/>
  <c r="L41" i="5"/>
  <c r="J42" i="5"/>
  <c r="K42" i="5"/>
  <c r="L42" i="5"/>
  <c r="J43" i="5"/>
  <c r="K43" i="5"/>
  <c r="L43" i="5"/>
  <c r="J44" i="5"/>
  <c r="K44" i="5"/>
  <c r="L44" i="5"/>
  <c r="J45" i="5"/>
  <c r="K45" i="5"/>
  <c r="L45" i="5"/>
  <c r="J46" i="5"/>
  <c r="K46" i="5"/>
  <c r="L46" i="5"/>
  <c r="J47" i="5"/>
  <c r="K47" i="5"/>
  <c r="L47" i="5"/>
  <c r="J48" i="5"/>
  <c r="K48" i="5"/>
  <c r="L48" i="5"/>
  <c r="J49" i="5"/>
  <c r="K49" i="5"/>
  <c r="L49" i="5"/>
  <c r="J50" i="5"/>
  <c r="K50" i="5"/>
  <c r="L50" i="5"/>
  <c r="J51" i="5"/>
  <c r="K51" i="5"/>
  <c r="L51" i="5"/>
  <c r="J52" i="5"/>
  <c r="K52" i="5"/>
  <c r="L52" i="5"/>
  <c r="J53" i="5"/>
  <c r="K53" i="5"/>
  <c r="L53" i="5"/>
  <c r="J54" i="5"/>
  <c r="K54" i="5"/>
  <c r="L54" i="5"/>
  <c r="J55" i="5"/>
  <c r="K55" i="5"/>
  <c r="L55" i="5"/>
  <c r="J56" i="5"/>
  <c r="K56" i="5"/>
  <c r="L56" i="5"/>
  <c r="J57" i="5"/>
  <c r="K57" i="5"/>
  <c r="L57" i="5"/>
  <c r="J58" i="5"/>
  <c r="K58" i="5"/>
  <c r="L58" i="5"/>
  <c r="J59" i="5"/>
  <c r="K59" i="5"/>
  <c r="L59" i="5"/>
  <c r="J60" i="5"/>
  <c r="K60" i="5"/>
  <c r="L60" i="5"/>
  <c r="J61" i="5"/>
  <c r="K61" i="5"/>
  <c r="L61" i="5"/>
  <c r="J62" i="5"/>
  <c r="K62" i="5"/>
  <c r="L62" i="5"/>
  <c r="J63" i="5"/>
  <c r="K63" i="5"/>
  <c r="L63" i="5"/>
  <c r="J64" i="5"/>
  <c r="K64" i="5"/>
  <c r="L64" i="5"/>
  <c r="J65" i="5"/>
  <c r="K65" i="5"/>
  <c r="L65" i="5"/>
  <c r="J66" i="5"/>
  <c r="K66" i="5"/>
  <c r="L66" i="5"/>
  <c r="J67" i="5"/>
  <c r="K67" i="5"/>
  <c r="L67" i="5"/>
  <c r="J68" i="5"/>
  <c r="K68" i="5"/>
  <c r="L68" i="5"/>
  <c r="J69" i="5"/>
  <c r="K69" i="5"/>
  <c r="L69" i="5"/>
  <c r="J70" i="5"/>
  <c r="K70" i="5"/>
  <c r="L70" i="5"/>
  <c r="J71" i="5"/>
  <c r="K71" i="5"/>
  <c r="L71" i="5"/>
  <c r="J72" i="5"/>
  <c r="K72" i="5"/>
  <c r="L72" i="5"/>
  <c r="J73" i="5"/>
  <c r="K73" i="5"/>
  <c r="L73" i="5"/>
  <c r="J74" i="5"/>
  <c r="K74" i="5"/>
  <c r="L74" i="5"/>
  <c r="J75" i="5"/>
  <c r="K75" i="5"/>
  <c r="L75" i="5"/>
  <c r="J76" i="5"/>
  <c r="K76" i="5"/>
  <c r="L76" i="5"/>
  <c r="J77" i="5"/>
  <c r="K77" i="5"/>
  <c r="L77" i="5"/>
  <c r="L33" i="5"/>
  <c r="K33" i="5"/>
  <c r="J33" i="5"/>
  <c r="L78" i="4"/>
  <c r="K78" i="4"/>
  <c r="J78" i="4"/>
  <c r="L77" i="4"/>
  <c r="K77" i="4"/>
  <c r="J77" i="4"/>
  <c r="L76" i="4"/>
  <c r="K76" i="4"/>
  <c r="J76" i="4"/>
  <c r="L75" i="4"/>
  <c r="K75" i="4"/>
  <c r="J75" i="4"/>
  <c r="L74" i="4"/>
  <c r="K74" i="4"/>
  <c r="J74" i="4"/>
  <c r="L73" i="4"/>
  <c r="K73" i="4"/>
  <c r="J73" i="4"/>
  <c r="L72" i="4"/>
  <c r="K72" i="4"/>
  <c r="J72" i="4"/>
  <c r="L71" i="4"/>
  <c r="K71" i="4"/>
  <c r="J71" i="4"/>
  <c r="L70" i="4"/>
  <c r="K70" i="4"/>
  <c r="J70" i="4"/>
  <c r="L69" i="4"/>
  <c r="K69" i="4"/>
  <c r="J69" i="4"/>
  <c r="L68" i="4"/>
  <c r="K68" i="4"/>
  <c r="J68" i="4"/>
  <c r="L67" i="4"/>
  <c r="K67" i="4"/>
  <c r="J67" i="4"/>
  <c r="L66" i="4"/>
  <c r="K66" i="4"/>
  <c r="J66" i="4"/>
  <c r="L65" i="4"/>
  <c r="K65" i="4"/>
  <c r="J65" i="4"/>
  <c r="L64" i="4"/>
  <c r="K64" i="4"/>
  <c r="J64" i="4"/>
  <c r="L63" i="4"/>
  <c r="K63" i="4"/>
  <c r="J63" i="4"/>
  <c r="L62" i="4"/>
  <c r="K62" i="4"/>
  <c r="J62" i="4"/>
  <c r="L61" i="4"/>
  <c r="K61" i="4"/>
  <c r="J61" i="4"/>
  <c r="L60" i="4"/>
  <c r="K60" i="4"/>
  <c r="J60" i="4"/>
  <c r="L59" i="4"/>
  <c r="K59" i="4"/>
  <c r="J59" i="4"/>
  <c r="L58" i="4"/>
  <c r="K58" i="4"/>
  <c r="J58" i="4"/>
  <c r="L57" i="4"/>
  <c r="K57" i="4"/>
  <c r="J57" i="4"/>
  <c r="L56" i="4"/>
  <c r="K56" i="4"/>
  <c r="J56" i="4"/>
  <c r="L55" i="4"/>
  <c r="K55" i="4"/>
  <c r="J55" i="4"/>
  <c r="L54" i="4"/>
  <c r="K54" i="4"/>
  <c r="J54" i="4"/>
  <c r="L53" i="4"/>
  <c r="K53" i="4"/>
  <c r="J53" i="4"/>
  <c r="L52" i="4"/>
  <c r="K52" i="4"/>
  <c r="J52" i="4"/>
  <c r="L51" i="4"/>
  <c r="K51" i="4"/>
  <c r="J51" i="4"/>
  <c r="L50" i="4"/>
  <c r="K50" i="4"/>
  <c r="J50" i="4"/>
  <c r="L49" i="4"/>
  <c r="K49" i="4"/>
  <c r="J49" i="4"/>
  <c r="L48" i="4"/>
  <c r="K48" i="4"/>
  <c r="J48" i="4"/>
  <c r="L47" i="4"/>
  <c r="K47" i="4"/>
  <c r="J47" i="4"/>
  <c r="L46" i="4"/>
  <c r="K46" i="4"/>
  <c r="J46" i="4"/>
  <c r="L45" i="4"/>
  <c r="K45" i="4"/>
  <c r="J45" i="4"/>
  <c r="L44" i="4"/>
  <c r="K44" i="4"/>
  <c r="J44" i="4"/>
  <c r="L43" i="4"/>
  <c r="K43" i="4"/>
  <c r="J43" i="4"/>
  <c r="L42" i="4"/>
  <c r="K42" i="4"/>
  <c r="J42" i="4"/>
  <c r="L41" i="4"/>
  <c r="K41" i="4"/>
  <c r="J41" i="4"/>
  <c r="L40" i="4"/>
  <c r="K40" i="4"/>
  <c r="J40" i="4"/>
  <c r="L39" i="4"/>
  <c r="K39" i="4"/>
  <c r="J39" i="4"/>
  <c r="L38" i="4"/>
  <c r="K38" i="4"/>
  <c r="J38" i="4"/>
  <c r="L37" i="4"/>
  <c r="K37" i="4"/>
  <c r="J37" i="4"/>
  <c r="L36" i="4"/>
  <c r="K36" i="4"/>
  <c r="J36" i="4"/>
  <c r="L35" i="4"/>
  <c r="K35" i="4"/>
  <c r="J35" i="4"/>
  <c r="L34" i="4"/>
  <c r="K34" i="4"/>
  <c r="J34" i="4"/>
  <c r="L33" i="4"/>
  <c r="K33" i="4"/>
  <c r="J33" i="4"/>
  <c r="L32" i="4"/>
  <c r="K32" i="4"/>
  <c r="J32" i="4"/>
  <c r="L31" i="4"/>
  <c r="K31" i="4"/>
  <c r="J31" i="4"/>
  <c r="L78" i="3"/>
  <c r="K78" i="3"/>
  <c r="J78" i="3"/>
  <c r="L77" i="3"/>
  <c r="K77" i="3"/>
  <c r="J77" i="3"/>
  <c r="L76" i="3"/>
  <c r="K76" i="3"/>
  <c r="J76" i="3"/>
  <c r="L75" i="3"/>
  <c r="K75" i="3"/>
  <c r="J75" i="3"/>
  <c r="L74" i="3"/>
  <c r="K74" i="3"/>
  <c r="J74" i="3"/>
  <c r="L73" i="3"/>
  <c r="K73" i="3"/>
  <c r="J73" i="3"/>
  <c r="L72" i="3"/>
  <c r="K72" i="3"/>
  <c r="J72" i="3"/>
  <c r="L71" i="3"/>
  <c r="K71" i="3"/>
  <c r="J71" i="3"/>
  <c r="L70" i="3"/>
  <c r="K70" i="3"/>
  <c r="J70" i="3"/>
  <c r="L69" i="3"/>
  <c r="K69" i="3"/>
  <c r="J69" i="3"/>
  <c r="L68" i="3"/>
  <c r="K68" i="3"/>
  <c r="J68" i="3"/>
  <c r="L67" i="3"/>
  <c r="K67" i="3"/>
  <c r="J67" i="3"/>
  <c r="L66" i="3"/>
  <c r="K66" i="3"/>
  <c r="J66" i="3"/>
  <c r="L65" i="3"/>
  <c r="K65" i="3"/>
  <c r="J65" i="3"/>
  <c r="L64" i="3"/>
  <c r="K64" i="3"/>
  <c r="J64" i="3"/>
  <c r="L63" i="3"/>
  <c r="K63" i="3"/>
  <c r="J63" i="3"/>
  <c r="L62" i="3"/>
  <c r="K62" i="3"/>
  <c r="J62" i="3"/>
  <c r="L61" i="3"/>
  <c r="K61" i="3"/>
  <c r="J61" i="3"/>
  <c r="L60" i="3"/>
  <c r="K60" i="3"/>
  <c r="J60" i="3"/>
  <c r="L59" i="3"/>
  <c r="K59" i="3"/>
  <c r="J59" i="3"/>
  <c r="L58" i="3"/>
  <c r="K58" i="3"/>
  <c r="J58" i="3"/>
  <c r="L57" i="3"/>
  <c r="K57" i="3"/>
  <c r="J57" i="3"/>
  <c r="L56" i="3"/>
  <c r="K56" i="3"/>
  <c r="J56" i="3"/>
  <c r="L55" i="3"/>
  <c r="K55" i="3"/>
  <c r="J55" i="3"/>
  <c r="L54" i="3"/>
  <c r="K54" i="3"/>
  <c r="J54" i="3"/>
  <c r="L53" i="3"/>
  <c r="K53" i="3"/>
  <c r="J53" i="3"/>
  <c r="L52" i="3"/>
  <c r="K52" i="3"/>
  <c r="J52" i="3"/>
  <c r="L51" i="3"/>
  <c r="K51" i="3"/>
  <c r="J51" i="3"/>
  <c r="L50" i="3"/>
  <c r="K50" i="3"/>
  <c r="J50" i="3"/>
  <c r="L49" i="3"/>
  <c r="K49" i="3"/>
  <c r="J49" i="3"/>
  <c r="L48" i="3"/>
  <c r="K48" i="3"/>
  <c r="J48" i="3"/>
  <c r="L47" i="3"/>
  <c r="K47" i="3"/>
  <c r="J47" i="3"/>
  <c r="L46" i="3"/>
  <c r="K46" i="3"/>
  <c r="J46" i="3"/>
  <c r="L45" i="3"/>
  <c r="K45" i="3"/>
  <c r="J45" i="3"/>
  <c r="L44" i="3"/>
  <c r="K44" i="3"/>
  <c r="J44" i="3"/>
  <c r="L43" i="3"/>
  <c r="K43" i="3"/>
  <c r="J43" i="3"/>
  <c r="L42" i="3"/>
  <c r="K42" i="3"/>
  <c r="J42" i="3"/>
  <c r="L41" i="3"/>
  <c r="K41" i="3"/>
  <c r="J41" i="3"/>
  <c r="L40" i="3"/>
  <c r="K40" i="3"/>
  <c r="J40" i="3"/>
  <c r="L39" i="3"/>
  <c r="K39" i="3"/>
  <c r="J39" i="3"/>
  <c r="L38" i="3"/>
  <c r="K38" i="3"/>
  <c r="J38" i="3"/>
  <c r="L37" i="3"/>
  <c r="K37" i="3"/>
  <c r="J37" i="3"/>
  <c r="L36" i="3"/>
  <c r="K36" i="3"/>
  <c r="J36" i="3"/>
  <c r="L35" i="3"/>
  <c r="K35" i="3"/>
  <c r="J35" i="3"/>
  <c r="L34" i="3"/>
  <c r="K34" i="3"/>
  <c r="J34" i="3"/>
  <c r="L33" i="3"/>
  <c r="K33" i="3"/>
  <c r="J33" i="3"/>
  <c r="L32" i="3"/>
  <c r="K32" i="3"/>
  <c r="J32" i="3"/>
  <c r="L31" i="3"/>
  <c r="K31" i="3"/>
  <c r="J31" i="3"/>
  <c r="J30" i="2"/>
  <c r="K30" i="2"/>
  <c r="L30" i="2"/>
  <c r="J31" i="2"/>
  <c r="K31" i="2"/>
  <c r="L31" i="2"/>
  <c r="J32" i="2"/>
  <c r="K32" i="2"/>
  <c r="L32" i="2"/>
  <c r="J33" i="2"/>
  <c r="K33" i="2"/>
  <c r="L33" i="2"/>
  <c r="J34" i="2"/>
  <c r="K34" i="2"/>
  <c r="L34" i="2"/>
  <c r="J35" i="2"/>
  <c r="K35" i="2"/>
  <c r="L35" i="2"/>
  <c r="J36" i="2"/>
  <c r="K36" i="2"/>
  <c r="L36" i="2"/>
  <c r="J37" i="2"/>
  <c r="K37" i="2"/>
  <c r="L37" i="2"/>
  <c r="J38" i="2"/>
  <c r="K38" i="2"/>
  <c r="L38" i="2"/>
  <c r="J39" i="2"/>
  <c r="K39" i="2"/>
  <c r="L39" i="2"/>
  <c r="J40" i="2"/>
  <c r="K40" i="2"/>
  <c r="L40" i="2"/>
  <c r="J41" i="2"/>
  <c r="K41" i="2"/>
  <c r="L41" i="2"/>
  <c r="J42" i="2"/>
  <c r="K42" i="2"/>
  <c r="L42" i="2"/>
  <c r="J43" i="2"/>
  <c r="K43" i="2"/>
  <c r="L43" i="2"/>
  <c r="J44" i="2"/>
  <c r="K44" i="2"/>
  <c r="L44" i="2"/>
  <c r="J45" i="2"/>
  <c r="K45" i="2"/>
  <c r="L45" i="2"/>
  <c r="J46" i="2"/>
  <c r="K46" i="2"/>
  <c r="L46" i="2"/>
  <c r="J47" i="2"/>
  <c r="K47" i="2"/>
  <c r="L47" i="2"/>
  <c r="J48" i="2"/>
  <c r="K48" i="2"/>
  <c r="L48" i="2"/>
  <c r="J49" i="2"/>
  <c r="K49" i="2"/>
  <c r="L49" i="2"/>
  <c r="J50" i="2"/>
  <c r="K50" i="2"/>
  <c r="L50" i="2"/>
  <c r="J51" i="2"/>
  <c r="K51" i="2"/>
  <c r="L51" i="2"/>
  <c r="J52" i="2"/>
  <c r="K52" i="2"/>
  <c r="L52" i="2"/>
  <c r="J53" i="2"/>
  <c r="K53" i="2"/>
  <c r="L53" i="2"/>
  <c r="J54" i="2"/>
  <c r="K54" i="2"/>
  <c r="L54" i="2"/>
  <c r="J55" i="2"/>
  <c r="K55" i="2"/>
  <c r="L55" i="2"/>
  <c r="J56" i="2"/>
  <c r="K56" i="2"/>
  <c r="L56" i="2"/>
  <c r="J57" i="2"/>
  <c r="K57" i="2"/>
  <c r="L57" i="2"/>
  <c r="J58" i="2"/>
  <c r="K58" i="2"/>
  <c r="L58" i="2"/>
  <c r="J59" i="2"/>
  <c r="K59" i="2"/>
  <c r="L59" i="2"/>
  <c r="J60" i="2"/>
  <c r="K60" i="2"/>
  <c r="L60" i="2"/>
  <c r="J61" i="2"/>
  <c r="K61" i="2"/>
  <c r="L61" i="2"/>
  <c r="J62" i="2"/>
  <c r="K62" i="2"/>
  <c r="L62" i="2"/>
  <c r="J63" i="2"/>
  <c r="K63" i="2"/>
  <c r="L63" i="2"/>
  <c r="J64" i="2"/>
  <c r="K64" i="2"/>
  <c r="L64" i="2"/>
  <c r="J65" i="2"/>
  <c r="K65" i="2"/>
  <c r="L65" i="2"/>
  <c r="J66" i="2"/>
  <c r="K66" i="2"/>
  <c r="L66" i="2"/>
  <c r="J67" i="2"/>
  <c r="K67" i="2"/>
  <c r="L67" i="2"/>
  <c r="J68" i="2"/>
  <c r="K68" i="2"/>
  <c r="L68" i="2"/>
  <c r="J69" i="2"/>
  <c r="K69" i="2"/>
  <c r="L69" i="2"/>
  <c r="J70" i="2"/>
  <c r="K70" i="2"/>
  <c r="L70" i="2"/>
  <c r="J71" i="2"/>
  <c r="K71" i="2"/>
  <c r="L71" i="2"/>
  <c r="J72" i="2"/>
  <c r="K72" i="2"/>
  <c r="L72" i="2"/>
  <c r="J73" i="2"/>
  <c r="K73" i="2"/>
  <c r="L73" i="2"/>
  <c r="J74" i="2"/>
  <c r="K74" i="2"/>
  <c r="L74" i="2"/>
  <c r="J75" i="2"/>
  <c r="K75" i="2"/>
  <c r="L75" i="2"/>
  <c r="J76" i="2"/>
  <c r="K76" i="2"/>
  <c r="L76" i="2"/>
  <c r="J77" i="2"/>
  <c r="K77" i="2"/>
  <c r="L77" i="2"/>
  <c r="J78" i="2"/>
  <c r="K78" i="2"/>
  <c r="L78" i="2"/>
  <c r="L29" i="2"/>
  <c r="K29" i="2"/>
  <c r="J29" i="2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26" i="1"/>
  <c r="L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26" i="1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K24" i="10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23" i="10"/>
  <c r="K22" i="10"/>
  <c r="B25" i="9"/>
  <c r="B24" i="9"/>
  <c r="B23" i="9"/>
  <c r="J22" i="10"/>
  <c r="B21" i="9"/>
  <c r="B20" i="9"/>
  <c r="B19" i="9"/>
  <c r="J23" i="10"/>
  <c r="J24" i="10" s="1"/>
  <c r="J25" i="10" s="1"/>
  <c r="J26" i="10" s="1"/>
  <c r="J27" i="10" s="1"/>
  <c r="J28" i="10" s="1"/>
  <c r="J29" i="10" s="1"/>
  <c r="J30" i="10" s="1"/>
  <c r="J31" i="10" s="1"/>
  <c r="J32" i="10" s="1"/>
  <c r="J33" i="10" s="1"/>
  <c r="J34" i="10" s="1"/>
  <c r="J35" i="10" s="1"/>
  <c r="J36" i="10" s="1"/>
  <c r="J37" i="10" s="1"/>
  <c r="J38" i="10" s="1"/>
  <c r="J39" i="10" s="1"/>
  <c r="J40" i="10" s="1"/>
  <c r="J41" i="10" s="1"/>
  <c r="J42" i="10" s="1"/>
  <c r="J43" i="10" s="1"/>
  <c r="J44" i="10" s="1"/>
  <c r="J45" i="10" s="1"/>
  <c r="J46" i="10" s="1"/>
  <c r="J47" i="10" s="1"/>
  <c r="J48" i="10" s="1"/>
  <c r="J49" i="10" s="1"/>
  <c r="J50" i="10" s="1"/>
  <c r="J51" i="10" s="1"/>
  <c r="J52" i="10" s="1"/>
  <c r="J53" i="10" s="1"/>
  <c r="J54" i="10" s="1"/>
  <c r="J55" i="10" s="1"/>
  <c r="J56" i="10" s="1"/>
  <c r="J57" i="10" s="1"/>
  <c r="J58" i="10" s="1"/>
  <c r="J59" i="10" s="1"/>
  <c r="J60" i="10" s="1"/>
  <c r="J61" i="10" s="1"/>
  <c r="J62" i="10" s="1"/>
  <c r="J63" i="10" s="1"/>
  <c r="J64" i="10" s="1"/>
  <c r="J65" i="10" s="1"/>
  <c r="J66" i="10" s="1"/>
  <c r="J67" i="10" s="1"/>
  <c r="J68" i="10" s="1"/>
  <c r="J69" i="10" s="1"/>
  <c r="J70" i="10" s="1"/>
  <c r="J71" i="10" s="1"/>
  <c r="J72" i="10" s="1"/>
  <c r="J73" i="10" s="1"/>
  <c r="J74" i="10" s="1"/>
  <c r="J75" i="10" s="1"/>
  <c r="J76" i="10" s="1"/>
  <c r="J77" i="10" s="1"/>
  <c r="J78" i="10" s="1"/>
  <c r="B17" i="9"/>
  <c r="B15" i="9"/>
  <c r="B16" i="9"/>
  <c r="B14" i="9"/>
  <c r="H78" i="10"/>
  <c r="O2" i="3"/>
  <c r="O2" i="4"/>
  <c r="O2" i="5"/>
  <c r="F44" i="8"/>
  <c r="G44" i="8" s="1"/>
  <c r="H44" i="8" s="1"/>
  <c r="F45" i="8"/>
  <c r="G45" i="8" s="1"/>
  <c r="H45" i="8" s="1"/>
  <c r="F46" i="8"/>
  <c r="G46" i="8" s="1"/>
  <c r="H46" i="8" s="1"/>
  <c r="F47" i="8"/>
  <c r="G47" i="8" s="1"/>
  <c r="H47" i="8" s="1"/>
  <c r="F48" i="8"/>
  <c r="G48" i="8"/>
  <c r="H48" i="8"/>
  <c r="F49" i="8"/>
  <c r="G49" i="8"/>
  <c r="H49" i="8" s="1"/>
  <c r="F50" i="8"/>
  <c r="G50" i="8"/>
  <c r="H50" i="8" s="1"/>
  <c r="F51" i="8"/>
  <c r="G51" i="8"/>
  <c r="H51" i="8" s="1"/>
  <c r="F52" i="8"/>
  <c r="G52" i="8" s="1"/>
  <c r="H52" i="8" s="1"/>
  <c r="F53" i="8"/>
  <c r="G53" i="8" s="1"/>
  <c r="H53" i="8" s="1"/>
  <c r="F54" i="8"/>
  <c r="G54" i="8" s="1"/>
  <c r="H54" i="8" s="1"/>
  <c r="F55" i="8"/>
  <c r="G55" i="8" s="1"/>
  <c r="H55" i="8" s="1"/>
  <c r="F56" i="8"/>
  <c r="G56" i="8"/>
  <c r="H56" i="8"/>
  <c r="F57" i="8"/>
  <c r="G57" i="8"/>
  <c r="H57" i="8" s="1"/>
  <c r="F58" i="8"/>
  <c r="G58" i="8"/>
  <c r="H58" i="8" s="1"/>
  <c r="F59" i="8"/>
  <c r="G59" i="8"/>
  <c r="H59" i="8" s="1"/>
  <c r="F60" i="8"/>
  <c r="G60" i="8" s="1"/>
  <c r="H60" i="8" s="1"/>
  <c r="F61" i="8"/>
  <c r="G61" i="8" s="1"/>
  <c r="H61" i="8" s="1"/>
  <c r="F62" i="8"/>
  <c r="G62" i="8" s="1"/>
  <c r="H62" i="8" s="1"/>
  <c r="F63" i="8"/>
  <c r="G63" i="8" s="1"/>
  <c r="H63" i="8" s="1"/>
  <c r="F64" i="8"/>
  <c r="G64" i="8"/>
  <c r="H64" i="8"/>
  <c r="F65" i="8"/>
  <c r="G65" i="8"/>
  <c r="H65" i="8" s="1"/>
  <c r="F66" i="8"/>
  <c r="G66" i="8"/>
  <c r="H66" i="8" s="1"/>
  <c r="F67" i="8"/>
  <c r="G67" i="8"/>
  <c r="H67" i="8" s="1"/>
  <c r="F68" i="8"/>
  <c r="G68" i="8" s="1"/>
  <c r="H68" i="8" s="1"/>
  <c r="F69" i="8"/>
  <c r="G69" i="8" s="1"/>
  <c r="H69" i="8" s="1"/>
  <c r="F70" i="8"/>
  <c r="G70" i="8" s="1"/>
  <c r="H70" i="8" s="1"/>
  <c r="F71" i="8"/>
  <c r="G71" i="8" s="1"/>
  <c r="H71" i="8" s="1"/>
  <c r="F72" i="8"/>
  <c r="G72" i="8"/>
  <c r="H72" i="8"/>
  <c r="F73" i="8"/>
  <c r="G73" i="8"/>
  <c r="H73" i="8" s="1"/>
  <c r="F74" i="8"/>
  <c r="G74" i="8"/>
  <c r="H74" i="8" s="1"/>
  <c r="F75" i="8"/>
  <c r="G75" i="8"/>
  <c r="H75" i="8" s="1"/>
  <c r="F76" i="8"/>
  <c r="G76" i="8" s="1"/>
  <c r="H76" i="8" s="1"/>
  <c r="F77" i="8"/>
  <c r="G77" i="8" s="1"/>
  <c r="H77" i="8" s="1"/>
  <c r="F78" i="8"/>
  <c r="G78" i="8" s="1"/>
  <c r="H78" i="8" s="1"/>
  <c r="K27" i="8"/>
  <c r="K28" i="8" s="1"/>
  <c r="K29" i="8" s="1"/>
  <c r="K30" i="8" s="1"/>
  <c r="K31" i="8" s="1"/>
  <c r="K32" i="8" s="1"/>
  <c r="K33" i="8" s="1"/>
  <c r="K34" i="8" s="1"/>
  <c r="K35" i="8" s="1"/>
  <c r="K26" i="8"/>
  <c r="K27" i="7"/>
  <c r="K28" i="7"/>
  <c r="K29" i="7" s="1"/>
  <c r="K30" i="7" s="1"/>
  <c r="K31" i="7" s="1"/>
  <c r="K32" i="7" s="1"/>
  <c r="K33" i="7" s="1"/>
  <c r="K26" i="7"/>
  <c r="F44" i="7"/>
  <c r="G44" i="7"/>
  <c r="H44" i="7" s="1"/>
  <c r="F45" i="7"/>
  <c r="G45" i="7"/>
  <c r="H45" i="7" s="1"/>
  <c r="F46" i="7"/>
  <c r="G46" i="7"/>
  <c r="H46" i="7" s="1"/>
  <c r="F47" i="7"/>
  <c r="G47" i="7" s="1"/>
  <c r="H47" i="7" s="1"/>
  <c r="F48" i="7"/>
  <c r="G48" i="7" s="1"/>
  <c r="H48" i="7" s="1"/>
  <c r="F49" i="7"/>
  <c r="G49" i="7" s="1"/>
  <c r="H49" i="7" s="1"/>
  <c r="F50" i="7"/>
  <c r="G50" i="7"/>
  <c r="H50" i="7"/>
  <c r="F51" i="7"/>
  <c r="G51" i="7"/>
  <c r="H51" i="7"/>
  <c r="F52" i="7"/>
  <c r="G52" i="7"/>
  <c r="H52" i="7" s="1"/>
  <c r="F53" i="7"/>
  <c r="G53" i="7"/>
  <c r="H53" i="7" s="1"/>
  <c r="F54" i="7"/>
  <c r="G54" i="7"/>
  <c r="H54" i="7" s="1"/>
  <c r="F55" i="7"/>
  <c r="G55" i="7" s="1"/>
  <c r="H55" i="7" s="1"/>
  <c r="F56" i="7"/>
  <c r="G56" i="7" s="1"/>
  <c r="H56" i="7" s="1"/>
  <c r="F57" i="7"/>
  <c r="G57" i="7" s="1"/>
  <c r="H57" i="7" s="1"/>
  <c r="F58" i="7"/>
  <c r="G58" i="7"/>
  <c r="H58" i="7"/>
  <c r="F59" i="7"/>
  <c r="G59" i="7"/>
  <c r="H59" i="7"/>
  <c r="F60" i="7"/>
  <c r="G60" i="7"/>
  <c r="H60" i="7" s="1"/>
  <c r="F61" i="7"/>
  <c r="G61" i="7"/>
  <c r="H61" i="7" s="1"/>
  <c r="F62" i="7"/>
  <c r="G62" i="7"/>
  <c r="H62" i="7" s="1"/>
  <c r="F63" i="7"/>
  <c r="G63" i="7" s="1"/>
  <c r="H63" i="7" s="1"/>
  <c r="F64" i="7"/>
  <c r="G64" i="7" s="1"/>
  <c r="H64" i="7" s="1"/>
  <c r="F65" i="7"/>
  <c r="G65" i="7" s="1"/>
  <c r="H65" i="7" s="1"/>
  <c r="F66" i="7"/>
  <c r="G66" i="7"/>
  <c r="H66" i="7"/>
  <c r="F67" i="7"/>
  <c r="G67" i="7"/>
  <c r="H67" i="7"/>
  <c r="F68" i="7"/>
  <c r="G68" i="7"/>
  <c r="H68" i="7" s="1"/>
  <c r="F69" i="7"/>
  <c r="G69" i="7"/>
  <c r="H69" i="7" s="1"/>
  <c r="F70" i="7"/>
  <c r="G70" i="7"/>
  <c r="H70" i="7" s="1"/>
  <c r="F71" i="7"/>
  <c r="G71" i="7" s="1"/>
  <c r="H71" i="7" s="1"/>
  <c r="F72" i="7"/>
  <c r="G72" i="7" s="1"/>
  <c r="H72" i="7" s="1"/>
  <c r="F73" i="7"/>
  <c r="G73" i="7" s="1"/>
  <c r="H73" i="7" s="1"/>
  <c r="F74" i="7"/>
  <c r="G74" i="7"/>
  <c r="H74" i="7"/>
  <c r="F75" i="7"/>
  <c r="G75" i="7"/>
  <c r="H75" i="7"/>
  <c r="F76" i="7"/>
  <c r="G76" i="7"/>
  <c r="H76" i="7" s="1"/>
  <c r="F77" i="7"/>
  <c r="G77" i="7"/>
  <c r="H77" i="7" s="1"/>
  <c r="F78" i="7"/>
  <c r="G78" i="7"/>
  <c r="H78" i="7" s="1"/>
  <c r="F45" i="6"/>
  <c r="G45" i="6" s="1"/>
  <c r="H45" i="6" s="1"/>
  <c r="F46" i="6"/>
  <c r="G46" i="6" s="1"/>
  <c r="H46" i="6" s="1"/>
  <c r="F47" i="6"/>
  <c r="G47" i="6" s="1"/>
  <c r="H47" i="6" s="1"/>
  <c r="F48" i="6"/>
  <c r="G48" i="6" s="1"/>
  <c r="H48" i="6" s="1"/>
  <c r="F49" i="6"/>
  <c r="G49" i="6" s="1"/>
  <c r="H49" i="6" s="1"/>
  <c r="F50" i="6"/>
  <c r="G50" i="6"/>
  <c r="H50" i="6" s="1"/>
  <c r="F51" i="6"/>
  <c r="G51" i="6"/>
  <c r="H51" i="6" s="1"/>
  <c r="F52" i="6"/>
  <c r="G52" i="6"/>
  <c r="H52" i="6" s="1"/>
  <c r="F53" i="6"/>
  <c r="G53" i="6" s="1"/>
  <c r="H53" i="6" s="1"/>
  <c r="F54" i="6"/>
  <c r="G54" i="6" s="1"/>
  <c r="H54" i="6" s="1"/>
  <c r="F55" i="6"/>
  <c r="G55" i="6" s="1"/>
  <c r="H55" i="6" s="1"/>
  <c r="F56" i="6"/>
  <c r="G56" i="6" s="1"/>
  <c r="H56" i="6" s="1"/>
  <c r="F57" i="6"/>
  <c r="G57" i="6" s="1"/>
  <c r="H57" i="6" s="1"/>
  <c r="F58" i="6"/>
  <c r="G58" i="6"/>
  <c r="H58" i="6" s="1"/>
  <c r="F59" i="6"/>
  <c r="G59" i="6"/>
  <c r="H59" i="6" s="1"/>
  <c r="F60" i="6"/>
  <c r="G60" i="6"/>
  <c r="H60" i="6" s="1"/>
  <c r="F61" i="6"/>
  <c r="G61" i="6" s="1"/>
  <c r="H61" i="6" s="1"/>
  <c r="F62" i="6"/>
  <c r="G62" i="6" s="1"/>
  <c r="H62" i="6" s="1"/>
  <c r="F63" i="6"/>
  <c r="G63" i="6" s="1"/>
  <c r="H63" i="6" s="1"/>
  <c r="F64" i="6"/>
  <c r="G64" i="6" s="1"/>
  <c r="H64" i="6" s="1"/>
  <c r="F65" i="6"/>
  <c r="G65" i="6" s="1"/>
  <c r="H65" i="6" s="1"/>
  <c r="F66" i="6"/>
  <c r="G66" i="6"/>
  <c r="H66" i="6" s="1"/>
  <c r="F67" i="6"/>
  <c r="G67" i="6"/>
  <c r="H67" i="6" s="1"/>
  <c r="F68" i="6"/>
  <c r="G68" i="6"/>
  <c r="H68" i="6" s="1"/>
  <c r="F69" i="6"/>
  <c r="G69" i="6" s="1"/>
  <c r="H69" i="6" s="1"/>
  <c r="F70" i="6"/>
  <c r="G70" i="6" s="1"/>
  <c r="H70" i="6" s="1"/>
  <c r="F71" i="6"/>
  <c r="G71" i="6" s="1"/>
  <c r="H71" i="6" s="1"/>
  <c r="F72" i="6"/>
  <c r="G72" i="6" s="1"/>
  <c r="H72" i="6" s="1"/>
  <c r="F73" i="6"/>
  <c r="G73" i="6" s="1"/>
  <c r="H73" i="6" s="1"/>
  <c r="F74" i="6"/>
  <c r="G74" i="6"/>
  <c r="H74" i="6" s="1"/>
  <c r="F75" i="6"/>
  <c r="G75" i="6"/>
  <c r="H75" i="6" s="1"/>
  <c r="F76" i="6"/>
  <c r="G76" i="6"/>
  <c r="H76" i="6" s="1"/>
  <c r="F77" i="6"/>
  <c r="G77" i="6" s="1"/>
  <c r="H77" i="6" s="1"/>
  <c r="F78" i="6"/>
  <c r="G78" i="6" s="1"/>
  <c r="H78" i="6" s="1"/>
  <c r="F79" i="6"/>
  <c r="G79" i="6" s="1"/>
  <c r="H79" i="6" s="1"/>
  <c r="K27" i="6"/>
  <c r="K28" i="6"/>
  <c r="K29" i="6" s="1"/>
  <c r="K30" i="6" s="1"/>
  <c r="K31" i="6" s="1"/>
  <c r="K32" i="6" s="1"/>
  <c r="K33" i="6" s="1"/>
  <c r="K26" i="6"/>
  <c r="K27" i="5"/>
  <c r="K28" i="5"/>
  <c r="K29" i="5" s="1"/>
  <c r="K30" i="5" s="1"/>
  <c r="K31" i="5" s="1"/>
  <c r="K32" i="5" s="1"/>
  <c r="K26" i="5"/>
  <c r="F43" i="5"/>
  <c r="G43" i="5"/>
  <c r="H43" i="5" s="1"/>
  <c r="F44" i="5"/>
  <c r="G44" i="5" s="1"/>
  <c r="H44" i="5" s="1"/>
  <c r="F45" i="5"/>
  <c r="G45" i="5"/>
  <c r="H45" i="5" s="1"/>
  <c r="F46" i="5"/>
  <c r="G46" i="5" s="1"/>
  <c r="H46" i="5" s="1"/>
  <c r="F47" i="5"/>
  <c r="G47" i="5" s="1"/>
  <c r="H47" i="5" s="1"/>
  <c r="F48" i="5"/>
  <c r="G48" i="5" s="1"/>
  <c r="H48" i="5" s="1"/>
  <c r="F49" i="5"/>
  <c r="G49" i="5"/>
  <c r="H49" i="5" s="1"/>
  <c r="F50" i="5"/>
  <c r="G50" i="5"/>
  <c r="H50" i="5"/>
  <c r="F51" i="5"/>
  <c r="G51" i="5"/>
  <c r="H51" i="5" s="1"/>
  <c r="F52" i="5"/>
  <c r="G52" i="5" s="1"/>
  <c r="H52" i="5" s="1"/>
  <c r="F53" i="5"/>
  <c r="G53" i="5"/>
  <c r="H53" i="5" s="1"/>
  <c r="F54" i="5"/>
  <c r="G54" i="5" s="1"/>
  <c r="H54" i="5" s="1"/>
  <c r="F55" i="5"/>
  <c r="G55" i="5" s="1"/>
  <c r="H55" i="5" s="1"/>
  <c r="F56" i="5"/>
  <c r="G56" i="5" s="1"/>
  <c r="H56" i="5" s="1"/>
  <c r="F57" i="5"/>
  <c r="G57" i="5"/>
  <c r="H57" i="5" s="1"/>
  <c r="F58" i="5"/>
  <c r="G58" i="5"/>
  <c r="H58" i="5"/>
  <c r="F59" i="5"/>
  <c r="G59" i="5"/>
  <c r="H59" i="5" s="1"/>
  <c r="F60" i="5"/>
  <c r="G60" i="5" s="1"/>
  <c r="H60" i="5" s="1"/>
  <c r="F61" i="5"/>
  <c r="G61" i="5"/>
  <c r="H61" i="5" s="1"/>
  <c r="F62" i="5"/>
  <c r="G62" i="5" s="1"/>
  <c r="H62" i="5" s="1"/>
  <c r="F63" i="5"/>
  <c r="G63" i="5" s="1"/>
  <c r="H63" i="5" s="1"/>
  <c r="F64" i="5"/>
  <c r="G64" i="5" s="1"/>
  <c r="H64" i="5" s="1"/>
  <c r="F65" i="5"/>
  <c r="G65" i="5"/>
  <c r="H65" i="5" s="1"/>
  <c r="F66" i="5"/>
  <c r="G66" i="5"/>
  <c r="H66" i="5"/>
  <c r="F67" i="5"/>
  <c r="G67" i="5"/>
  <c r="H67" i="5" s="1"/>
  <c r="F68" i="5"/>
  <c r="G68" i="5" s="1"/>
  <c r="H68" i="5" s="1"/>
  <c r="F69" i="5"/>
  <c r="G69" i="5"/>
  <c r="H69" i="5" s="1"/>
  <c r="F70" i="5"/>
  <c r="G70" i="5" s="1"/>
  <c r="H70" i="5" s="1"/>
  <c r="F71" i="5"/>
  <c r="G71" i="5" s="1"/>
  <c r="H71" i="5" s="1"/>
  <c r="F72" i="5"/>
  <c r="G72" i="5" s="1"/>
  <c r="H72" i="5" s="1"/>
  <c r="F73" i="5"/>
  <c r="G73" i="5"/>
  <c r="H73" i="5" s="1"/>
  <c r="F74" i="5"/>
  <c r="G74" i="5"/>
  <c r="H74" i="5"/>
  <c r="F75" i="5"/>
  <c r="G75" i="5"/>
  <c r="H75" i="5" s="1"/>
  <c r="F76" i="5"/>
  <c r="G76" i="5" s="1"/>
  <c r="H76" i="5" s="1"/>
  <c r="F77" i="5"/>
  <c r="G77" i="5"/>
  <c r="H77" i="5" s="1"/>
  <c r="K27" i="4"/>
  <c r="K28" i="4" s="1"/>
  <c r="K29" i="4" s="1"/>
  <c r="K30" i="4" s="1"/>
  <c r="K26" i="4"/>
  <c r="K27" i="3"/>
  <c r="K28" i="3" s="1"/>
  <c r="K29" i="3" s="1"/>
  <c r="K30" i="3" s="1"/>
  <c r="K26" i="3"/>
  <c r="F44" i="3"/>
  <c r="G44" i="3" s="1"/>
  <c r="H44" i="3" s="1"/>
  <c r="F45" i="3"/>
  <c r="G45" i="3" s="1"/>
  <c r="H45" i="3" s="1"/>
  <c r="F46" i="3"/>
  <c r="G46" i="3" s="1"/>
  <c r="H46" i="3" s="1"/>
  <c r="F47" i="3"/>
  <c r="G47" i="3"/>
  <c r="H47" i="3"/>
  <c r="F48" i="3"/>
  <c r="G48" i="3"/>
  <c r="H48" i="3"/>
  <c r="F49" i="3"/>
  <c r="G49" i="3" s="1"/>
  <c r="H49" i="3" s="1"/>
  <c r="F50" i="3"/>
  <c r="G50" i="3"/>
  <c r="H50" i="3" s="1"/>
  <c r="F51" i="3"/>
  <c r="G51" i="3"/>
  <c r="H51" i="3" s="1"/>
  <c r="F52" i="3"/>
  <c r="G52" i="3" s="1"/>
  <c r="H52" i="3" s="1"/>
  <c r="F53" i="3"/>
  <c r="G53" i="3" s="1"/>
  <c r="H53" i="3" s="1"/>
  <c r="F54" i="3"/>
  <c r="G54" i="3" s="1"/>
  <c r="H54" i="3" s="1"/>
  <c r="F55" i="3"/>
  <c r="G55" i="3"/>
  <c r="H55" i="3"/>
  <c r="F56" i="3"/>
  <c r="G56" i="3"/>
  <c r="H56" i="3"/>
  <c r="F57" i="3"/>
  <c r="G57" i="3" s="1"/>
  <c r="H57" i="3" s="1"/>
  <c r="F58" i="3"/>
  <c r="G58" i="3"/>
  <c r="H58" i="3" s="1"/>
  <c r="F59" i="3"/>
  <c r="G59" i="3"/>
  <c r="H59" i="3" s="1"/>
  <c r="F60" i="3"/>
  <c r="G60" i="3" s="1"/>
  <c r="H60" i="3" s="1"/>
  <c r="F61" i="3"/>
  <c r="G61" i="3" s="1"/>
  <c r="H61" i="3" s="1"/>
  <c r="F62" i="3"/>
  <c r="G62" i="3" s="1"/>
  <c r="H62" i="3" s="1"/>
  <c r="F63" i="3"/>
  <c r="G63" i="3"/>
  <c r="H63" i="3"/>
  <c r="F64" i="3"/>
  <c r="G64" i="3"/>
  <c r="H64" i="3"/>
  <c r="F65" i="3"/>
  <c r="G65" i="3" s="1"/>
  <c r="H65" i="3" s="1"/>
  <c r="F66" i="3"/>
  <c r="G66" i="3"/>
  <c r="H66" i="3" s="1"/>
  <c r="F67" i="3"/>
  <c r="G67" i="3"/>
  <c r="H67" i="3" s="1"/>
  <c r="F68" i="3"/>
  <c r="G68" i="3" s="1"/>
  <c r="H68" i="3" s="1"/>
  <c r="F69" i="3"/>
  <c r="G69" i="3" s="1"/>
  <c r="H69" i="3" s="1"/>
  <c r="F70" i="3"/>
  <c r="G70" i="3" s="1"/>
  <c r="H70" i="3" s="1"/>
  <c r="F71" i="3"/>
  <c r="G71" i="3"/>
  <c r="H71" i="3"/>
  <c r="F72" i="3"/>
  <c r="G72" i="3"/>
  <c r="H72" i="3"/>
  <c r="F73" i="3"/>
  <c r="G73" i="3" s="1"/>
  <c r="H73" i="3" s="1"/>
  <c r="F74" i="3"/>
  <c r="G74" i="3"/>
  <c r="H74" i="3" s="1"/>
  <c r="F75" i="3"/>
  <c r="G75" i="3"/>
  <c r="H75" i="3" s="1"/>
  <c r="F76" i="3"/>
  <c r="G76" i="3" s="1"/>
  <c r="H76" i="3" s="1"/>
  <c r="F77" i="3"/>
  <c r="G77" i="3" s="1"/>
  <c r="H77" i="3" s="1"/>
  <c r="F78" i="3"/>
  <c r="G78" i="3" s="1"/>
  <c r="H78" i="3" s="1"/>
  <c r="K27" i="2"/>
  <c r="K28" i="2"/>
  <c r="K26" i="2"/>
  <c r="G44" i="2"/>
  <c r="H44" i="2" s="1"/>
  <c r="G45" i="2"/>
  <c r="H45" i="2" s="1"/>
  <c r="G46" i="2"/>
  <c r="H46" i="2" s="1"/>
  <c r="G47" i="2"/>
  <c r="H47" i="2"/>
  <c r="G48" i="2"/>
  <c r="H48" i="2" s="1"/>
  <c r="G49" i="2"/>
  <c r="H49" i="2" s="1"/>
  <c r="G50" i="2"/>
  <c r="H50" i="2" s="1"/>
  <c r="G51" i="2"/>
  <c r="H51" i="2"/>
  <c r="G52" i="2"/>
  <c r="H52" i="2" s="1"/>
  <c r="G53" i="2"/>
  <c r="H53" i="2" s="1"/>
  <c r="G54" i="2"/>
  <c r="H54" i="2" s="1"/>
  <c r="G55" i="2"/>
  <c r="H55" i="2"/>
  <c r="G56" i="2"/>
  <c r="H56" i="2" s="1"/>
  <c r="G57" i="2"/>
  <c r="H57" i="2" s="1"/>
  <c r="G58" i="2"/>
  <c r="H58" i="2" s="1"/>
  <c r="G59" i="2"/>
  <c r="H59" i="2"/>
  <c r="G60" i="2"/>
  <c r="H60" i="2" s="1"/>
  <c r="G61" i="2"/>
  <c r="H61" i="2" s="1"/>
  <c r="G62" i="2"/>
  <c r="H62" i="2" s="1"/>
  <c r="G63" i="2"/>
  <c r="H63" i="2"/>
  <c r="G64" i="2"/>
  <c r="H64" i="2" s="1"/>
  <c r="G65" i="2"/>
  <c r="H65" i="2" s="1"/>
  <c r="G66" i="2"/>
  <c r="H66" i="2" s="1"/>
  <c r="G67" i="2"/>
  <c r="H67" i="2"/>
  <c r="G68" i="2"/>
  <c r="H68" i="2" s="1"/>
  <c r="G69" i="2"/>
  <c r="H69" i="2" s="1"/>
  <c r="G70" i="2"/>
  <c r="H70" i="2" s="1"/>
  <c r="G71" i="2"/>
  <c r="H71" i="2"/>
  <c r="G72" i="2"/>
  <c r="H72" i="2" s="1"/>
  <c r="G73" i="2"/>
  <c r="H73" i="2" s="1"/>
  <c r="G74" i="2"/>
  <c r="H74" i="2" s="1"/>
  <c r="G75" i="2"/>
  <c r="H75" i="2"/>
  <c r="G76" i="2"/>
  <c r="H76" i="2" s="1"/>
  <c r="G77" i="2"/>
  <c r="H77" i="2" s="1"/>
  <c r="G78" i="2"/>
  <c r="H78" i="2" s="1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37" i="8"/>
  <c r="D38" i="8"/>
  <c r="D39" i="8"/>
  <c r="D40" i="8"/>
  <c r="D41" i="8"/>
  <c r="D42" i="8"/>
  <c r="D43" i="8"/>
  <c r="D36" i="8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35" i="7"/>
  <c r="D36" i="7"/>
  <c r="D37" i="7"/>
  <c r="D38" i="7"/>
  <c r="D39" i="7"/>
  <c r="D40" i="7"/>
  <c r="D41" i="7"/>
  <c r="D42" i="7"/>
  <c r="D43" i="7"/>
  <c r="D34" i="7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35" i="6"/>
  <c r="D36" i="6"/>
  <c r="D37" i="6"/>
  <c r="D38" i="6"/>
  <c r="D39" i="6"/>
  <c r="D40" i="6"/>
  <c r="D41" i="6"/>
  <c r="D42" i="6"/>
  <c r="D43" i="6"/>
  <c r="D44" i="6"/>
  <c r="D34" i="6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34" i="5"/>
  <c r="D35" i="5"/>
  <c r="D36" i="5"/>
  <c r="D37" i="5"/>
  <c r="D38" i="5"/>
  <c r="D39" i="5"/>
  <c r="D40" i="5"/>
  <c r="D41" i="5"/>
  <c r="D42" i="5"/>
  <c r="D33" i="5"/>
  <c r="D49" i="4"/>
  <c r="D51" i="4"/>
  <c r="D54" i="4"/>
  <c r="D55" i="4"/>
  <c r="D61" i="4"/>
  <c r="D63" i="4"/>
  <c r="D66" i="4"/>
  <c r="D67" i="4"/>
  <c r="D73" i="4"/>
  <c r="D75" i="4"/>
  <c r="D78" i="4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32" i="3"/>
  <c r="D33" i="3"/>
  <c r="D34" i="3"/>
  <c r="D35" i="3"/>
  <c r="D36" i="3"/>
  <c r="D37" i="3"/>
  <c r="D38" i="3"/>
  <c r="D39" i="3"/>
  <c r="D40" i="3"/>
  <c r="D41" i="3"/>
  <c r="D42" i="3"/>
  <c r="D43" i="3"/>
  <c r="D31" i="3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29" i="2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26" i="1"/>
  <c r="O2" i="8"/>
  <c r="O2" i="7"/>
  <c r="O2" i="6"/>
  <c r="O2" i="2"/>
  <c r="O2" i="1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37" i="8"/>
  <c r="C38" i="8"/>
  <c r="C39" i="8"/>
  <c r="C40" i="8"/>
  <c r="C41" i="8"/>
  <c r="C42" i="8"/>
  <c r="C43" i="8"/>
  <c r="C36" i="8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35" i="7"/>
  <c r="C36" i="7"/>
  <c r="C37" i="7"/>
  <c r="C38" i="7"/>
  <c r="C39" i="7"/>
  <c r="C40" i="7"/>
  <c r="C41" i="7"/>
  <c r="C42" i="7"/>
  <c r="C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C34" i="7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35" i="6"/>
  <c r="C36" i="6"/>
  <c r="C37" i="6"/>
  <c r="C38" i="6"/>
  <c r="C39" i="6"/>
  <c r="C40" i="6"/>
  <c r="C41" i="6"/>
  <c r="C42" i="6"/>
  <c r="C43" i="6"/>
  <c r="C44" i="6"/>
  <c r="C34" i="6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34" i="5"/>
  <c r="C35" i="5"/>
  <c r="C36" i="5"/>
  <c r="C37" i="5"/>
  <c r="C38" i="5"/>
  <c r="C39" i="5"/>
  <c r="C40" i="5"/>
  <c r="C41" i="5"/>
  <c r="C42" i="5"/>
  <c r="C33" i="5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C44" i="4"/>
  <c r="F44" i="4" s="1"/>
  <c r="G44" i="4" s="1"/>
  <c r="C45" i="4"/>
  <c r="F45" i="4" s="1"/>
  <c r="G45" i="4" s="1"/>
  <c r="C46" i="4"/>
  <c r="F46" i="4" s="1"/>
  <c r="G46" i="4" s="1"/>
  <c r="C47" i="4"/>
  <c r="F47" i="4" s="1"/>
  <c r="G47" i="4" s="1"/>
  <c r="C48" i="4"/>
  <c r="F48" i="4" s="1"/>
  <c r="G48" i="4" s="1"/>
  <c r="C49" i="4"/>
  <c r="F49" i="4" s="1"/>
  <c r="G49" i="4" s="1"/>
  <c r="C50" i="4"/>
  <c r="F50" i="4" s="1"/>
  <c r="G50" i="4" s="1"/>
  <c r="C51" i="4"/>
  <c r="F51" i="4" s="1"/>
  <c r="G51" i="4" s="1"/>
  <c r="H51" i="4" s="1"/>
  <c r="C52" i="4"/>
  <c r="F52" i="4" s="1"/>
  <c r="G52" i="4" s="1"/>
  <c r="C53" i="4"/>
  <c r="F53" i="4" s="1"/>
  <c r="G53" i="4" s="1"/>
  <c r="C54" i="4"/>
  <c r="F54" i="4" s="1"/>
  <c r="G54" i="4" s="1"/>
  <c r="C55" i="4"/>
  <c r="F55" i="4" s="1"/>
  <c r="G55" i="4" s="1"/>
  <c r="H55" i="4" s="1"/>
  <c r="C56" i="4"/>
  <c r="F56" i="4" s="1"/>
  <c r="G56" i="4" s="1"/>
  <c r="C57" i="4"/>
  <c r="F57" i="4" s="1"/>
  <c r="G57" i="4" s="1"/>
  <c r="C58" i="4"/>
  <c r="F58" i="4" s="1"/>
  <c r="G58" i="4" s="1"/>
  <c r="C59" i="4"/>
  <c r="F59" i="4" s="1"/>
  <c r="G59" i="4" s="1"/>
  <c r="C60" i="4"/>
  <c r="F60" i="4" s="1"/>
  <c r="G60" i="4" s="1"/>
  <c r="C61" i="4"/>
  <c r="F61" i="4" s="1"/>
  <c r="G61" i="4" s="1"/>
  <c r="C62" i="4"/>
  <c r="F62" i="4" s="1"/>
  <c r="G62" i="4" s="1"/>
  <c r="C63" i="4"/>
  <c r="F63" i="4" s="1"/>
  <c r="G63" i="4" s="1"/>
  <c r="C64" i="4"/>
  <c r="F64" i="4" s="1"/>
  <c r="G64" i="4" s="1"/>
  <c r="C65" i="4"/>
  <c r="F65" i="4" s="1"/>
  <c r="G65" i="4" s="1"/>
  <c r="C66" i="4"/>
  <c r="F66" i="4" s="1"/>
  <c r="G66" i="4" s="1"/>
  <c r="C67" i="4"/>
  <c r="F67" i="4" s="1"/>
  <c r="G67" i="4" s="1"/>
  <c r="C68" i="4"/>
  <c r="F68" i="4" s="1"/>
  <c r="G68" i="4" s="1"/>
  <c r="C69" i="4"/>
  <c r="F69" i="4" s="1"/>
  <c r="G69" i="4" s="1"/>
  <c r="C70" i="4"/>
  <c r="F70" i="4" s="1"/>
  <c r="G70" i="4" s="1"/>
  <c r="C71" i="4"/>
  <c r="F71" i="4" s="1"/>
  <c r="G71" i="4" s="1"/>
  <c r="C72" i="4"/>
  <c r="F72" i="4" s="1"/>
  <c r="G72" i="4" s="1"/>
  <c r="C73" i="4"/>
  <c r="F73" i="4" s="1"/>
  <c r="G73" i="4" s="1"/>
  <c r="H73" i="4" s="1"/>
  <c r="C74" i="4"/>
  <c r="F74" i="4" s="1"/>
  <c r="G74" i="4" s="1"/>
  <c r="C75" i="4"/>
  <c r="F75" i="4" s="1"/>
  <c r="G75" i="4" s="1"/>
  <c r="C76" i="4"/>
  <c r="F76" i="4" s="1"/>
  <c r="G76" i="4" s="1"/>
  <c r="C77" i="4"/>
  <c r="F77" i="4" s="1"/>
  <c r="G77" i="4" s="1"/>
  <c r="C78" i="4"/>
  <c r="F78" i="4" s="1"/>
  <c r="G78" i="4" s="1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32" i="3"/>
  <c r="C33" i="3"/>
  <c r="C34" i="3"/>
  <c r="C35" i="3"/>
  <c r="C36" i="3"/>
  <c r="C37" i="3"/>
  <c r="C38" i="3"/>
  <c r="C39" i="3"/>
  <c r="C40" i="3"/>
  <c r="C41" i="3"/>
  <c r="C42" i="3"/>
  <c r="C43" i="3"/>
  <c r="C31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29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26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A45" i="8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45" i="7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46" i="6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44" i="5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45" i="4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45" i="3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45" i="2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44" i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G78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D32" i="10"/>
  <c r="D33" i="10"/>
  <c r="D37" i="10"/>
  <c r="D40" i="10"/>
  <c r="D41" i="10"/>
  <c r="D48" i="10"/>
  <c r="D49" i="10"/>
  <c r="D56" i="10"/>
  <c r="D57" i="10"/>
  <c r="D65" i="10"/>
  <c r="D73" i="10"/>
  <c r="D24" i="10"/>
  <c r="D25" i="10"/>
  <c r="O2" i="10"/>
  <c r="D26" i="10" s="1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51" i="10"/>
  <c r="C52" i="10"/>
  <c r="C59" i="10"/>
  <c r="C60" i="10"/>
  <c r="C68" i="10"/>
  <c r="C76" i="10"/>
  <c r="C22" i="10"/>
  <c r="B46" i="10"/>
  <c r="B49" i="10"/>
  <c r="B50" i="10"/>
  <c r="B57" i="10"/>
  <c r="B58" i="10"/>
  <c r="B65" i="10"/>
  <c r="B66" i="10"/>
  <c r="B74" i="10"/>
  <c r="A46" i="10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B78" i="10" s="1"/>
  <c r="A45" i="10"/>
  <c r="C45" i="10" s="1"/>
  <c r="B44" i="10"/>
  <c r="D31" i="4" l="1"/>
  <c r="D37" i="4"/>
  <c r="D43" i="4"/>
  <c r="D32" i="4"/>
  <c r="D38" i="4"/>
  <c r="D40" i="4"/>
  <c r="D36" i="4"/>
  <c r="D33" i="4"/>
  <c r="D39" i="4"/>
  <c r="D34" i="4"/>
  <c r="D35" i="4"/>
  <c r="D41" i="4"/>
  <c r="D42" i="4"/>
  <c r="H75" i="4"/>
  <c r="H67" i="4"/>
  <c r="H63" i="4"/>
  <c r="H66" i="4"/>
  <c r="H49" i="4"/>
  <c r="H61" i="4"/>
  <c r="D44" i="4"/>
  <c r="H44" i="4" s="1"/>
  <c r="D77" i="4"/>
  <c r="H77" i="4" s="1"/>
  <c r="D65" i="4"/>
  <c r="H65" i="4" s="1"/>
  <c r="D53" i="4"/>
  <c r="H53" i="4" s="1"/>
  <c r="H70" i="4"/>
  <c r="D76" i="4"/>
  <c r="H76" i="4" s="1"/>
  <c r="D64" i="4"/>
  <c r="H64" i="4" s="1"/>
  <c r="D52" i="4"/>
  <c r="H52" i="4" s="1"/>
  <c r="H78" i="4"/>
  <c r="D74" i="4"/>
  <c r="H74" i="4" s="1"/>
  <c r="D62" i="4"/>
  <c r="H62" i="4" s="1"/>
  <c r="D50" i="4"/>
  <c r="H50" i="4" s="1"/>
  <c r="D72" i="4"/>
  <c r="H72" i="4" s="1"/>
  <c r="D60" i="4"/>
  <c r="H60" i="4" s="1"/>
  <c r="D48" i="4"/>
  <c r="H48" i="4" s="1"/>
  <c r="D71" i="4"/>
  <c r="H71" i="4" s="1"/>
  <c r="D59" i="4"/>
  <c r="H59" i="4" s="1"/>
  <c r="D47" i="4"/>
  <c r="H47" i="4" s="1"/>
  <c r="D70" i="4"/>
  <c r="D58" i="4"/>
  <c r="H58" i="4" s="1"/>
  <c r="D46" i="4"/>
  <c r="H46" i="4" s="1"/>
  <c r="H54" i="4"/>
  <c r="D69" i="4"/>
  <c r="H69" i="4" s="1"/>
  <c r="D57" i="4"/>
  <c r="H57" i="4" s="1"/>
  <c r="D45" i="4"/>
  <c r="H45" i="4" s="1"/>
  <c r="D68" i="4"/>
  <c r="H68" i="4" s="1"/>
  <c r="D56" i="4"/>
  <c r="H56" i="4" s="1"/>
  <c r="C75" i="10"/>
  <c r="B72" i="10"/>
  <c r="B64" i="10"/>
  <c r="B56" i="10"/>
  <c r="B48" i="10"/>
  <c r="C74" i="10"/>
  <c r="C66" i="10"/>
  <c r="C58" i="10"/>
  <c r="C50" i="10"/>
  <c r="D23" i="10"/>
  <c r="D71" i="10"/>
  <c r="D63" i="10"/>
  <c r="D55" i="10"/>
  <c r="D47" i="10"/>
  <c r="D39" i="10"/>
  <c r="D31" i="10"/>
  <c r="B71" i="10"/>
  <c r="B63" i="10"/>
  <c r="B55" i="10"/>
  <c r="B47" i="10"/>
  <c r="C73" i="10"/>
  <c r="C65" i="10"/>
  <c r="C57" i="10"/>
  <c r="C49" i="10"/>
  <c r="D78" i="10"/>
  <c r="D70" i="10"/>
  <c r="D62" i="10"/>
  <c r="D54" i="10"/>
  <c r="D46" i="10"/>
  <c r="D38" i="10"/>
  <c r="D30" i="10"/>
  <c r="C67" i="10"/>
  <c r="D64" i="10"/>
  <c r="B62" i="10"/>
  <c r="C72" i="10"/>
  <c r="D77" i="10"/>
  <c r="D69" i="10"/>
  <c r="D61" i="10"/>
  <c r="D53" i="10"/>
  <c r="D45" i="10"/>
  <c r="D29" i="10"/>
  <c r="B73" i="10"/>
  <c r="D72" i="10"/>
  <c r="B70" i="10"/>
  <c r="C64" i="10"/>
  <c r="B77" i="10"/>
  <c r="B61" i="10"/>
  <c r="B53" i="10"/>
  <c r="C71" i="10"/>
  <c r="C63" i="10"/>
  <c r="C55" i="10"/>
  <c r="C47" i="10"/>
  <c r="D76" i="10"/>
  <c r="D68" i="10"/>
  <c r="D60" i="10"/>
  <c r="D52" i="10"/>
  <c r="D44" i="10"/>
  <c r="D36" i="10"/>
  <c r="D28" i="10"/>
  <c r="C48" i="10"/>
  <c r="B69" i="10"/>
  <c r="B76" i="10"/>
  <c r="B68" i="10"/>
  <c r="B60" i="10"/>
  <c r="B52" i="10"/>
  <c r="C78" i="10"/>
  <c r="C70" i="10"/>
  <c r="C62" i="10"/>
  <c r="C54" i="10"/>
  <c r="C46" i="10"/>
  <c r="D75" i="10"/>
  <c r="D67" i="10"/>
  <c r="D59" i="10"/>
  <c r="D51" i="10"/>
  <c r="D43" i="10"/>
  <c r="D35" i="10"/>
  <c r="D27" i="10"/>
  <c r="B54" i="10"/>
  <c r="C56" i="10"/>
  <c r="B75" i="10"/>
  <c r="B67" i="10"/>
  <c r="B59" i="10"/>
  <c r="B51" i="10"/>
  <c r="C77" i="10"/>
  <c r="C69" i="10"/>
  <c r="C61" i="10"/>
  <c r="C53" i="10"/>
  <c r="D22" i="10"/>
  <c r="D74" i="10"/>
  <c r="D66" i="10"/>
  <c r="D58" i="10"/>
  <c r="D50" i="10"/>
  <c r="D42" i="10"/>
  <c r="D34" i="10"/>
  <c r="B45" i="10"/>
  <c r="N2" i="4"/>
  <c r="C1" i="10" l="1"/>
  <c r="B43" i="8" l="1"/>
  <c r="B42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5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" i="7"/>
  <c r="B42" i="6"/>
  <c r="B43" i="6"/>
  <c r="B4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" i="6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" i="5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" i="4"/>
  <c r="B41" i="3"/>
  <c r="B42" i="3"/>
  <c r="B43" i="3"/>
  <c r="B5" i="3"/>
  <c r="I5" i="3" s="1"/>
  <c r="B6" i="3"/>
  <c r="I6" i="3" s="1"/>
  <c r="B7" i="3"/>
  <c r="I7" i="3" s="1"/>
  <c r="B8" i="3"/>
  <c r="I8" i="3" s="1"/>
  <c r="B9" i="3"/>
  <c r="I9" i="3" s="1"/>
  <c r="B10" i="3"/>
  <c r="B11" i="3"/>
  <c r="B12" i="3"/>
  <c r="B13" i="3"/>
  <c r="I13" i="3" s="1"/>
  <c r="B14" i="3"/>
  <c r="I14" i="3" s="1"/>
  <c r="B15" i="3"/>
  <c r="B16" i="3"/>
  <c r="I16" i="3" s="1"/>
  <c r="B17" i="3"/>
  <c r="I17" i="3" s="1"/>
  <c r="B18" i="3"/>
  <c r="I18" i="3" s="1"/>
  <c r="B19" i="3"/>
  <c r="I19" i="3" s="1"/>
  <c r="B20" i="3"/>
  <c r="I20" i="3" s="1"/>
  <c r="B21" i="3"/>
  <c r="I21" i="3" s="1"/>
  <c r="B22" i="3"/>
  <c r="I22" i="3" s="1"/>
  <c r="B23" i="3"/>
  <c r="B24" i="3"/>
  <c r="I24" i="3" s="1"/>
  <c r="B25" i="3"/>
  <c r="B26" i="3"/>
  <c r="B27" i="3"/>
  <c r="B28" i="3"/>
  <c r="I28" i="3" s="1"/>
  <c r="B29" i="3"/>
  <c r="I29" i="3" s="1"/>
  <c r="B30" i="3"/>
  <c r="I30" i="3" s="1"/>
  <c r="B31" i="3"/>
  <c r="B32" i="3"/>
  <c r="B33" i="3"/>
  <c r="B34" i="3"/>
  <c r="B35" i="3"/>
  <c r="B36" i="3"/>
  <c r="B37" i="3"/>
  <c r="B38" i="3"/>
  <c r="B39" i="3"/>
  <c r="B40" i="3"/>
  <c r="B4" i="3"/>
  <c r="B33" i="2"/>
  <c r="B5" i="2"/>
  <c r="I5" i="2" s="1"/>
  <c r="B6" i="2"/>
  <c r="I6" i="2" s="1"/>
  <c r="B7" i="2"/>
  <c r="I7" i="2" s="1"/>
  <c r="B8" i="2"/>
  <c r="I8" i="2" s="1"/>
  <c r="B9" i="2"/>
  <c r="I9" i="2" s="1"/>
  <c r="B10" i="2"/>
  <c r="B11" i="2"/>
  <c r="B12" i="2"/>
  <c r="I12" i="2" s="1"/>
  <c r="B13" i="2"/>
  <c r="I13" i="2" s="1"/>
  <c r="B14" i="2"/>
  <c r="I14" i="2" s="1"/>
  <c r="B15" i="2"/>
  <c r="B16" i="2"/>
  <c r="I16" i="2" s="1"/>
  <c r="B17" i="2"/>
  <c r="I17" i="2" s="1"/>
  <c r="B18" i="2"/>
  <c r="I18" i="2" s="1"/>
  <c r="B19" i="2"/>
  <c r="I19" i="2" s="1"/>
  <c r="B20" i="2"/>
  <c r="I20" i="2" s="1"/>
  <c r="B21" i="2"/>
  <c r="B22" i="2"/>
  <c r="B23" i="2"/>
  <c r="I23" i="2" s="1"/>
  <c r="B24" i="2"/>
  <c r="I24" i="2" s="1"/>
  <c r="B25" i="2"/>
  <c r="I25" i="2" s="1"/>
  <c r="B26" i="2"/>
  <c r="I26" i="2" s="1"/>
  <c r="B27" i="2"/>
  <c r="I27" i="2" s="1"/>
  <c r="B28" i="2"/>
  <c r="I28" i="2" s="1"/>
  <c r="B29" i="2"/>
  <c r="B30" i="2"/>
  <c r="B31" i="2"/>
  <c r="B32" i="2"/>
  <c r="B34" i="2"/>
  <c r="B35" i="2"/>
  <c r="B36" i="2"/>
  <c r="B37" i="2"/>
  <c r="B38" i="2"/>
  <c r="B39" i="2"/>
  <c r="B40" i="2"/>
  <c r="B41" i="2"/>
  <c r="B42" i="2"/>
  <c r="B43" i="2"/>
  <c r="B4" i="2"/>
  <c r="C1" i="2"/>
  <c r="B5" i="10"/>
  <c r="B6" i="10"/>
  <c r="B7" i="10"/>
  <c r="I7" i="10" s="1"/>
  <c r="B8" i="10"/>
  <c r="I8" i="10" s="1"/>
  <c r="B9" i="10"/>
  <c r="B10" i="10"/>
  <c r="B11" i="10"/>
  <c r="I11" i="10" s="1"/>
  <c r="B12" i="10"/>
  <c r="I12" i="10" s="1"/>
  <c r="B13" i="10"/>
  <c r="I13" i="10" s="1"/>
  <c r="B14" i="10"/>
  <c r="I14" i="10" s="1"/>
  <c r="B15" i="10"/>
  <c r="B16" i="10"/>
  <c r="B17" i="10"/>
  <c r="B18" i="10"/>
  <c r="B19" i="10"/>
  <c r="I19" i="10" s="1"/>
  <c r="B20" i="10"/>
  <c r="I20" i="10" s="1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" i="10"/>
  <c r="B41" i="1"/>
  <c r="B42" i="1"/>
  <c r="B6" i="1"/>
  <c r="B7" i="1"/>
  <c r="B8" i="1"/>
  <c r="I8" i="1" s="1"/>
  <c r="B9" i="1"/>
  <c r="I9" i="1" s="1"/>
  <c r="B10" i="1"/>
  <c r="I10" i="1" s="1"/>
  <c r="B11" i="1"/>
  <c r="I11" i="1" s="1"/>
  <c r="B12" i="1"/>
  <c r="B13" i="1"/>
  <c r="B14" i="1"/>
  <c r="I14" i="1" s="1"/>
  <c r="B15" i="1"/>
  <c r="I15" i="1" s="1"/>
  <c r="B16" i="1"/>
  <c r="I16" i="1" s="1"/>
  <c r="B17" i="1"/>
  <c r="B18" i="1"/>
  <c r="B19" i="1"/>
  <c r="B20" i="1"/>
  <c r="I20" i="1" s="1"/>
  <c r="B21" i="1"/>
  <c r="I21" i="1" s="1"/>
  <c r="B22" i="1"/>
  <c r="I22" i="1" s="1"/>
  <c r="B23" i="1"/>
  <c r="I23" i="1" s="1"/>
  <c r="B24" i="1"/>
  <c r="I24" i="1" s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5" i="1"/>
  <c r="I5" i="1" s="1"/>
  <c r="I10" i="3"/>
  <c r="I11" i="3"/>
  <c r="I12" i="3"/>
  <c r="I15" i="3"/>
  <c r="I23" i="3"/>
  <c r="I25" i="3"/>
  <c r="I26" i="3"/>
  <c r="I27" i="3"/>
  <c r="I10" i="2"/>
  <c r="I11" i="2"/>
  <c r="I15" i="2"/>
  <c r="I21" i="2"/>
  <c r="I22" i="2"/>
  <c r="I6" i="1"/>
  <c r="I7" i="1"/>
  <c r="I12" i="1"/>
  <c r="I13" i="1"/>
  <c r="I17" i="1"/>
  <c r="I18" i="1"/>
  <c r="I19" i="1"/>
  <c r="I25" i="1"/>
  <c r="I6" i="10"/>
  <c r="I9" i="10"/>
  <c r="I10" i="10"/>
  <c r="I15" i="10"/>
  <c r="I16" i="10"/>
  <c r="I17" i="10"/>
  <c r="I18" i="10"/>
  <c r="I21" i="10"/>
  <c r="I5" i="10"/>
  <c r="C1" i="8" l="1"/>
  <c r="C1" i="7"/>
  <c r="C1" i="6"/>
  <c r="C1" i="5"/>
  <c r="C1" i="4"/>
  <c r="C1" i="3"/>
  <c r="C1" i="1"/>
  <c r="B12" i="9" l="1"/>
  <c r="J4" i="5"/>
  <c r="J4" i="6"/>
  <c r="J4" i="7"/>
  <c r="J4" i="8"/>
  <c r="J4" i="4"/>
  <c r="J29" i="3"/>
  <c r="J4" i="3"/>
  <c r="J16" i="3"/>
  <c r="J11" i="3"/>
  <c r="J20" i="3"/>
  <c r="J18" i="3"/>
  <c r="J25" i="3"/>
  <c r="J12" i="3"/>
  <c r="J15" i="3"/>
  <c r="J22" i="3"/>
  <c r="J28" i="3"/>
  <c r="J24" i="3"/>
  <c r="J7" i="3"/>
  <c r="J10" i="3"/>
  <c r="J23" i="3"/>
  <c r="J27" i="3"/>
  <c r="J26" i="3"/>
  <c r="J5" i="3"/>
  <c r="J17" i="3"/>
  <c r="J21" i="3"/>
  <c r="J19" i="3"/>
  <c r="J14" i="3"/>
  <c r="J8" i="3"/>
  <c r="J9" i="3"/>
  <c r="J6" i="3"/>
  <c r="J30" i="3"/>
  <c r="J13" i="3"/>
  <c r="J22" i="2"/>
  <c r="J23" i="2"/>
  <c r="J10" i="2"/>
  <c r="J15" i="2"/>
  <c r="J4" i="2"/>
  <c r="J5" i="2"/>
  <c r="J19" i="2"/>
  <c r="J21" i="2"/>
  <c r="J26" i="2"/>
  <c r="J25" i="2"/>
  <c r="J24" i="2"/>
  <c r="J18" i="2"/>
  <c r="J20" i="2"/>
  <c r="J14" i="2"/>
  <c r="J7" i="2"/>
  <c r="J16" i="2"/>
  <c r="J8" i="2"/>
  <c r="J9" i="2"/>
  <c r="J12" i="2"/>
  <c r="J11" i="2"/>
  <c r="J6" i="2"/>
  <c r="J17" i="2"/>
  <c r="J27" i="2"/>
  <c r="J28" i="2"/>
  <c r="J13" i="2"/>
  <c r="J8" i="1"/>
  <c r="J24" i="1"/>
  <c r="J17" i="1"/>
  <c r="J20" i="1"/>
  <c r="J16" i="1"/>
  <c r="J14" i="1"/>
  <c r="J12" i="1"/>
  <c r="J21" i="1"/>
  <c r="J22" i="1"/>
  <c r="J5" i="1"/>
  <c r="J9" i="1"/>
  <c r="J19" i="1"/>
  <c r="J25" i="1"/>
  <c r="J6" i="1"/>
  <c r="K5" i="1"/>
  <c r="J23" i="1"/>
  <c r="J7" i="1"/>
  <c r="J18" i="1"/>
  <c r="J13" i="1"/>
  <c r="K4" i="1"/>
  <c r="J4" i="1"/>
  <c r="J15" i="1"/>
  <c r="J11" i="1"/>
  <c r="J10" i="1"/>
  <c r="J9" i="10"/>
  <c r="K4" i="10"/>
  <c r="J13" i="10"/>
  <c r="J20" i="10"/>
  <c r="J5" i="10"/>
  <c r="J7" i="10"/>
  <c r="J6" i="10"/>
  <c r="K5" i="10"/>
  <c r="J4" i="10"/>
  <c r="J11" i="10"/>
  <c r="J19" i="10"/>
  <c r="J15" i="10"/>
  <c r="J8" i="10"/>
  <c r="J17" i="10"/>
  <c r="J16" i="10"/>
  <c r="J14" i="10"/>
  <c r="J12" i="10"/>
  <c r="J21" i="10"/>
  <c r="J18" i="10"/>
  <c r="J10" i="10"/>
  <c r="L4" i="6" l="1"/>
  <c r="L4" i="1"/>
  <c r="L4" i="8"/>
  <c r="L4" i="4"/>
  <c r="L4" i="5"/>
  <c r="L4" i="7"/>
  <c r="L4" i="3"/>
  <c r="L19" i="10"/>
  <c r="L7" i="10"/>
  <c r="L13" i="10"/>
  <c r="L18" i="10"/>
  <c r="L12" i="10"/>
  <c r="L6" i="10"/>
  <c r="L17" i="10"/>
  <c r="L11" i="10"/>
  <c r="L5" i="10"/>
  <c r="L15" i="10"/>
  <c r="L21" i="10"/>
  <c r="L14" i="10"/>
  <c r="L16" i="10"/>
  <c r="L8" i="10"/>
  <c r="L4" i="10"/>
  <c r="L20" i="10"/>
  <c r="L9" i="10"/>
  <c r="L10" i="10"/>
  <c r="K18" i="10"/>
  <c r="K10" i="10"/>
  <c r="K6" i="10"/>
  <c r="K21" i="10"/>
  <c r="K15" i="10"/>
  <c r="K19" i="10"/>
  <c r="K13" i="10"/>
  <c r="K11" i="10"/>
  <c r="K7" i="10"/>
  <c r="K17" i="10"/>
  <c r="K20" i="10"/>
  <c r="K8" i="10"/>
  <c r="K16" i="10"/>
  <c r="K12" i="10"/>
  <c r="K9" i="10"/>
  <c r="K14" i="10"/>
  <c r="L4" i="2"/>
  <c r="L23" i="3"/>
  <c r="L29" i="3"/>
  <c r="L24" i="3"/>
  <c r="L26" i="3"/>
  <c r="L12" i="3"/>
  <c r="L13" i="3"/>
  <c r="L14" i="3"/>
  <c r="L25" i="3"/>
  <c r="L6" i="3"/>
  <c r="L20" i="3"/>
  <c r="L28" i="3"/>
  <c r="L9" i="3"/>
  <c r="L7" i="3"/>
  <c r="L15" i="3"/>
  <c r="L8" i="3"/>
  <c r="L10" i="3"/>
  <c r="L11" i="3"/>
  <c r="L30" i="3"/>
  <c r="L27" i="3"/>
  <c r="L16" i="3"/>
  <c r="L19" i="3"/>
  <c r="L17" i="3"/>
  <c r="L18" i="3"/>
  <c r="L21" i="3"/>
  <c r="L22" i="3"/>
  <c r="L5" i="3"/>
  <c r="L16" i="2"/>
  <c r="L6" i="2"/>
  <c r="L8" i="2"/>
  <c r="L10" i="2"/>
  <c r="L20" i="2"/>
  <c r="L14" i="2"/>
  <c r="L15" i="2"/>
  <c r="L24" i="2"/>
  <c r="L17" i="2"/>
  <c r="L9" i="2"/>
  <c r="L13" i="2"/>
  <c r="L22" i="2"/>
  <c r="L26" i="2"/>
  <c r="L12" i="2"/>
  <c r="L18" i="2"/>
  <c r="L7" i="2"/>
  <c r="L21" i="2"/>
  <c r="L27" i="2"/>
  <c r="L23" i="2"/>
  <c r="L19" i="2"/>
  <c r="L11" i="2"/>
  <c r="L25" i="2"/>
  <c r="L28" i="2"/>
  <c r="L5" i="2"/>
  <c r="L7" i="1"/>
  <c r="L25" i="1"/>
  <c r="L19" i="1"/>
  <c r="L9" i="1"/>
  <c r="L16" i="1"/>
  <c r="L17" i="1"/>
  <c r="L15" i="1"/>
  <c r="L24" i="1"/>
  <c r="L8" i="1"/>
  <c r="L18" i="1"/>
  <c r="L22" i="1"/>
  <c r="L23" i="1"/>
  <c r="L6" i="1"/>
  <c r="L21" i="1"/>
  <c r="L12" i="1"/>
  <c r="L14" i="1"/>
  <c r="L20" i="1"/>
  <c r="L10" i="1"/>
  <c r="L13" i="1"/>
  <c r="L11" i="1"/>
  <c r="L5" i="1"/>
  <c r="K4" i="3"/>
  <c r="K4" i="2"/>
  <c r="K4" i="6"/>
  <c r="K4" i="8"/>
  <c r="K4" i="4"/>
  <c r="K4" i="7"/>
  <c r="K4" i="5"/>
  <c r="K5" i="8"/>
  <c r="K5" i="2"/>
  <c r="K5" i="5"/>
  <c r="K5" i="6"/>
  <c r="K5" i="7"/>
  <c r="K5" i="4"/>
  <c r="K5" i="3"/>
  <c r="K7" i="1"/>
  <c r="K15" i="1"/>
  <c r="K23" i="1"/>
  <c r="K8" i="1"/>
  <c r="K16" i="1"/>
  <c r="K24" i="1"/>
  <c r="K18" i="1"/>
  <c r="K19" i="1"/>
  <c r="K20" i="1"/>
  <c r="K21" i="1"/>
  <c r="K6" i="1"/>
  <c r="K22" i="1"/>
  <c r="K9" i="1"/>
  <c r="K17" i="1"/>
  <c r="K25" i="1"/>
  <c r="K10" i="1"/>
  <c r="K11" i="1"/>
  <c r="K13" i="1"/>
  <c r="K14" i="1"/>
  <c r="K12" i="1"/>
  <c r="B4" i="9"/>
  <c r="B6" i="9" s="1"/>
  <c r="F5" i="1" l="1"/>
  <c r="G5" i="1" s="1"/>
  <c r="H5" i="1" s="1"/>
  <c r="F43" i="7"/>
  <c r="G43" i="7" s="1"/>
  <c r="H43" i="7" s="1"/>
  <c r="F13" i="7"/>
  <c r="G13" i="7" s="1"/>
  <c r="H13" i="7" s="1"/>
  <c r="F25" i="7"/>
  <c r="G25" i="7" s="1"/>
  <c r="H25" i="7" s="1"/>
  <c r="F37" i="7"/>
  <c r="G37" i="7" s="1"/>
  <c r="H37" i="7" s="1"/>
  <c r="F42" i="6"/>
  <c r="G42" i="6" s="1"/>
  <c r="H42" i="6" s="1"/>
  <c r="F5" i="6"/>
  <c r="G5" i="6" s="1"/>
  <c r="H5" i="6" s="1"/>
  <c r="F17" i="6"/>
  <c r="G17" i="6" s="1"/>
  <c r="H17" i="6" s="1"/>
  <c r="F29" i="6"/>
  <c r="G29" i="6" s="1"/>
  <c r="H29" i="6" s="1"/>
  <c r="F41" i="6"/>
  <c r="G41" i="6" s="1"/>
  <c r="H41" i="6" s="1"/>
  <c r="F24" i="7"/>
  <c r="G24" i="7" s="1"/>
  <c r="H24" i="7" s="1"/>
  <c r="F42" i="8"/>
  <c r="G42" i="8" s="1"/>
  <c r="H42" i="8" s="1"/>
  <c r="F14" i="7"/>
  <c r="G14" i="7" s="1"/>
  <c r="H14" i="7" s="1"/>
  <c r="F26" i="7"/>
  <c r="G26" i="7" s="1"/>
  <c r="H26" i="7" s="1"/>
  <c r="F38" i="7"/>
  <c r="G38" i="7" s="1"/>
  <c r="H38" i="7" s="1"/>
  <c r="F6" i="6"/>
  <c r="G6" i="6" s="1"/>
  <c r="H6" i="6" s="1"/>
  <c r="F18" i="6"/>
  <c r="G18" i="6" s="1"/>
  <c r="H18" i="6" s="1"/>
  <c r="F30" i="6"/>
  <c r="G30" i="6" s="1"/>
  <c r="H30" i="6" s="1"/>
  <c r="F36" i="7"/>
  <c r="G36" i="7" s="1"/>
  <c r="H36" i="7" s="1"/>
  <c r="F4" i="6"/>
  <c r="F15" i="7"/>
  <c r="G15" i="7" s="1"/>
  <c r="H15" i="7" s="1"/>
  <c r="F27" i="7"/>
  <c r="G27" i="7" s="1"/>
  <c r="H27" i="7" s="1"/>
  <c r="F39" i="7"/>
  <c r="G39" i="7" s="1"/>
  <c r="H39" i="7" s="1"/>
  <c r="F7" i="6"/>
  <c r="G7" i="6" s="1"/>
  <c r="H7" i="6" s="1"/>
  <c r="F19" i="6"/>
  <c r="G19" i="6" s="1"/>
  <c r="H19" i="6" s="1"/>
  <c r="F31" i="6"/>
  <c r="G31" i="6" s="1"/>
  <c r="H31" i="6" s="1"/>
  <c r="F40" i="5"/>
  <c r="G40" i="5" s="1"/>
  <c r="H40" i="5" s="1"/>
  <c r="F41" i="3"/>
  <c r="G41" i="3" s="1"/>
  <c r="H41" i="3" s="1"/>
  <c r="F4" i="7"/>
  <c r="F16" i="7"/>
  <c r="G16" i="7" s="1"/>
  <c r="H16" i="7" s="1"/>
  <c r="F28" i="7"/>
  <c r="G28" i="7" s="1"/>
  <c r="H28" i="7" s="1"/>
  <c r="F40" i="7"/>
  <c r="G40" i="7" s="1"/>
  <c r="H40" i="7" s="1"/>
  <c r="F8" i="6"/>
  <c r="G8" i="6" s="1"/>
  <c r="H8" i="6" s="1"/>
  <c r="F20" i="6"/>
  <c r="G20" i="6" s="1"/>
  <c r="H20" i="6" s="1"/>
  <c r="F32" i="6"/>
  <c r="G32" i="6" s="1"/>
  <c r="H32" i="6" s="1"/>
  <c r="F40" i="6"/>
  <c r="G40" i="6" s="1"/>
  <c r="H40" i="6" s="1"/>
  <c r="F5" i="7"/>
  <c r="G5" i="7" s="1"/>
  <c r="H5" i="7" s="1"/>
  <c r="F17" i="7"/>
  <c r="G17" i="7" s="1"/>
  <c r="H17" i="7" s="1"/>
  <c r="F29" i="7"/>
  <c r="G29" i="7" s="1"/>
  <c r="H29" i="7" s="1"/>
  <c r="F41" i="7"/>
  <c r="G41" i="7" s="1"/>
  <c r="H41" i="7" s="1"/>
  <c r="F43" i="6"/>
  <c r="G43" i="6" s="1"/>
  <c r="H43" i="6" s="1"/>
  <c r="F9" i="6"/>
  <c r="G9" i="6" s="1"/>
  <c r="H9" i="6" s="1"/>
  <c r="F21" i="6"/>
  <c r="G21" i="6" s="1"/>
  <c r="H21" i="6" s="1"/>
  <c r="F33" i="6"/>
  <c r="G33" i="6" s="1"/>
  <c r="H33" i="6" s="1"/>
  <c r="F12" i="7"/>
  <c r="G12" i="7" s="1"/>
  <c r="H12" i="7" s="1"/>
  <c r="F43" i="8"/>
  <c r="G43" i="8" s="1"/>
  <c r="H43" i="8" s="1"/>
  <c r="F6" i="7"/>
  <c r="G6" i="7" s="1"/>
  <c r="H6" i="7" s="1"/>
  <c r="F18" i="7"/>
  <c r="G18" i="7" s="1"/>
  <c r="H18" i="7" s="1"/>
  <c r="F30" i="7"/>
  <c r="G30" i="7" s="1"/>
  <c r="H30" i="7" s="1"/>
  <c r="F42" i="7"/>
  <c r="G42" i="7" s="1"/>
  <c r="H42" i="7" s="1"/>
  <c r="F10" i="6"/>
  <c r="G10" i="6" s="1"/>
  <c r="H10" i="6" s="1"/>
  <c r="F22" i="6"/>
  <c r="G22" i="6" s="1"/>
  <c r="H22" i="6" s="1"/>
  <c r="F34" i="6"/>
  <c r="G34" i="6" s="1"/>
  <c r="H34" i="6" s="1"/>
  <c r="F33" i="2"/>
  <c r="G33" i="2" s="1"/>
  <c r="H33" i="2" s="1"/>
  <c r="F16" i="6"/>
  <c r="G16" i="6" s="1"/>
  <c r="H16" i="6" s="1"/>
  <c r="F7" i="7"/>
  <c r="G7" i="7" s="1"/>
  <c r="H7" i="7" s="1"/>
  <c r="F19" i="7"/>
  <c r="G19" i="7" s="1"/>
  <c r="H19" i="7" s="1"/>
  <c r="F31" i="7"/>
  <c r="G31" i="7" s="1"/>
  <c r="H31" i="7" s="1"/>
  <c r="F11" i="6"/>
  <c r="G11" i="6" s="1"/>
  <c r="H11" i="6" s="1"/>
  <c r="F23" i="6"/>
  <c r="G23" i="6" s="1"/>
  <c r="H23" i="6" s="1"/>
  <c r="F35" i="6"/>
  <c r="G35" i="6" s="1"/>
  <c r="H35" i="6" s="1"/>
  <c r="F38" i="5"/>
  <c r="G38" i="5" s="1"/>
  <c r="H38" i="5" s="1"/>
  <c r="F41" i="5"/>
  <c r="G41" i="5" s="1"/>
  <c r="H41" i="5" s="1"/>
  <c r="G43" i="4"/>
  <c r="H43" i="4" s="1"/>
  <c r="F42" i="3"/>
  <c r="G42" i="3" s="1"/>
  <c r="H42" i="3" s="1"/>
  <c r="F8" i="7"/>
  <c r="G8" i="7" s="1"/>
  <c r="H8" i="7" s="1"/>
  <c r="F20" i="7"/>
  <c r="G20" i="7" s="1"/>
  <c r="H20" i="7" s="1"/>
  <c r="F32" i="7"/>
  <c r="G32" i="7" s="1"/>
  <c r="H32" i="7" s="1"/>
  <c r="F12" i="6"/>
  <c r="G12" i="6" s="1"/>
  <c r="H12" i="6" s="1"/>
  <c r="F24" i="6"/>
  <c r="G24" i="6" s="1"/>
  <c r="H24" i="6" s="1"/>
  <c r="F36" i="6"/>
  <c r="G36" i="6" s="1"/>
  <c r="H36" i="6" s="1"/>
  <c r="F41" i="1"/>
  <c r="G41" i="1" s="1"/>
  <c r="H41" i="1" s="1"/>
  <c r="F28" i="6"/>
  <c r="G28" i="6" s="1"/>
  <c r="H28" i="6" s="1"/>
  <c r="F9" i="7"/>
  <c r="G9" i="7" s="1"/>
  <c r="H9" i="7" s="1"/>
  <c r="F21" i="7"/>
  <c r="G21" i="7" s="1"/>
  <c r="H21" i="7" s="1"/>
  <c r="F33" i="7"/>
  <c r="G33" i="7" s="1"/>
  <c r="H33" i="7" s="1"/>
  <c r="F44" i="6"/>
  <c r="G44" i="6" s="1"/>
  <c r="H44" i="6" s="1"/>
  <c r="F13" i="6"/>
  <c r="G13" i="6" s="1"/>
  <c r="H13" i="6" s="1"/>
  <c r="F25" i="6"/>
  <c r="G25" i="6" s="1"/>
  <c r="H25" i="6" s="1"/>
  <c r="F37" i="6"/>
  <c r="G37" i="6" s="1"/>
  <c r="H37" i="6" s="1"/>
  <c r="F10" i="7"/>
  <c r="G10" i="7" s="1"/>
  <c r="H10" i="7" s="1"/>
  <c r="F22" i="7"/>
  <c r="G22" i="7" s="1"/>
  <c r="H22" i="7" s="1"/>
  <c r="F34" i="7"/>
  <c r="G34" i="7" s="1"/>
  <c r="H34" i="7" s="1"/>
  <c r="F14" i="6"/>
  <c r="G14" i="6" s="1"/>
  <c r="H14" i="6" s="1"/>
  <c r="F26" i="6"/>
  <c r="G26" i="6" s="1"/>
  <c r="H26" i="6" s="1"/>
  <c r="F38" i="6"/>
  <c r="G38" i="6" s="1"/>
  <c r="H38" i="6" s="1"/>
  <c r="F11" i="7"/>
  <c r="G11" i="7" s="1"/>
  <c r="H11" i="7" s="1"/>
  <c r="F23" i="7"/>
  <c r="G23" i="7" s="1"/>
  <c r="H23" i="7" s="1"/>
  <c r="F35" i="7"/>
  <c r="G35" i="7" s="1"/>
  <c r="H35" i="7" s="1"/>
  <c r="F15" i="6"/>
  <c r="G15" i="6" s="1"/>
  <c r="H15" i="6" s="1"/>
  <c r="F27" i="6"/>
  <c r="G27" i="6" s="1"/>
  <c r="H27" i="6" s="1"/>
  <c r="F39" i="6"/>
  <c r="G39" i="6" s="1"/>
  <c r="H39" i="6" s="1"/>
  <c r="F39" i="5"/>
  <c r="G39" i="5" s="1"/>
  <c r="H39" i="5" s="1"/>
  <c r="F42" i="5"/>
  <c r="G42" i="5" s="1"/>
  <c r="H42" i="5" s="1"/>
  <c r="F43" i="3"/>
  <c r="G43" i="3" s="1"/>
  <c r="H43" i="3" s="1"/>
  <c r="F42" i="1"/>
  <c r="G42" i="1" s="1"/>
  <c r="H42" i="1" s="1"/>
  <c r="G43" i="10"/>
  <c r="H43" i="10" s="1"/>
  <c r="G36" i="10"/>
  <c r="H36" i="10" s="1"/>
  <c r="G30" i="10"/>
  <c r="H30" i="10" s="1"/>
  <c r="G24" i="10"/>
  <c r="H24" i="10" s="1"/>
  <c r="F18" i="10"/>
  <c r="G18" i="10" s="1"/>
  <c r="H18" i="10" s="1"/>
  <c r="F12" i="10"/>
  <c r="G12" i="10" s="1"/>
  <c r="H12" i="10" s="1"/>
  <c r="F6" i="10"/>
  <c r="G6" i="10" s="1"/>
  <c r="H6" i="10" s="1"/>
  <c r="G31" i="10"/>
  <c r="H31" i="10" s="1"/>
  <c r="G35" i="10"/>
  <c r="H35" i="10" s="1"/>
  <c r="G29" i="10"/>
  <c r="H29" i="10" s="1"/>
  <c r="G23" i="10"/>
  <c r="H23" i="10" s="1"/>
  <c r="F17" i="10"/>
  <c r="G17" i="10" s="1"/>
  <c r="H17" i="10" s="1"/>
  <c r="F11" i="10"/>
  <c r="G11" i="10" s="1"/>
  <c r="H11" i="10" s="1"/>
  <c r="F5" i="10"/>
  <c r="G5" i="10" s="1"/>
  <c r="H5" i="10" s="1"/>
  <c r="F13" i="10"/>
  <c r="G13" i="10" s="1"/>
  <c r="H13" i="10" s="1"/>
  <c r="F19" i="10"/>
  <c r="G19" i="10" s="1"/>
  <c r="H19" i="10" s="1"/>
  <c r="G40" i="10"/>
  <c r="H40" i="10" s="1"/>
  <c r="G34" i="10"/>
  <c r="H34" i="10" s="1"/>
  <c r="G28" i="10"/>
  <c r="H28" i="10" s="1"/>
  <c r="F22" i="10"/>
  <c r="G22" i="10" s="1"/>
  <c r="H22" i="10" s="1"/>
  <c r="F16" i="10"/>
  <c r="G16" i="10" s="1"/>
  <c r="H16" i="10" s="1"/>
  <c r="F10" i="10"/>
  <c r="G10" i="10" s="1"/>
  <c r="H10" i="10" s="1"/>
  <c r="F4" i="10"/>
  <c r="G37" i="10"/>
  <c r="H37" i="10" s="1"/>
  <c r="G39" i="10"/>
  <c r="H39" i="10" s="1"/>
  <c r="G33" i="10"/>
  <c r="H33" i="10" s="1"/>
  <c r="G27" i="10"/>
  <c r="H27" i="10" s="1"/>
  <c r="F21" i="10"/>
  <c r="G21" i="10" s="1"/>
  <c r="H21" i="10" s="1"/>
  <c r="F15" i="10"/>
  <c r="G15" i="10" s="1"/>
  <c r="H15" i="10" s="1"/>
  <c r="F9" i="10"/>
  <c r="G9" i="10" s="1"/>
  <c r="H9" i="10" s="1"/>
  <c r="F7" i="10"/>
  <c r="G7" i="10" s="1"/>
  <c r="H7" i="10" s="1"/>
  <c r="G41" i="10"/>
  <c r="H41" i="10" s="1"/>
  <c r="G38" i="10"/>
  <c r="H38" i="10" s="1"/>
  <c r="G32" i="10"/>
  <c r="H32" i="10" s="1"/>
  <c r="G26" i="10"/>
  <c r="H26" i="10" s="1"/>
  <c r="F20" i="10"/>
  <c r="G20" i="10" s="1"/>
  <c r="H20" i="10" s="1"/>
  <c r="F14" i="10"/>
  <c r="G14" i="10" s="1"/>
  <c r="H14" i="10" s="1"/>
  <c r="F8" i="10"/>
  <c r="G8" i="10" s="1"/>
  <c r="H8" i="10" s="1"/>
  <c r="G42" i="10"/>
  <c r="H42" i="10" s="1"/>
  <c r="G25" i="10"/>
  <c r="H25" i="10" s="1"/>
  <c r="F8" i="8"/>
  <c r="G8" i="8" s="1"/>
  <c r="H8" i="8" s="1"/>
  <c r="F11" i="5"/>
  <c r="G11" i="5" s="1"/>
  <c r="H11" i="5" s="1"/>
  <c r="F19" i="5"/>
  <c r="G19" i="5" s="1"/>
  <c r="H19" i="5" s="1"/>
  <c r="F28" i="5"/>
  <c r="G28" i="5" s="1"/>
  <c r="H28" i="5" s="1"/>
  <c r="F36" i="5"/>
  <c r="G36" i="5" s="1"/>
  <c r="H36" i="5" s="1"/>
  <c r="G14" i="4"/>
  <c r="H14" i="4" s="1"/>
  <c r="G26" i="4"/>
  <c r="H26" i="4" s="1"/>
  <c r="G38" i="4"/>
  <c r="H38" i="4" s="1"/>
  <c r="F11" i="3"/>
  <c r="G11" i="3" s="1"/>
  <c r="H11" i="3" s="1"/>
  <c r="F23" i="3"/>
  <c r="G23" i="3" s="1"/>
  <c r="H23" i="3" s="1"/>
  <c r="F33" i="3"/>
  <c r="G33" i="3" s="1"/>
  <c r="H33" i="3" s="1"/>
  <c r="F6" i="2"/>
  <c r="G6" i="2" s="1"/>
  <c r="H6" i="2" s="1"/>
  <c r="F18" i="2"/>
  <c r="G18" i="2" s="1"/>
  <c r="H18" i="2" s="1"/>
  <c r="F30" i="2"/>
  <c r="G30" i="2" s="1"/>
  <c r="H30" i="2" s="1"/>
  <c r="F43" i="2"/>
  <c r="G43" i="2" s="1"/>
  <c r="H43" i="2" s="1"/>
  <c r="F30" i="5"/>
  <c r="G30" i="5" s="1"/>
  <c r="H30" i="5" s="1"/>
  <c r="G42" i="4"/>
  <c r="H42" i="4" s="1"/>
  <c r="F35" i="2"/>
  <c r="G35" i="2" s="1"/>
  <c r="H35" i="2" s="1"/>
  <c r="F9" i="8"/>
  <c r="G9" i="8" s="1"/>
  <c r="H9" i="8" s="1"/>
  <c r="F16" i="8"/>
  <c r="G16" i="8" s="1"/>
  <c r="H16" i="8" s="1"/>
  <c r="F33" i="8"/>
  <c r="G33" i="8" s="1"/>
  <c r="H33" i="8" s="1"/>
  <c r="F20" i="5"/>
  <c r="G20" i="5" s="1"/>
  <c r="H20" i="5" s="1"/>
  <c r="F37" i="5"/>
  <c r="G37" i="5" s="1"/>
  <c r="H37" i="5" s="1"/>
  <c r="G15" i="4"/>
  <c r="H15" i="4" s="1"/>
  <c r="G27" i="4"/>
  <c r="H27" i="4" s="1"/>
  <c r="G39" i="4"/>
  <c r="H39" i="4" s="1"/>
  <c r="F12" i="3"/>
  <c r="G12" i="3" s="1"/>
  <c r="H12" i="3" s="1"/>
  <c r="F24" i="3"/>
  <c r="G24" i="3" s="1"/>
  <c r="H24" i="3" s="1"/>
  <c r="F34" i="3"/>
  <c r="G34" i="3" s="1"/>
  <c r="H34" i="3" s="1"/>
  <c r="F7" i="2"/>
  <c r="G7" i="2" s="1"/>
  <c r="H7" i="2" s="1"/>
  <c r="F19" i="2"/>
  <c r="G19" i="2" s="1"/>
  <c r="H19" i="2" s="1"/>
  <c r="F31" i="2"/>
  <c r="G31" i="2" s="1"/>
  <c r="H31" i="2" s="1"/>
  <c r="F4" i="2"/>
  <c r="F10" i="8"/>
  <c r="G10" i="8" s="1"/>
  <c r="H10" i="8" s="1"/>
  <c r="G18" i="4"/>
  <c r="H18" i="4" s="1"/>
  <c r="F15" i="3"/>
  <c r="G15" i="3" s="1"/>
  <c r="H15" i="3" s="1"/>
  <c r="F22" i="2"/>
  <c r="G22" i="2" s="1"/>
  <c r="H22" i="2" s="1"/>
  <c r="F17" i="8"/>
  <c r="G17" i="8" s="1"/>
  <c r="H17" i="8" s="1"/>
  <c r="F26" i="8"/>
  <c r="G26" i="8" s="1"/>
  <c r="H26" i="8" s="1"/>
  <c r="F34" i="8"/>
  <c r="G34" i="8" s="1"/>
  <c r="H34" i="8" s="1"/>
  <c r="F12" i="5"/>
  <c r="G12" i="5" s="1"/>
  <c r="H12" i="5" s="1"/>
  <c r="F4" i="5"/>
  <c r="G16" i="4"/>
  <c r="H16" i="4" s="1"/>
  <c r="G28" i="4"/>
  <c r="H28" i="4" s="1"/>
  <c r="G40" i="4"/>
  <c r="H40" i="4" s="1"/>
  <c r="F13" i="3"/>
  <c r="G13" i="3" s="1"/>
  <c r="H13" i="3" s="1"/>
  <c r="F35" i="3"/>
  <c r="G35" i="3" s="1"/>
  <c r="H35" i="3" s="1"/>
  <c r="F8" i="2"/>
  <c r="G8" i="2" s="1"/>
  <c r="H8" i="2" s="1"/>
  <c r="F20" i="2"/>
  <c r="G20" i="2" s="1"/>
  <c r="H20" i="2" s="1"/>
  <c r="F32" i="2"/>
  <c r="G32" i="2" s="1"/>
  <c r="H32" i="2" s="1"/>
  <c r="F28" i="8"/>
  <c r="G28" i="8" s="1"/>
  <c r="H28" i="8" s="1"/>
  <c r="G6" i="4"/>
  <c r="H6" i="4" s="1"/>
  <c r="F10" i="2"/>
  <c r="G10" i="2" s="1"/>
  <c r="H10" i="2" s="1"/>
  <c r="F18" i="8"/>
  <c r="G18" i="8" s="1"/>
  <c r="H18" i="8" s="1"/>
  <c r="F27" i="8"/>
  <c r="G27" i="8" s="1"/>
  <c r="H27" i="8" s="1"/>
  <c r="F35" i="8"/>
  <c r="G35" i="8" s="1"/>
  <c r="H35" i="8" s="1"/>
  <c r="F13" i="5"/>
  <c r="G13" i="5" s="1"/>
  <c r="H13" i="5" s="1"/>
  <c r="F21" i="5"/>
  <c r="G21" i="5" s="1"/>
  <c r="H21" i="5" s="1"/>
  <c r="F29" i="5"/>
  <c r="G29" i="5" s="1"/>
  <c r="H29" i="5" s="1"/>
  <c r="G5" i="4"/>
  <c r="H5" i="4" s="1"/>
  <c r="G17" i="4"/>
  <c r="H17" i="4" s="1"/>
  <c r="G29" i="4"/>
  <c r="H29" i="4" s="1"/>
  <c r="G41" i="4"/>
  <c r="H41" i="4" s="1"/>
  <c r="F14" i="3"/>
  <c r="G14" i="3" s="1"/>
  <c r="H14" i="3" s="1"/>
  <c r="F25" i="3"/>
  <c r="G25" i="3" s="1"/>
  <c r="H25" i="3" s="1"/>
  <c r="F36" i="3"/>
  <c r="G36" i="3" s="1"/>
  <c r="H36" i="3" s="1"/>
  <c r="F9" i="2"/>
  <c r="G9" i="2" s="1"/>
  <c r="H9" i="2" s="1"/>
  <c r="F21" i="2"/>
  <c r="G21" i="2" s="1"/>
  <c r="H21" i="2" s="1"/>
  <c r="F34" i="2"/>
  <c r="G34" i="2" s="1"/>
  <c r="H34" i="2" s="1"/>
  <c r="F19" i="8"/>
  <c r="G19" i="8" s="1"/>
  <c r="H19" i="8" s="1"/>
  <c r="F36" i="8"/>
  <c r="G36" i="8" s="1"/>
  <c r="H36" i="8" s="1"/>
  <c r="G30" i="4"/>
  <c r="H30" i="4" s="1"/>
  <c r="F26" i="3"/>
  <c r="G26" i="3" s="1"/>
  <c r="H26" i="3" s="1"/>
  <c r="F11" i="8"/>
  <c r="G11" i="8" s="1"/>
  <c r="H11" i="8" s="1"/>
  <c r="F20" i="8"/>
  <c r="G20" i="8" s="1"/>
  <c r="H20" i="8" s="1"/>
  <c r="F37" i="8"/>
  <c r="G37" i="8" s="1"/>
  <c r="H37" i="8" s="1"/>
  <c r="F5" i="5"/>
  <c r="G5" i="5" s="1"/>
  <c r="H5" i="5" s="1"/>
  <c r="F14" i="5"/>
  <c r="G14" i="5" s="1"/>
  <c r="H14" i="5" s="1"/>
  <c r="F22" i="5"/>
  <c r="G22" i="5" s="1"/>
  <c r="H22" i="5" s="1"/>
  <c r="F31" i="5"/>
  <c r="G31" i="5" s="1"/>
  <c r="H31" i="5" s="1"/>
  <c r="G7" i="4"/>
  <c r="H7" i="4" s="1"/>
  <c r="G19" i="4"/>
  <c r="H19" i="4" s="1"/>
  <c r="G31" i="4"/>
  <c r="H31" i="4" s="1"/>
  <c r="G4" i="4"/>
  <c r="H4" i="4" s="1"/>
  <c r="F16" i="3"/>
  <c r="G16" i="3" s="1"/>
  <c r="H16" i="3" s="1"/>
  <c r="F27" i="3"/>
  <c r="G27" i="3" s="1"/>
  <c r="H27" i="3" s="1"/>
  <c r="F37" i="3"/>
  <c r="G37" i="3" s="1"/>
  <c r="H37" i="3" s="1"/>
  <c r="F11" i="2"/>
  <c r="G11" i="2" s="1"/>
  <c r="H11" i="2" s="1"/>
  <c r="F23" i="2"/>
  <c r="G23" i="2" s="1"/>
  <c r="H23" i="2" s="1"/>
  <c r="F36" i="2"/>
  <c r="G36" i="2" s="1"/>
  <c r="H36" i="2" s="1"/>
  <c r="F15" i="8"/>
  <c r="G15" i="8" s="1"/>
  <c r="H15" i="8" s="1"/>
  <c r="F18" i="5"/>
  <c r="G18" i="5" s="1"/>
  <c r="H18" i="5" s="1"/>
  <c r="F22" i="3"/>
  <c r="G22" i="3" s="1"/>
  <c r="H22" i="3" s="1"/>
  <c r="F12" i="8"/>
  <c r="G12" i="8" s="1"/>
  <c r="H12" i="8" s="1"/>
  <c r="F21" i="8"/>
  <c r="G21" i="8" s="1"/>
  <c r="H21" i="8" s="1"/>
  <c r="F38" i="8"/>
  <c r="G38" i="8" s="1"/>
  <c r="H38" i="8" s="1"/>
  <c r="F6" i="5"/>
  <c r="G6" i="5" s="1"/>
  <c r="H6" i="5" s="1"/>
  <c r="G8" i="4"/>
  <c r="H8" i="4" s="1"/>
  <c r="G20" i="4"/>
  <c r="H20" i="4" s="1"/>
  <c r="G32" i="4"/>
  <c r="H32" i="4" s="1"/>
  <c r="F5" i="3"/>
  <c r="G5" i="3" s="1"/>
  <c r="H5" i="3" s="1"/>
  <c r="F17" i="3"/>
  <c r="G17" i="3" s="1"/>
  <c r="H17" i="3" s="1"/>
  <c r="F28" i="3"/>
  <c r="G28" i="3" s="1"/>
  <c r="H28" i="3" s="1"/>
  <c r="F38" i="3"/>
  <c r="G38" i="3" s="1"/>
  <c r="H38" i="3" s="1"/>
  <c r="F12" i="2"/>
  <c r="G12" i="2" s="1"/>
  <c r="H12" i="2" s="1"/>
  <c r="F24" i="2"/>
  <c r="G24" i="2" s="1"/>
  <c r="H24" i="2" s="1"/>
  <c r="F37" i="2"/>
  <c r="G37" i="2" s="1"/>
  <c r="H37" i="2" s="1"/>
  <c r="F10" i="3"/>
  <c r="G10" i="3" s="1"/>
  <c r="H10" i="3" s="1"/>
  <c r="F17" i="2"/>
  <c r="G17" i="2" s="1"/>
  <c r="H17" i="2" s="1"/>
  <c r="F22" i="8"/>
  <c r="G22" i="8" s="1"/>
  <c r="H22" i="8" s="1"/>
  <c r="F29" i="8"/>
  <c r="G29" i="8" s="1"/>
  <c r="H29" i="8" s="1"/>
  <c r="F39" i="8"/>
  <c r="G39" i="8" s="1"/>
  <c r="H39" i="8" s="1"/>
  <c r="F15" i="5"/>
  <c r="G15" i="5" s="1"/>
  <c r="H15" i="5" s="1"/>
  <c r="F23" i="5"/>
  <c r="G23" i="5" s="1"/>
  <c r="H23" i="5" s="1"/>
  <c r="F32" i="5"/>
  <c r="G32" i="5" s="1"/>
  <c r="H32" i="5" s="1"/>
  <c r="G9" i="4"/>
  <c r="H9" i="4" s="1"/>
  <c r="G21" i="4"/>
  <c r="H21" i="4" s="1"/>
  <c r="G33" i="4"/>
  <c r="H33" i="4" s="1"/>
  <c r="F6" i="3"/>
  <c r="G6" i="3" s="1"/>
  <c r="H6" i="3" s="1"/>
  <c r="F18" i="3"/>
  <c r="G18" i="3" s="1"/>
  <c r="H18" i="3" s="1"/>
  <c r="F39" i="3"/>
  <c r="G39" i="3" s="1"/>
  <c r="H39" i="3" s="1"/>
  <c r="F13" i="2"/>
  <c r="G13" i="2" s="1"/>
  <c r="H13" i="2" s="1"/>
  <c r="F25" i="2"/>
  <c r="G25" i="2" s="1"/>
  <c r="H25" i="2" s="1"/>
  <c r="F38" i="2"/>
  <c r="G38" i="2" s="1"/>
  <c r="H38" i="2" s="1"/>
  <c r="F10" i="5"/>
  <c r="G10" i="5" s="1"/>
  <c r="H10" i="5" s="1"/>
  <c r="G25" i="4"/>
  <c r="H25" i="4" s="1"/>
  <c r="F29" i="2"/>
  <c r="G29" i="2" s="1"/>
  <c r="H29" i="2" s="1"/>
  <c r="F5" i="8"/>
  <c r="G5" i="8" s="1"/>
  <c r="H5" i="8" s="1"/>
  <c r="F23" i="8"/>
  <c r="G23" i="8" s="1"/>
  <c r="H23" i="8" s="1"/>
  <c r="F30" i="8"/>
  <c r="G30" i="8" s="1"/>
  <c r="H30" i="8" s="1"/>
  <c r="F40" i="8"/>
  <c r="G40" i="8" s="1"/>
  <c r="H40" i="8" s="1"/>
  <c r="F7" i="5"/>
  <c r="G7" i="5" s="1"/>
  <c r="H7" i="5" s="1"/>
  <c r="F24" i="5"/>
  <c r="G24" i="5" s="1"/>
  <c r="H24" i="5" s="1"/>
  <c r="F33" i="5"/>
  <c r="G33" i="5" s="1"/>
  <c r="H33" i="5" s="1"/>
  <c r="G10" i="4"/>
  <c r="H10" i="4" s="1"/>
  <c r="G22" i="4"/>
  <c r="H22" i="4" s="1"/>
  <c r="G34" i="4"/>
  <c r="H34" i="4" s="1"/>
  <c r="F7" i="3"/>
  <c r="G7" i="3" s="1"/>
  <c r="H7" i="3" s="1"/>
  <c r="F19" i="3"/>
  <c r="G19" i="3" s="1"/>
  <c r="H19" i="3" s="1"/>
  <c r="F29" i="3"/>
  <c r="G29" i="3" s="1"/>
  <c r="H29" i="3" s="1"/>
  <c r="F40" i="3"/>
  <c r="G40" i="3" s="1"/>
  <c r="H40" i="3" s="1"/>
  <c r="F14" i="2"/>
  <c r="G14" i="2" s="1"/>
  <c r="H14" i="2" s="1"/>
  <c r="F26" i="2"/>
  <c r="G26" i="2" s="1"/>
  <c r="H26" i="2" s="1"/>
  <c r="F39" i="2"/>
  <c r="G39" i="2" s="1"/>
  <c r="H39" i="2" s="1"/>
  <c r="F32" i="3"/>
  <c r="G32" i="3" s="1"/>
  <c r="H32" i="3" s="1"/>
  <c r="F6" i="8"/>
  <c r="G6" i="8" s="1"/>
  <c r="H6" i="8" s="1"/>
  <c r="F13" i="8"/>
  <c r="G13" i="8" s="1"/>
  <c r="H13" i="8" s="1"/>
  <c r="F31" i="8"/>
  <c r="G31" i="8" s="1"/>
  <c r="H31" i="8" s="1"/>
  <c r="F41" i="8"/>
  <c r="G41" i="8" s="1"/>
  <c r="H41" i="8" s="1"/>
  <c r="F8" i="5"/>
  <c r="G8" i="5" s="1"/>
  <c r="H8" i="5" s="1"/>
  <c r="F16" i="5"/>
  <c r="G16" i="5" s="1"/>
  <c r="H16" i="5" s="1"/>
  <c r="F25" i="5"/>
  <c r="G25" i="5" s="1"/>
  <c r="H25" i="5" s="1"/>
  <c r="F34" i="5"/>
  <c r="G34" i="5" s="1"/>
  <c r="H34" i="5" s="1"/>
  <c r="G11" i="4"/>
  <c r="H11" i="4" s="1"/>
  <c r="G23" i="4"/>
  <c r="H23" i="4" s="1"/>
  <c r="G35" i="4"/>
  <c r="H35" i="4" s="1"/>
  <c r="F8" i="3"/>
  <c r="G8" i="3" s="1"/>
  <c r="H8" i="3" s="1"/>
  <c r="F20" i="3"/>
  <c r="G20" i="3" s="1"/>
  <c r="H20" i="3" s="1"/>
  <c r="F30" i="3"/>
  <c r="G30" i="3" s="1"/>
  <c r="H30" i="3" s="1"/>
  <c r="F15" i="2"/>
  <c r="G15" i="2" s="1"/>
  <c r="H15" i="2" s="1"/>
  <c r="F27" i="2"/>
  <c r="G27" i="2" s="1"/>
  <c r="H27" i="2" s="1"/>
  <c r="F40" i="2"/>
  <c r="G40" i="2" s="1"/>
  <c r="H40" i="2" s="1"/>
  <c r="F25" i="8"/>
  <c r="G25" i="8" s="1"/>
  <c r="H25" i="8" s="1"/>
  <c r="G13" i="4"/>
  <c r="H13" i="4" s="1"/>
  <c r="F42" i="2"/>
  <c r="G42" i="2" s="1"/>
  <c r="H42" i="2" s="1"/>
  <c r="F7" i="8"/>
  <c r="G7" i="8" s="1"/>
  <c r="H7" i="8" s="1"/>
  <c r="F14" i="8"/>
  <c r="G14" i="8" s="1"/>
  <c r="H14" i="8" s="1"/>
  <c r="F24" i="8"/>
  <c r="G24" i="8" s="1"/>
  <c r="H24" i="8" s="1"/>
  <c r="F4" i="8"/>
  <c r="F9" i="5"/>
  <c r="G9" i="5" s="1"/>
  <c r="H9" i="5" s="1"/>
  <c r="F17" i="5"/>
  <c r="G17" i="5" s="1"/>
  <c r="H17" i="5" s="1"/>
  <c r="F26" i="5"/>
  <c r="G26" i="5" s="1"/>
  <c r="H26" i="5" s="1"/>
  <c r="F35" i="5"/>
  <c r="G35" i="5" s="1"/>
  <c r="H35" i="5" s="1"/>
  <c r="G12" i="4"/>
  <c r="H12" i="4" s="1"/>
  <c r="G24" i="4"/>
  <c r="H24" i="4" s="1"/>
  <c r="G36" i="4"/>
  <c r="H36" i="4" s="1"/>
  <c r="F9" i="3"/>
  <c r="G9" i="3" s="1"/>
  <c r="H9" i="3" s="1"/>
  <c r="F21" i="3"/>
  <c r="G21" i="3" s="1"/>
  <c r="H21" i="3" s="1"/>
  <c r="F31" i="3"/>
  <c r="G31" i="3" s="1"/>
  <c r="H31" i="3" s="1"/>
  <c r="F4" i="3"/>
  <c r="F16" i="2"/>
  <c r="G16" i="2" s="1"/>
  <c r="H16" i="2" s="1"/>
  <c r="F28" i="2"/>
  <c r="G28" i="2" s="1"/>
  <c r="H28" i="2" s="1"/>
  <c r="F41" i="2"/>
  <c r="G41" i="2" s="1"/>
  <c r="H41" i="2" s="1"/>
  <c r="F32" i="8"/>
  <c r="G32" i="8" s="1"/>
  <c r="H32" i="8" s="1"/>
  <c r="F27" i="5"/>
  <c r="G27" i="5" s="1"/>
  <c r="H27" i="5" s="1"/>
  <c r="G37" i="4"/>
  <c r="H37" i="4" s="1"/>
  <c r="F5" i="2"/>
  <c r="G5" i="2" s="1"/>
  <c r="H5" i="2" s="1"/>
  <c r="K12" i="2"/>
  <c r="K12" i="5"/>
  <c r="K12" i="7"/>
  <c r="K12" i="3"/>
  <c r="K12" i="8"/>
  <c r="K12" i="6"/>
  <c r="K12" i="4"/>
  <c r="K14" i="8"/>
  <c r="K14" i="2"/>
  <c r="K14" i="7"/>
  <c r="K14" i="4"/>
  <c r="K14" i="3"/>
  <c r="K14" i="5"/>
  <c r="K14" i="6"/>
  <c r="K13" i="2"/>
  <c r="K13" i="5"/>
  <c r="K13" i="7"/>
  <c r="K13" i="4"/>
  <c r="K13" i="3"/>
  <c r="K13" i="6"/>
  <c r="K13" i="8"/>
  <c r="K11" i="2"/>
  <c r="K11" i="5"/>
  <c r="K11" i="7"/>
  <c r="K11" i="3"/>
  <c r="K11" i="6"/>
  <c r="K11" i="4"/>
  <c r="K11" i="8"/>
  <c r="K10" i="5"/>
  <c r="K10" i="7"/>
  <c r="K10" i="3"/>
  <c r="K10" i="6"/>
  <c r="K10" i="4"/>
  <c r="K10" i="8"/>
  <c r="K10" i="2"/>
  <c r="K25" i="5"/>
  <c r="K25" i="7"/>
  <c r="K25" i="3"/>
  <c r="K25" i="6"/>
  <c r="K25" i="4"/>
  <c r="K25" i="8"/>
  <c r="K25" i="2"/>
  <c r="K17" i="5"/>
  <c r="K17" i="7"/>
  <c r="K17" i="3"/>
  <c r="K17" i="6"/>
  <c r="K17" i="4"/>
  <c r="K17" i="8"/>
  <c r="K17" i="2"/>
  <c r="K9" i="5"/>
  <c r="K9" i="7"/>
  <c r="K9" i="3"/>
  <c r="K9" i="6"/>
  <c r="K9" i="4"/>
  <c r="K9" i="8"/>
  <c r="K9" i="2"/>
  <c r="K22" i="8"/>
  <c r="K22" i="2"/>
  <c r="K22" i="6"/>
  <c r="K22" i="7"/>
  <c r="K22" i="4"/>
  <c r="K22" i="3"/>
  <c r="K22" i="5"/>
  <c r="K6" i="8"/>
  <c r="K6" i="2"/>
  <c r="K6" i="5"/>
  <c r="K6" i="6"/>
  <c r="K6" i="7"/>
  <c r="K6" i="4"/>
  <c r="K6" i="3"/>
  <c r="K21" i="2"/>
  <c r="K21" i="5"/>
  <c r="K21" i="7"/>
  <c r="K21" i="4"/>
  <c r="K21" i="3"/>
  <c r="K21" i="8"/>
  <c r="K21" i="6"/>
  <c r="K20" i="2"/>
  <c r="K20" i="5"/>
  <c r="K20" i="7"/>
  <c r="K20" i="3"/>
  <c r="K20" i="8"/>
  <c r="K20" i="4"/>
  <c r="K20" i="6"/>
  <c r="K19" i="2"/>
  <c r="K19" i="5"/>
  <c r="K19" i="7"/>
  <c r="K19" i="3"/>
  <c r="K19" i="6"/>
  <c r="K19" i="4"/>
  <c r="K19" i="8"/>
  <c r="K18" i="5"/>
  <c r="K18" i="7"/>
  <c r="K18" i="3"/>
  <c r="K18" i="6"/>
  <c r="K18" i="4"/>
  <c r="K18" i="8"/>
  <c r="K18" i="2"/>
  <c r="K24" i="7"/>
  <c r="K24" i="3"/>
  <c r="K24" i="6"/>
  <c r="K24" i="4"/>
  <c r="K24" i="8"/>
  <c r="K24" i="5"/>
  <c r="K24" i="2"/>
  <c r="K16" i="7"/>
  <c r="K16" i="3"/>
  <c r="K16" i="6"/>
  <c r="K16" i="4"/>
  <c r="K16" i="8"/>
  <c r="K16" i="5"/>
  <c r="K16" i="2"/>
  <c r="K8" i="7"/>
  <c r="K8" i="3"/>
  <c r="K8" i="6"/>
  <c r="K8" i="4"/>
  <c r="K8" i="8"/>
  <c r="K8" i="2"/>
  <c r="K8" i="5"/>
  <c r="K23" i="6"/>
  <c r="K23" i="4"/>
  <c r="K23" i="8"/>
  <c r="K23" i="2"/>
  <c r="K23" i="7"/>
  <c r="K23" i="3"/>
  <c r="K23" i="5"/>
  <c r="K15" i="6"/>
  <c r="K15" i="4"/>
  <c r="K15" i="8"/>
  <c r="K15" i="2"/>
  <c r="K15" i="5"/>
  <c r="K15" i="7"/>
  <c r="K15" i="3"/>
  <c r="K7" i="6"/>
  <c r="K7" i="4"/>
  <c r="K7" i="8"/>
  <c r="K7" i="2"/>
  <c r="K7" i="5"/>
  <c r="K7" i="7"/>
  <c r="K7" i="3"/>
  <c r="F11" i="1"/>
  <c r="G11" i="1" s="1"/>
  <c r="H11" i="1" s="1"/>
  <c r="F10" i="1"/>
  <c r="G10" i="1" s="1"/>
  <c r="H10" i="1" s="1"/>
  <c r="F18" i="1"/>
  <c r="G18" i="1" s="1"/>
  <c r="H18" i="1" s="1"/>
  <c r="F33" i="1"/>
  <c r="G33" i="1" s="1"/>
  <c r="H33" i="1" s="1"/>
  <c r="F40" i="1"/>
  <c r="G40" i="1" s="1"/>
  <c r="H40" i="1" s="1"/>
  <c r="F24" i="1"/>
  <c r="G24" i="1" s="1"/>
  <c r="H24" i="1" s="1"/>
  <c r="F16" i="1"/>
  <c r="G16" i="1" s="1"/>
  <c r="H16" i="1" s="1"/>
  <c r="F8" i="1"/>
  <c r="G8" i="1" s="1"/>
  <c r="H8" i="1" s="1"/>
  <c r="F36" i="1"/>
  <c r="G36" i="1" s="1"/>
  <c r="H36" i="1" s="1"/>
  <c r="F12" i="1"/>
  <c r="G12" i="1" s="1"/>
  <c r="H12" i="1" s="1"/>
  <c r="F19" i="1"/>
  <c r="G19" i="1" s="1"/>
  <c r="H19" i="1" s="1"/>
  <c r="F26" i="1"/>
  <c r="F17" i="1"/>
  <c r="G17" i="1" s="1"/>
  <c r="H17" i="1" s="1"/>
  <c r="F39" i="1"/>
  <c r="G39" i="1" s="1"/>
  <c r="H39" i="1" s="1"/>
  <c r="F23" i="1"/>
  <c r="G23" i="1" s="1"/>
  <c r="H23" i="1" s="1"/>
  <c r="F7" i="1"/>
  <c r="G7" i="1" s="1"/>
  <c r="H7" i="1" s="1"/>
  <c r="F28" i="1"/>
  <c r="G28" i="1" s="1"/>
  <c r="H28" i="1" s="1"/>
  <c r="F35" i="1"/>
  <c r="G35" i="1" s="1"/>
  <c r="H35" i="1" s="1"/>
  <c r="F34" i="1"/>
  <c r="G34" i="1" s="1"/>
  <c r="H34" i="1" s="1"/>
  <c r="F9" i="1"/>
  <c r="G9" i="1" s="1"/>
  <c r="H9" i="1" s="1"/>
  <c r="F31" i="1"/>
  <c r="G31" i="1" s="1"/>
  <c r="H31" i="1" s="1"/>
  <c r="F38" i="1"/>
  <c r="G38" i="1" s="1"/>
  <c r="H38" i="1" s="1"/>
  <c r="F30" i="1"/>
  <c r="G30" i="1" s="1"/>
  <c r="H30" i="1" s="1"/>
  <c r="F22" i="1"/>
  <c r="G22" i="1" s="1"/>
  <c r="H22" i="1" s="1"/>
  <c r="F14" i="1"/>
  <c r="G14" i="1" s="1"/>
  <c r="H14" i="1" s="1"/>
  <c r="F6" i="1"/>
  <c r="G6" i="1" s="1"/>
  <c r="H6" i="1" s="1"/>
  <c r="F20" i="1"/>
  <c r="G20" i="1" s="1"/>
  <c r="H20" i="1" s="1"/>
  <c r="F27" i="1"/>
  <c r="G27" i="1" s="1"/>
  <c r="H27" i="1" s="1"/>
  <c r="F4" i="1"/>
  <c r="G4" i="1" s="1"/>
  <c r="H4" i="1" s="1"/>
  <c r="F25" i="1"/>
  <c r="G25" i="1" s="1"/>
  <c r="H25" i="1" s="1"/>
  <c r="F32" i="1"/>
  <c r="G32" i="1" s="1"/>
  <c r="H32" i="1" s="1"/>
  <c r="F15" i="1"/>
  <c r="G15" i="1" s="1"/>
  <c r="H15" i="1" s="1"/>
  <c r="F37" i="1"/>
  <c r="G37" i="1" s="1"/>
  <c r="H37" i="1" s="1"/>
  <c r="F29" i="1"/>
  <c r="G29" i="1" s="1"/>
  <c r="H29" i="1" s="1"/>
  <c r="F21" i="1"/>
  <c r="G21" i="1" s="1"/>
  <c r="H21" i="1" s="1"/>
  <c r="F13" i="1"/>
  <c r="G13" i="1" s="1"/>
  <c r="H13" i="1" s="1"/>
  <c r="I5" i="6"/>
  <c r="I5" i="5"/>
  <c r="J5" i="5"/>
  <c r="J5" i="6"/>
  <c r="G4" i="5" l="1"/>
  <c r="H4" i="5" s="1"/>
  <c r="N2" i="5"/>
  <c r="G4" i="8"/>
  <c r="H4" i="8" s="1"/>
  <c r="N2" i="8"/>
  <c r="G4" i="3"/>
  <c r="H4" i="3" s="1"/>
  <c r="N2" i="3"/>
  <c r="G4" i="2"/>
  <c r="H4" i="2" s="1"/>
  <c r="N2" i="2"/>
  <c r="G4" i="10"/>
  <c r="H4" i="10" s="1"/>
  <c r="N2" i="10"/>
  <c r="N2" i="7"/>
  <c r="G4" i="7"/>
  <c r="H4" i="7" s="1"/>
  <c r="N2" i="6"/>
  <c r="G4" i="6"/>
  <c r="H4" i="6" s="1"/>
  <c r="G26" i="1"/>
  <c r="H26" i="1" s="1"/>
  <c r="N2" i="1"/>
  <c r="L5" i="6"/>
  <c r="L5" i="5"/>
  <c r="I6" i="8" l="1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5" i="8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5" i="7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J14" i="5"/>
  <c r="J18" i="5"/>
  <c r="J21" i="5"/>
  <c r="J7" i="5"/>
  <c r="J29" i="5"/>
  <c r="J20" i="5"/>
  <c r="J8" i="5"/>
  <c r="J12" i="5"/>
  <c r="J31" i="5"/>
  <c r="J9" i="5"/>
  <c r="J19" i="5"/>
  <c r="J30" i="5"/>
  <c r="J23" i="5"/>
  <c r="J28" i="5"/>
  <c r="J15" i="5"/>
  <c r="J25" i="5"/>
  <c r="J11" i="5"/>
  <c r="J27" i="5"/>
  <c r="J16" i="5"/>
  <c r="J10" i="5"/>
  <c r="J32" i="5"/>
  <c r="J26" i="5"/>
  <c r="J17" i="5"/>
  <c r="J6" i="5"/>
  <c r="J24" i="5"/>
  <c r="J22" i="5"/>
  <c r="J13" i="5"/>
  <c r="J17" i="6"/>
  <c r="J21" i="6"/>
  <c r="J27" i="6"/>
  <c r="J32" i="6"/>
  <c r="J15" i="6"/>
  <c r="J33" i="6"/>
  <c r="J10" i="6"/>
  <c r="J19" i="6"/>
  <c r="J18" i="6"/>
  <c r="J28" i="6"/>
  <c r="J20" i="6"/>
  <c r="J29" i="6"/>
  <c r="J7" i="6"/>
  <c r="J13" i="6"/>
  <c r="J8" i="6"/>
  <c r="J9" i="6"/>
  <c r="J24" i="6"/>
  <c r="J25" i="6"/>
  <c r="J14" i="6"/>
  <c r="J26" i="6"/>
  <c r="J11" i="6"/>
  <c r="J31" i="6"/>
  <c r="J22" i="6"/>
  <c r="J12" i="6"/>
  <c r="J30" i="6"/>
  <c r="J23" i="6"/>
  <c r="J6" i="6"/>
  <c r="J16" i="6"/>
  <c r="J12" i="7"/>
  <c r="J23" i="7"/>
  <c r="J17" i="7"/>
  <c r="J13" i="7"/>
  <c r="J14" i="7"/>
  <c r="J6" i="7"/>
  <c r="J20" i="7"/>
  <c r="J33" i="7"/>
  <c r="J25" i="7"/>
  <c r="J32" i="7"/>
  <c r="J5" i="7"/>
  <c r="J30" i="7"/>
  <c r="J10" i="7"/>
  <c r="J28" i="7"/>
  <c r="J21" i="7"/>
  <c r="J24" i="7"/>
  <c r="J22" i="7"/>
  <c r="J15" i="7"/>
  <c r="J26" i="7"/>
  <c r="J8" i="7"/>
  <c r="J11" i="7"/>
  <c r="J18" i="7"/>
  <c r="J16" i="7"/>
  <c r="J29" i="7"/>
  <c r="J31" i="7"/>
  <c r="J9" i="7"/>
  <c r="J27" i="7"/>
  <c r="J7" i="7"/>
  <c r="J19" i="7"/>
  <c r="J17" i="8"/>
  <c r="J11" i="8"/>
  <c r="J33" i="8"/>
  <c r="J25" i="8"/>
  <c r="J5" i="8"/>
  <c r="J22" i="8"/>
  <c r="J19" i="8"/>
  <c r="J35" i="8"/>
  <c r="J34" i="8"/>
  <c r="J6" i="8"/>
  <c r="J7" i="8"/>
  <c r="J31" i="8"/>
  <c r="J28" i="8"/>
  <c r="J9" i="8"/>
  <c r="J14" i="8"/>
  <c r="J13" i="8"/>
  <c r="J15" i="8"/>
  <c r="J12" i="8"/>
  <c r="J30" i="8"/>
  <c r="J8" i="8"/>
  <c r="J18" i="8"/>
  <c r="J16" i="8"/>
  <c r="J10" i="8"/>
  <c r="J27" i="8"/>
  <c r="J29" i="8"/>
  <c r="J26" i="8"/>
  <c r="J20" i="8"/>
  <c r="J21" i="8"/>
  <c r="J24" i="8"/>
  <c r="J23" i="8"/>
  <c r="J32" i="8"/>
  <c r="J29" i="4"/>
  <c r="J7" i="4"/>
  <c r="J13" i="4"/>
  <c r="J30" i="4"/>
  <c r="J10" i="4"/>
  <c r="J19" i="4"/>
  <c r="J28" i="4"/>
  <c r="J18" i="4"/>
  <c r="J12" i="4"/>
  <c r="J14" i="4"/>
  <c r="J8" i="4"/>
  <c r="J16" i="4"/>
  <c r="J24" i="4"/>
  <c r="J22" i="4"/>
  <c r="J23" i="4"/>
  <c r="J26" i="4"/>
  <c r="J25" i="4"/>
  <c r="J11" i="4"/>
  <c r="J27" i="4"/>
  <c r="J20" i="4"/>
  <c r="J21" i="4"/>
  <c r="J15" i="4"/>
  <c r="J6" i="4"/>
  <c r="J9" i="4"/>
  <c r="J17" i="4"/>
  <c r="L6" i="8" l="1"/>
  <c r="L29" i="8"/>
  <c r="L17" i="8"/>
  <c r="L28" i="8"/>
  <c r="L16" i="8"/>
  <c r="L26" i="8"/>
  <c r="L14" i="8"/>
  <c r="L5" i="8"/>
  <c r="L15" i="8"/>
  <c r="L25" i="8"/>
  <c r="L13" i="8"/>
  <c r="L18" i="8"/>
  <c r="L12" i="8"/>
  <c r="L35" i="8"/>
  <c r="L23" i="8"/>
  <c r="L11" i="8"/>
  <c r="L30" i="8"/>
  <c r="L27" i="8"/>
  <c r="L24" i="8"/>
  <c r="L34" i="8"/>
  <c r="L22" i="8"/>
  <c r="L10" i="8"/>
  <c r="L33" i="8"/>
  <c r="L9" i="8"/>
  <c r="L20" i="8"/>
  <c r="L8" i="8"/>
  <c r="L21" i="8"/>
  <c r="L32" i="8"/>
  <c r="L31" i="8"/>
  <c r="L19" i="8"/>
  <c r="L7" i="8"/>
  <c r="L17" i="7"/>
  <c r="L28" i="7"/>
  <c r="L16" i="7"/>
  <c r="L27" i="7"/>
  <c r="L15" i="7"/>
  <c r="L14" i="7"/>
  <c r="L25" i="7"/>
  <c r="L13" i="7"/>
  <c r="L24" i="7"/>
  <c r="L12" i="7"/>
  <c r="L29" i="7"/>
  <c r="L11" i="7"/>
  <c r="L22" i="7"/>
  <c r="L10" i="7"/>
  <c r="L26" i="7"/>
  <c r="L23" i="7"/>
  <c r="L5" i="7"/>
  <c r="L33" i="7"/>
  <c r="L21" i="7"/>
  <c r="L9" i="7"/>
  <c r="L32" i="7"/>
  <c r="L8" i="7"/>
  <c r="L31" i="7"/>
  <c r="L19" i="7"/>
  <c r="L7" i="7"/>
  <c r="L20" i="7"/>
  <c r="L30" i="7"/>
  <c r="L18" i="7"/>
  <c r="L6" i="7"/>
  <c r="L30" i="6"/>
  <c r="L12" i="6"/>
  <c r="L22" i="6"/>
  <c r="L10" i="6"/>
  <c r="L23" i="6"/>
  <c r="L21" i="6"/>
  <c r="L9" i="6"/>
  <c r="L11" i="6"/>
  <c r="L33" i="6"/>
  <c r="L32" i="6"/>
  <c r="L20" i="6"/>
  <c r="L8" i="6"/>
  <c r="L24" i="6"/>
  <c r="L31" i="6"/>
  <c r="L19" i="6"/>
  <c r="L7" i="6"/>
  <c r="L18" i="6"/>
  <c r="L6" i="6"/>
  <c r="L29" i="6"/>
  <c r="L17" i="6"/>
  <c r="L16" i="6"/>
  <c r="L27" i="6"/>
  <c r="L15" i="6"/>
  <c r="L28" i="6"/>
  <c r="L26" i="6"/>
  <c r="L14" i="6"/>
  <c r="L25" i="6"/>
  <c r="L13" i="6"/>
  <c r="L28" i="5"/>
  <c r="L15" i="5"/>
  <c r="L13" i="5"/>
  <c r="L12" i="5"/>
  <c r="L23" i="5"/>
  <c r="L11" i="5"/>
  <c r="L22" i="5"/>
  <c r="L10" i="5"/>
  <c r="L27" i="5"/>
  <c r="L25" i="5"/>
  <c r="L21" i="5"/>
  <c r="L32" i="5"/>
  <c r="L8" i="5"/>
  <c r="L31" i="5"/>
  <c r="L19" i="5"/>
  <c r="L7" i="5"/>
  <c r="L16" i="5"/>
  <c r="L26" i="5"/>
  <c r="L18" i="5"/>
  <c r="L14" i="5"/>
  <c r="L24" i="5"/>
  <c r="L9" i="5"/>
  <c r="L20" i="5"/>
  <c r="L30" i="5"/>
  <c r="L6" i="5"/>
  <c r="L29" i="5"/>
  <c r="L17" i="5"/>
  <c r="L28" i="4"/>
  <c r="L16" i="4"/>
  <c r="L27" i="4"/>
  <c r="L15" i="4"/>
  <c r="L14" i="4"/>
  <c r="L13" i="4"/>
  <c r="L24" i="4"/>
  <c r="L12" i="4"/>
  <c r="L25" i="4"/>
  <c r="L23" i="4"/>
  <c r="L11" i="4"/>
  <c r="L5" i="4"/>
  <c r="L26" i="4"/>
  <c r="L22" i="4"/>
  <c r="L10" i="4"/>
  <c r="L21" i="4"/>
  <c r="L9" i="4"/>
  <c r="L20" i="4"/>
  <c r="L8" i="4"/>
  <c r="L19" i="4"/>
  <c r="L7" i="4"/>
  <c r="L30" i="4"/>
  <c r="L18" i="4"/>
  <c r="L6" i="4"/>
  <c r="L29" i="4"/>
  <c r="L17" i="4"/>
</calcChain>
</file>

<file path=xl/sharedStrings.xml><?xml version="1.0" encoding="utf-8"?>
<sst xmlns="http://schemas.openxmlformats.org/spreadsheetml/2006/main" count="1090" uniqueCount="41">
  <si>
    <t>alpha</t>
  </si>
  <si>
    <t>alpha(rad)</t>
  </si>
  <si>
    <t>CL_2D</t>
  </si>
  <si>
    <t>CD_2D</t>
  </si>
  <si>
    <t>CM</t>
  </si>
  <si>
    <t>CL_3D</t>
  </si>
  <si>
    <t>CD_i_3D</t>
  </si>
  <si>
    <t>CD_3D</t>
  </si>
  <si>
    <t>------</t>
  </si>
  <si>
    <t>--------</t>
  </si>
  <si>
    <t>---------</t>
  </si>
  <si>
    <t>Corde Moyenne</t>
  </si>
  <si>
    <t>Envergure</t>
  </si>
  <si>
    <t>AR</t>
  </si>
  <si>
    <t>K</t>
  </si>
  <si>
    <t>AR_efficace</t>
  </si>
  <si>
    <t>L1</t>
  </si>
  <si>
    <t>L2</t>
  </si>
  <si>
    <t>h</t>
  </si>
  <si>
    <t>delta</t>
  </si>
  <si>
    <t>AILE</t>
  </si>
  <si>
    <t>car 2 tourbillons marginaux</t>
  </si>
  <si>
    <t>Xp_2D_%corde</t>
  </si>
  <si>
    <t>Xp_3D_repTemp</t>
  </si>
  <si>
    <t>Xp_3D_repVoile</t>
  </si>
  <si>
    <t>Zp_3D_repVoile</t>
  </si>
  <si>
    <t>ALPHA_CLMAX</t>
  </si>
  <si>
    <t>V_kts</t>
  </si>
  <si>
    <t>alpha_crit</t>
  </si>
  <si>
    <t>pente_CD</t>
  </si>
  <si>
    <t>-</t>
  </si>
  <si>
    <t>S0</t>
  </si>
  <si>
    <t>S1</t>
  </si>
  <si>
    <t>S2</t>
  </si>
  <si>
    <t>Stot</t>
  </si>
  <si>
    <t>xG1</t>
  </si>
  <si>
    <t>xG2</t>
  </si>
  <si>
    <t>xG0</t>
  </si>
  <si>
    <t>zG0</t>
  </si>
  <si>
    <t>zG1</t>
  </si>
  <si>
    <t>zG2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</si>
</sst>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'1kts'!$D$4:$D$21</c:f>
              <c:numCache>
                <c:formatCode>General</c:formatCode>
                <c:ptCount val="18"/>
                <c:pt idx="0">
                  <c:v>1.967E-2</c:v>
                </c:pt>
                <c:pt idx="1">
                  <c:v>1.976E-2</c:v>
                </c:pt>
                <c:pt idx="2">
                  <c:v>2.0049999999999998E-2</c:v>
                </c:pt>
                <c:pt idx="3">
                  <c:v>2.0559999999999998E-2</c:v>
                </c:pt>
                <c:pt idx="4">
                  <c:v>2.129E-2</c:v>
                </c:pt>
                <c:pt idx="5">
                  <c:v>2.1659999999999999E-2</c:v>
                </c:pt>
                <c:pt idx="6">
                  <c:v>2.179E-2</c:v>
                </c:pt>
                <c:pt idx="7">
                  <c:v>2.1999999999999999E-2</c:v>
                </c:pt>
                <c:pt idx="8">
                  <c:v>2.264E-2</c:v>
                </c:pt>
                <c:pt idx="9">
                  <c:v>2.393E-2</c:v>
                </c:pt>
                <c:pt idx="10">
                  <c:v>2.606E-2</c:v>
                </c:pt>
                <c:pt idx="11">
                  <c:v>2.887E-2</c:v>
                </c:pt>
                <c:pt idx="12">
                  <c:v>3.1960000000000002E-2</c:v>
                </c:pt>
                <c:pt idx="13">
                  <c:v>3.5349999999999999E-2</c:v>
                </c:pt>
                <c:pt idx="14">
                  <c:v>3.9399999999999998E-2</c:v>
                </c:pt>
                <c:pt idx="15">
                  <c:v>4.4310000000000002E-2</c:v>
                </c:pt>
                <c:pt idx="16">
                  <c:v>5.0040000000000001E-2</c:v>
                </c:pt>
                <c:pt idx="17">
                  <c:v>5.7480000000000003E-2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A-4B07-8DDB-DA43A536B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139327"/>
        <c:axId val="1028214255"/>
      </c:scatterChart>
      <c:valAx>
        <c:axId val="253139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8214255"/>
        <c:crosses val="autoZero"/>
        <c:crossBetween val="midCat"/>
      </c:valAx>
      <c:valAx>
        <c:axId val="102821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313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'1kts'!$F$2</c:f>
              <c:strCache>
                <c:ptCount val="1"/>
                <c:pt idx="0">
                  <c:v>CL_3D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22</c:v>
                </c:pt>
                <c:pt idx="41">
                  <c:v>24</c:v>
                </c:pt>
                <c:pt idx="42">
                  <c:v>26</c:v>
                </c:pt>
                <c:pt idx="43">
                  <c:v>28</c:v>
                </c:pt>
                <c:pt idx="44">
                  <c:v>30</c:v>
                </c:pt>
                <c:pt idx="45">
                  <c:v>32</c:v>
                </c:pt>
                <c:pt idx="46">
                  <c:v>34</c:v>
                </c:pt>
                <c:pt idx="47">
                  <c:v>36</c:v>
                </c:pt>
                <c:pt idx="48">
                  <c:v>38</c:v>
                </c:pt>
                <c:pt idx="49">
                  <c:v>40</c:v>
                </c:pt>
                <c:pt idx="50">
                  <c:v>42</c:v>
                </c:pt>
                <c:pt idx="51">
                  <c:v>44</c:v>
                </c:pt>
                <c:pt idx="52">
                  <c:v>46</c:v>
                </c:pt>
                <c:pt idx="53">
                  <c:v>48</c:v>
                </c:pt>
                <c:pt idx="54">
                  <c:v>50</c:v>
                </c:pt>
                <c:pt idx="55">
                  <c:v>52</c:v>
                </c:pt>
                <c:pt idx="56">
                  <c:v>54</c:v>
                </c:pt>
                <c:pt idx="57">
                  <c:v>56</c:v>
                </c:pt>
                <c:pt idx="58">
                  <c:v>58</c:v>
                </c:pt>
                <c:pt idx="59">
                  <c:v>60</c:v>
                </c:pt>
                <c:pt idx="60">
                  <c:v>62</c:v>
                </c:pt>
                <c:pt idx="61">
                  <c:v>64</c:v>
                </c:pt>
                <c:pt idx="62">
                  <c:v>66</c:v>
                </c:pt>
                <c:pt idx="63">
                  <c:v>68</c:v>
                </c:pt>
                <c:pt idx="64">
                  <c:v>70</c:v>
                </c:pt>
                <c:pt idx="65">
                  <c:v>72</c:v>
                </c:pt>
                <c:pt idx="66">
                  <c:v>74</c:v>
                </c:pt>
                <c:pt idx="67">
                  <c:v>76</c:v>
                </c:pt>
                <c:pt idx="68">
                  <c:v>78</c:v>
                </c:pt>
                <c:pt idx="69">
                  <c:v>80</c:v>
                </c:pt>
                <c:pt idx="70">
                  <c:v>82</c:v>
                </c:pt>
                <c:pt idx="71">
                  <c:v>84</c:v>
                </c:pt>
                <c:pt idx="72">
                  <c:v>86</c:v>
                </c:pt>
                <c:pt idx="73">
                  <c:v>88</c:v>
                </c:pt>
                <c:pt idx="74">
                  <c:v>90</c:v>
                </c:pt>
              </c:numCache>
            </c:numRef>
          </c:xVal>
          <c:yVal>
            <c:numRef>
              <c:f>'1kts'!$F$4:$F$78</c:f>
              <c:numCache>
                <c:formatCode>General</c:formatCode>
                <c:ptCount val="75"/>
                <c:pt idx="0">
                  <c:v>0</c:v>
                </c:pt>
                <c:pt idx="1">
                  <c:v>1.4744460282908621E-2</c:v>
                </c:pt>
                <c:pt idx="2">
                  <c:v>2.9932362980340809E-2</c:v>
                </c:pt>
                <c:pt idx="3">
                  <c:v>4.561913839411201E-2</c:v>
                </c:pt>
                <c:pt idx="4">
                  <c:v>0.10027341598414172</c:v>
                </c:pt>
                <c:pt idx="5">
                  <c:v>0.15647974202500392</c:v>
                </c:pt>
                <c:pt idx="6">
                  <c:v>0.20099027438280698</c:v>
                </c:pt>
                <c:pt idx="7">
                  <c:v>0.23386044335936643</c:v>
                </c:pt>
                <c:pt idx="8">
                  <c:v>0.25786176404545458</c:v>
                </c:pt>
                <c:pt idx="9">
                  <c:v>0.27776124239719963</c:v>
                </c:pt>
                <c:pt idx="10">
                  <c:v>0.29655211471263582</c:v>
                </c:pt>
                <c:pt idx="11">
                  <c:v>0.31667331427164269</c:v>
                </c:pt>
                <c:pt idx="12">
                  <c:v>0.33989861073231453</c:v>
                </c:pt>
                <c:pt idx="13">
                  <c:v>0.3647868162474498</c:v>
                </c:pt>
                <c:pt idx="14">
                  <c:v>0.39011846417710855</c:v>
                </c:pt>
                <c:pt idx="15">
                  <c:v>0.41256773641236416</c:v>
                </c:pt>
                <c:pt idx="16">
                  <c:v>0.4298065602769679</c:v>
                </c:pt>
                <c:pt idx="17">
                  <c:v>0.43956229339648639</c:v>
                </c:pt>
                <c:pt idx="18">
                  <c:v>0.43686559221000493</c:v>
                </c:pt>
                <c:pt idx="19">
                  <c:v>0.43416889102352335</c:v>
                </c:pt>
                <c:pt idx="20">
                  <c:v>0.43147218983704189</c:v>
                </c:pt>
                <c:pt idx="21">
                  <c:v>0.42877548865056025</c:v>
                </c:pt>
                <c:pt idx="22">
                  <c:v>0.42607878746407885</c:v>
                </c:pt>
                <c:pt idx="23">
                  <c:v>0.42338208627759727</c:v>
                </c:pt>
                <c:pt idx="24">
                  <c:v>0.42068538509111586</c:v>
                </c:pt>
                <c:pt idx="25">
                  <c:v>0.41798868390463428</c:v>
                </c:pt>
                <c:pt idx="26">
                  <c:v>0.41529198271815276</c:v>
                </c:pt>
                <c:pt idx="27">
                  <c:v>0.41259528153167124</c:v>
                </c:pt>
                <c:pt idx="28">
                  <c:v>0.40989858034518972</c:v>
                </c:pt>
                <c:pt idx="29">
                  <c:v>0.40720187915870826</c:v>
                </c:pt>
                <c:pt idx="30">
                  <c:v>0.40180847678574522</c:v>
                </c:pt>
                <c:pt idx="31">
                  <c:v>0.39911177559926375</c:v>
                </c:pt>
                <c:pt idx="32">
                  <c:v>0.39641507441278223</c:v>
                </c:pt>
                <c:pt idx="33">
                  <c:v>0.39371837322630071</c:v>
                </c:pt>
                <c:pt idx="34">
                  <c:v>0.39102167203981913</c:v>
                </c:pt>
                <c:pt idx="35">
                  <c:v>0.38832497085333773</c:v>
                </c:pt>
                <c:pt idx="36">
                  <c:v>0.38562826966685615</c:v>
                </c:pt>
                <c:pt idx="37">
                  <c:v>0.38293156848037468</c:v>
                </c:pt>
                <c:pt idx="38">
                  <c:v>0.38023486729389311</c:v>
                </c:pt>
                <c:pt idx="39">
                  <c:v>0.3775381661074117</c:v>
                </c:pt>
                <c:pt idx="40">
                  <c:v>0.36675136136148562</c:v>
                </c:pt>
                <c:pt idx="41">
                  <c:v>0.35596455661555948</c:v>
                </c:pt>
                <c:pt idx="42">
                  <c:v>0.34517775186963351</c:v>
                </c:pt>
                <c:pt idx="43">
                  <c:v>0.33439094712370743</c:v>
                </c:pt>
                <c:pt idx="44">
                  <c:v>0.3236041423777814</c:v>
                </c:pt>
                <c:pt idx="45">
                  <c:v>0.31281733763185537</c:v>
                </c:pt>
                <c:pt idx="46">
                  <c:v>0.30203053288592929</c:v>
                </c:pt>
                <c:pt idx="47">
                  <c:v>0.29124372814000327</c:v>
                </c:pt>
                <c:pt idx="48">
                  <c:v>0.28045692339407724</c:v>
                </c:pt>
                <c:pt idx="49">
                  <c:v>0.26967011864815116</c:v>
                </c:pt>
                <c:pt idx="50">
                  <c:v>0.25888331390222513</c:v>
                </c:pt>
                <c:pt idx="51">
                  <c:v>0.24809650915629905</c:v>
                </c:pt>
                <c:pt idx="52">
                  <c:v>0.23730970441037305</c:v>
                </c:pt>
                <c:pt idx="53">
                  <c:v>0.226522899664447</c:v>
                </c:pt>
                <c:pt idx="54">
                  <c:v>0.21573609491852094</c:v>
                </c:pt>
                <c:pt idx="55">
                  <c:v>0.20494929017259486</c:v>
                </c:pt>
                <c:pt idx="56">
                  <c:v>0.19416248542666886</c:v>
                </c:pt>
                <c:pt idx="57">
                  <c:v>0.18337568068074281</c:v>
                </c:pt>
                <c:pt idx="58">
                  <c:v>0.17258887593481675</c:v>
                </c:pt>
                <c:pt idx="59">
                  <c:v>0.1618020711888907</c:v>
                </c:pt>
                <c:pt idx="60">
                  <c:v>0.15101526644296465</c:v>
                </c:pt>
                <c:pt idx="61">
                  <c:v>0.14022846169703862</c:v>
                </c:pt>
                <c:pt idx="62">
                  <c:v>0.12944165695111257</c:v>
                </c:pt>
                <c:pt idx="63">
                  <c:v>0.11865485220518653</c:v>
                </c:pt>
                <c:pt idx="64">
                  <c:v>0.10786804745926047</c:v>
                </c:pt>
                <c:pt idx="65">
                  <c:v>9.7081242713334431E-2</c:v>
                </c:pt>
                <c:pt idx="66">
                  <c:v>8.6294437967408377E-2</c:v>
                </c:pt>
                <c:pt idx="67">
                  <c:v>7.5507633221482323E-2</c:v>
                </c:pt>
                <c:pt idx="68">
                  <c:v>6.4720828475556283E-2</c:v>
                </c:pt>
                <c:pt idx="69">
                  <c:v>5.3934023729630236E-2</c:v>
                </c:pt>
                <c:pt idx="70">
                  <c:v>4.3147218983704189E-2</c:v>
                </c:pt>
                <c:pt idx="71">
                  <c:v>3.2360414237778141E-2</c:v>
                </c:pt>
                <c:pt idx="72">
                  <c:v>2.1573609491852094E-2</c:v>
                </c:pt>
                <c:pt idx="73">
                  <c:v>1.0786804745926047E-2</c:v>
                </c:pt>
                <c:pt idx="7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76-4EC7-B882-AC9A36AD4AEC}"/>
            </c:ext>
          </c:extLst>
        </c:ser>
        <c:ser>
          <c:idx val="1"/>
          <c:order val="1"/>
          <c:tx>
            <c:strRef>
              <c:f>'1kts'!$H$2</c:f>
              <c:strCache>
                <c:ptCount val="1"/>
                <c:pt idx="0">
                  <c:v>CD_3D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22</c:v>
                </c:pt>
                <c:pt idx="41">
                  <c:v>24</c:v>
                </c:pt>
                <c:pt idx="42">
                  <c:v>26</c:v>
                </c:pt>
                <c:pt idx="43">
                  <c:v>28</c:v>
                </c:pt>
                <c:pt idx="44">
                  <c:v>30</c:v>
                </c:pt>
                <c:pt idx="45">
                  <c:v>32</c:v>
                </c:pt>
                <c:pt idx="46">
                  <c:v>34</c:v>
                </c:pt>
                <c:pt idx="47">
                  <c:v>36</c:v>
                </c:pt>
                <c:pt idx="48">
                  <c:v>38</c:v>
                </c:pt>
                <c:pt idx="49">
                  <c:v>40</c:v>
                </c:pt>
                <c:pt idx="50">
                  <c:v>42</c:v>
                </c:pt>
                <c:pt idx="51">
                  <c:v>44</c:v>
                </c:pt>
                <c:pt idx="52">
                  <c:v>46</c:v>
                </c:pt>
                <c:pt idx="53">
                  <c:v>48</c:v>
                </c:pt>
                <c:pt idx="54">
                  <c:v>50</c:v>
                </c:pt>
                <c:pt idx="55">
                  <c:v>52</c:v>
                </c:pt>
                <c:pt idx="56">
                  <c:v>54</c:v>
                </c:pt>
                <c:pt idx="57">
                  <c:v>56</c:v>
                </c:pt>
                <c:pt idx="58">
                  <c:v>58</c:v>
                </c:pt>
                <c:pt idx="59">
                  <c:v>60</c:v>
                </c:pt>
                <c:pt idx="60">
                  <c:v>62</c:v>
                </c:pt>
                <c:pt idx="61">
                  <c:v>64</c:v>
                </c:pt>
                <c:pt idx="62">
                  <c:v>66</c:v>
                </c:pt>
                <c:pt idx="63">
                  <c:v>68</c:v>
                </c:pt>
                <c:pt idx="64">
                  <c:v>70</c:v>
                </c:pt>
                <c:pt idx="65">
                  <c:v>72</c:v>
                </c:pt>
                <c:pt idx="66">
                  <c:v>74</c:v>
                </c:pt>
                <c:pt idx="67">
                  <c:v>76</c:v>
                </c:pt>
                <c:pt idx="68">
                  <c:v>78</c:v>
                </c:pt>
                <c:pt idx="69">
                  <c:v>80</c:v>
                </c:pt>
                <c:pt idx="70">
                  <c:v>82</c:v>
                </c:pt>
                <c:pt idx="71">
                  <c:v>84</c:v>
                </c:pt>
                <c:pt idx="72">
                  <c:v>86</c:v>
                </c:pt>
                <c:pt idx="73">
                  <c:v>88</c:v>
                </c:pt>
                <c:pt idx="74">
                  <c:v>90</c:v>
                </c:pt>
              </c:numCache>
            </c:numRef>
          </c:xVal>
          <c:yVal>
            <c:numRef>
              <c:f>'1kts'!$H$4:$H$78</c:f>
              <c:numCache>
                <c:formatCode>General</c:formatCode>
                <c:ptCount val="75"/>
                <c:pt idx="0">
                  <c:v>1.967E-2</c:v>
                </c:pt>
                <c:pt idx="1">
                  <c:v>1.9781621012906713E-2</c:v>
                </c:pt>
                <c:pt idx="2">
                  <c:v>2.0139104632308173E-2</c:v>
                </c:pt>
                <c:pt idx="3">
                  <c:v>2.0766972398822574E-2</c:v>
                </c:pt>
                <c:pt idx="4">
                  <c:v>2.2289976736078482E-2</c:v>
                </c:pt>
                <c:pt idx="5">
                  <c:v>2.4095199349409693E-2</c:v>
                </c:pt>
                <c:pt idx="6">
                  <c:v>2.5807615420485132E-2</c:v>
                </c:pt>
                <c:pt idx="7">
                  <c:v>2.7439159739385578E-2</c:v>
                </c:pt>
                <c:pt idx="8">
                  <c:v>2.9252903342465542E-2</c:v>
                </c:pt>
                <c:pt idx="9">
                  <c:v>3.1602935867348268E-2</c:v>
                </c:pt>
                <c:pt idx="10">
                  <c:v>3.4806218581072385E-2</c:v>
                </c:pt>
                <c:pt idx="11">
                  <c:v>3.8843353459819964E-2</c:v>
                </c:pt>
                <c:pt idx="12">
                  <c:v>4.3449921329848235E-2</c:v>
                </c:pt>
                <c:pt idx="13">
                  <c:v>4.8584164980567314E-2</c:v>
                </c:pt>
                <c:pt idx="14">
                  <c:v>5.4536005879895474E-2</c:v>
                </c:pt>
                <c:pt idx="15">
                  <c:v>6.123812279719363E-2</c:v>
                </c:pt>
                <c:pt idx="16">
                  <c:v>6.8412335016758988E-2</c:v>
                </c:pt>
                <c:pt idx="17">
                  <c:v>7.6695829534417989E-2</c:v>
                </c:pt>
                <c:pt idx="18">
                  <c:v>8.3900775727399068E-2</c:v>
                </c:pt>
                <c:pt idx="19">
                  <c:v>9.1107168405346411E-2</c:v>
                </c:pt>
                <c:pt idx="20">
                  <c:v>9.8315007568260032E-2</c:v>
                </c:pt>
                <c:pt idx="21">
                  <c:v>0.1055242932161399</c:v>
                </c:pt>
                <c:pt idx="22">
                  <c:v>0.11273502534898608</c:v>
                </c:pt>
                <c:pt idx="23">
                  <c:v>0.1199472039667985</c:v>
                </c:pt>
                <c:pt idx="24">
                  <c:v>0.12716082906957721</c:v>
                </c:pt>
                <c:pt idx="25">
                  <c:v>0.13437590065732216</c:v>
                </c:pt>
                <c:pt idx="26">
                  <c:v>0.14159241873003342</c:v>
                </c:pt>
                <c:pt idx="27">
                  <c:v>0.1488103832877109</c:v>
                </c:pt>
                <c:pt idx="28">
                  <c:v>0.15602979433035469</c:v>
                </c:pt>
                <c:pt idx="29">
                  <c:v>0.16325065185796475</c:v>
                </c:pt>
                <c:pt idx="30">
                  <c:v>0.17769670636808366</c:v>
                </c:pt>
                <c:pt idx="31">
                  <c:v>0.18492190335059253</c:v>
                </c:pt>
                <c:pt idx="32">
                  <c:v>0.19214854681806764</c:v>
                </c:pt>
                <c:pt idx="33">
                  <c:v>0.19937663677050904</c:v>
                </c:pt>
                <c:pt idx="34">
                  <c:v>0.20660617320791672</c:v>
                </c:pt>
                <c:pt idx="35">
                  <c:v>0.21383715613029067</c:v>
                </c:pt>
                <c:pt idx="36">
                  <c:v>0.22106958553763087</c:v>
                </c:pt>
                <c:pt idx="37">
                  <c:v>0.22830346142993735</c:v>
                </c:pt>
                <c:pt idx="38">
                  <c:v>0.23553878380721011</c:v>
                </c:pt>
                <c:pt idx="39">
                  <c:v>0.24277555266944914</c:v>
                </c:pt>
                <c:pt idx="40">
                  <c:v>0.27173709296806792</c:v>
                </c:pt>
                <c:pt idx="41">
                  <c:v>0.300721777026147</c:v>
                </c:pt>
                <c:pt idx="42">
                  <c:v>0.32972960484368646</c:v>
                </c:pt>
                <c:pt idx="43">
                  <c:v>0.35876057642068626</c:v>
                </c:pt>
                <c:pt idx="44">
                  <c:v>0.38781469175714633</c:v>
                </c:pt>
                <c:pt idx="45">
                  <c:v>0.41689195085306674</c:v>
                </c:pt>
                <c:pt idx="46">
                  <c:v>0.44599235370844748</c:v>
                </c:pt>
                <c:pt idx="47">
                  <c:v>0.47511590032328854</c:v>
                </c:pt>
                <c:pt idx="48">
                  <c:v>0.50426259069758994</c:v>
                </c:pt>
                <c:pt idx="49">
                  <c:v>0.53343242483135167</c:v>
                </c:pt>
                <c:pt idx="50">
                  <c:v>0.56262540272457373</c:v>
                </c:pt>
                <c:pt idx="51">
                  <c:v>0.59184152437725612</c:v>
                </c:pt>
                <c:pt idx="52">
                  <c:v>0.62108078978939885</c:v>
                </c:pt>
                <c:pt idx="53">
                  <c:v>0.65034319896100179</c:v>
                </c:pt>
                <c:pt idx="54">
                  <c:v>0.67962875189206517</c:v>
                </c:pt>
                <c:pt idx="55">
                  <c:v>0.70893744858258878</c:v>
                </c:pt>
                <c:pt idx="56">
                  <c:v>0.73826928903257283</c:v>
                </c:pt>
                <c:pt idx="57">
                  <c:v>0.7676242732420171</c:v>
                </c:pt>
                <c:pt idx="58">
                  <c:v>0.79700240121092181</c:v>
                </c:pt>
                <c:pt idx="59">
                  <c:v>0.82640367293928674</c:v>
                </c:pt>
                <c:pt idx="60">
                  <c:v>0.85582808842711211</c:v>
                </c:pt>
                <c:pt idx="61">
                  <c:v>0.8852756476743977</c:v>
                </c:pt>
                <c:pt idx="62">
                  <c:v>0.91474635068114363</c:v>
                </c:pt>
                <c:pt idx="63">
                  <c:v>0.94424019744734988</c:v>
                </c:pt>
                <c:pt idx="64">
                  <c:v>0.97375718797301647</c:v>
                </c:pt>
                <c:pt idx="65">
                  <c:v>1.0032973222581436</c:v>
                </c:pt>
                <c:pt idx="66">
                  <c:v>1.0328606003027307</c:v>
                </c:pt>
                <c:pt idx="67">
                  <c:v>1.0624470221067783</c:v>
                </c:pt>
                <c:pt idx="68">
                  <c:v>1.0920565876702861</c:v>
                </c:pt>
                <c:pt idx="69">
                  <c:v>1.1216892969932544</c:v>
                </c:pt>
                <c:pt idx="70">
                  <c:v>1.1513451500756831</c:v>
                </c:pt>
                <c:pt idx="71">
                  <c:v>1.181024146917572</c:v>
                </c:pt>
                <c:pt idx="72">
                  <c:v>1.2107262875189211</c:v>
                </c:pt>
                <c:pt idx="73">
                  <c:v>1.2404515718797307</c:v>
                </c:pt>
                <c:pt idx="74">
                  <c:v>1.2702000000000004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76-4EC7-B882-AC9A36AD4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207055"/>
        <c:axId val="685769791"/>
      </c:scatterChart>
      <c:valAx>
        <c:axId val="68720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5769791"/>
        <c:crosses val="autoZero"/>
        <c:crossBetween val="midCat"/>
      </c:valAx>
      <c:valAx>
        <c:axId val="68576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207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'5kts'!$A$4:$A$25</c:f>
              <c:numCache>
                <c:formatCode>General</c:formatCode>
                <c:ptCount val="22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</c:numCache>
            </c:numRef>
          </c:xVal>
          <c:yVal>
            <c:numRef>
              <c:f>'5kts'!$D$4:$D$25</c:f>
              <c:numCache>
                <c:formatCode>General</c:formatCode>
                <c:ptCount val="22"/>
                <c:pt idx="0">
                  <c:v>9.1000000000000004E-3</c:v>
                </c:pt>
                <c:pt idx="1">
                  <c:v>9.11E-3</c:v>
                </c:pt>
                <c:pt idx="2">
                  <c:v>9.2099999999999994E-3</c:v>
                </c:pt>
                <c:pt idx="3">
                  <c:v>9.4599999999999997E-3</c:v>
                </c:pt>
                <c:pt idx="4">
                  <c:v>9.8899999999999995E-3</c:v>
                </c:pt>
                <c:pt idx="5">
                  <c:v>1.043E-2</c:v>
                </c:pt>
                <c:pt idx="6">
                  <c:v>1.11E-2</c:v>
                </c:pt>
                <c:pt idx="7">
                  <c:v>1.191E-2</c:v>
                </c:pt>
                <c:pt idx="8">
                  <c:v>1.286E-2</c:v>
                </c:pt>
                <c:pt idx="9">
                  <c:v>1.3860000000000001E-2</c:v>
                </c:pt>
                <c:pt idx="10">
                  <c:v>1.482E-2</c:v>
                </c:pt>
                <c:pt idx="11">
                  <c:v>1.5869999999999999E-2</c:v>
                </c:pt>
                <c:pt idx="12">
                  <c:v>1.704E-2</c:v>
                </c:pt>
                <c:pt idx="13">
                  <c:v>1.8429999999999998E-2</c:v>
                </c:pt>
                <c:pt idx="14">
                  <c:v>1.9810000000000001E-2</c:v>
                </c:pt>
                <c:pt idx="15">
                  <c:v>2.1739999999999999E-2</c:v>
                </c:pt>
                <c:pt idx="16">
                  <c:v>2.3630000000000002E-2</c:v>
                </c:pt>
                <c:pt idx="17">
                  <c:v>2.6040000000000001E-2</c:v>
                </c:pt>
                <c:pt idx="18">
                  <c:v>2.9219999999999999E-2</c:v>
                </c:pt>
                <c:pt idx="19">
                  <c:v>3.2250000000000001E-2</c:v>
                </c:pt>
                <c:pt idx="20">
                  <c:v>3.5990000000000001E-2</c:v>
                </c:pt>
                <c:pt idx="21">
                  <c:v>4.224E-2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D8-44E9-B4D9-63325F1ED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1699967"/>
        <c:axId val="1028168911"/>
      </c:scatterChart>
      <c:valAx>
        <c:axId val="971699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8168911"/>
        <c:crosses val="autoZero"/>
        <c:crossBetween val="midCat"/>
      </c:valAx>
      <c:valAx>
        <c:axId val="1028168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1699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'5kts'!$F$2</c:f>
              <c:strCache>
                <c:ptCount val="1"/>
                <c:pt idx="0">
                  <c:v>CL_3D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22</c:v>
                </c:pt>
                <c:pt idx="40">
                  <c:v>24</c:v>
                </c:pt>
                <c:pt idx="41">
                  <c:v>26</c:v>
                </c:pt>
                <c:pt idx="42">
                  <c:v>28</c:v>
                </c:pt>
                <c:pt idx="43">
                  <c:v>30</c:v>
                </c:pt>
                <c:pt idx="44">
                  <c:v>32</c:v>
                </c:pt>
                <c:pt idx="45">
                  <c:v>34</c:v>
                </c:pt>
                <c:pt idx="46">
                  <c:v>36</c:v>
                </c:pt>
                <c:pt idx="47">
                  <c:v>38</c:v>
                </c:pt>
                <c:pt idx="48">
                  <c:v>40</c:v>
                </c:pt>
                <c:pt idx="49">
                  <c:v>42</c:v>
                </c:pt>
                <c:pt idx="50">
                  <c:v>44</c:v>
                </c:pt>
                <c:pt idx="51">
                  <c:v>46</c:v>
                </c:pt>
                <c:pt idx="52">
                  <c:v>48</c:v>
                </c:pt>
                <c:pt idx="53">
                  <c:v>50</c:v>
                </c:pt>
                <c:pt idx="54">
                  <c:v>52</c:v>
                </c:pt>
                <c:pt idx="55">
                  <c:v>54</c:v>
                </c:pt>
                <c:pt idx="56">
                  <c:v>56</c:v>
                </c:pt>
                <c:pt idx="57">
                  <c:v>58</c:v>
                </c:pt>
                <c:pt idx="58">
                  <c:v>60</c:v>
                </c:pt>
                <c:pt idx="59">
                  <c:v>62</c:v>
                </c:pt>
                <c:pt idx="60">
                  <c:v>64</c:v>
                </c:pt>
                <c:pt idx="61">
                  <c:v>66</c:v>
                </c:pt>
                <c:pt idx="62">
                  <c:v>68</c:v>
                </c:pt>
                <c:pt idx="63">
                  <c:v>70</c:v>
                </c:pt>
                <c:pt idx="64">
                  <c:v>72</c:v>
                </c:pt>
                <c:pt idx="65">
                  <c:v>74</c:v>
                </c:pt>
                <c:pt idx="66">
                  <c:v>76</c:v>
                </c:pt>
                <c:pt idx="67">
                  <c:v>78</c:v>
                </c:pt>
                <c:pt idx="68">
                  <c:v>80</c:v>
                </c:pt>
                <c:pt idx="69">
                  <c:v>82</c:v>
                </c:pt>
                <c:pt idx="70">
                  <c:v>84</c:v>
                </c:pt>
                <c:pt idx="71">
                  <c:v>86</c:v>
                </c:pt>
                <c:pt idx="72">
                  <c:v>88</c:v>
                </c:pt>
                <c:pt idx="73">
                  <c:v>90</c:v>
                </c:pt>
              </c:numCache>
            </c:numRef>
          </c:xVal>
          <c:yVal>
            <c:numRef>
              <c:f>'5kts'!$F$4:$F$78</c:f>
              <c:numCache>
                <c:formatCode>General</c:formatCode>
                <c:ptCount val="75"/>
                <c:pt idx="0">
                  <c:v>0</c:v>
                </c:pt>
                <c:pt idx="1">
                  <c:v>3.9688096099859294E-2</c:v>
                </c:pt>
                <c:pt idx="2">
                  <c:v>7.710354982528532E-2</c:v>
                </c:pt>
                <c:pt idx="3">
                  <c:v>0.11446357324889588</c:v>
                </c:pt>
                <c:pt idx="4">
                  <c:v>0.15243332999247636</c:v>
                </c:pt>
                <c:pt idx="5">
                  <c:v>0.1839731717254651</c:v>
                </c:pt>
                <c:pt idx="6">
                  <c:v>0.20952654086238567</c:v>
                </c:pt>
                <c:pt idx="7">
                  <c:v>0.23491361909385994</c:v>
                </c:pt>
                <c:pt idx="8">
                  <c:v>0.26024526702351869</c:v>
                </c:pt>
                <c:pt idx="9">
                  <c:v>0.28552148465136207</c:v>
                </c:pt>
                <c:pt idx="10">
                  <c:v>0.31124114469372899</c:v>
                </c:pt>
                <c:pt idx="11">
                  <c:v>0.33696080473609591</c:v>
                </c:pt>
                <c:pt idx="12">
                  <c:v>0.36256960417483192</c:v>
                </c:pt>
                <c:pt idx="13">
                  <c:v>0.38767953089722901</c:v>
                </c:pt>
                <c:pt idx="14">
                  <c:v>0.41295574852507233</c:v>
                </c:pt>
                <c:pt idx="15">
                  <c:v>0.43690163890934491</c:v>
                </c:pt>
                <c:pt idx="16">
                  <c:v>0.46101382019906395</c:v>
                </c:pt>
                <c:pt idx="17">
                  <c:v>0.48368481364158133</c:v>
                </c:pt>
                <c:pt idx="18">
                  <c:v>0.50474832833145078</c:v>
                </c:pt>
                <c:pt idx="19">
                  <c:v>0.52398264306141051</c:v>
                </c:pt>
                <c:pt idx="20">
                  <c:v>0.53911511545702728</c:v>
                </c:pt>
                <c:pt idx="21">
                  <c:v>0.54343867899863207</c:v>
                </c:pt>
                <c:pt idx="22">
                  <c:v>0.54002082567159659</c:v>
                </c:pt>
                <c:pt idx="23">
                  <c:v>0.53660297234456122</c:v>
                </c:pt>
                <c:pt idx="24">
                  <c:v>0.52976726569049049</c:v>
                </c:pt>
                <c:pt idx="25">
                  <c:v>0.526349412363455</c:v>
                </c:pt>
                <c:pt idx="26">
                  <c:v>0.52293155903641952</c:v>
                </c:pt>
                <c:pt idx="27">
                  <c:v>0.51951370570938415</c:v>
                </c:pt>
                <c:pt idx="28">
                  <c:v>0.51609585238234867</c:v>
                </c:pt>
                <c:pt idx="29">
                  <c:v>0.5126779990553133</c:v>
                </c:pt>
                <c:pt idx="30">
                  <c:v>0.50926014572827782</c:v>
                </c:pt>
                <c:pt idx="31">
                  <c:v>0.50584229240124245</c:v>
                </c:pt>
                <c:pt idx="32">
                  <c:v>0.50242443907420709</c:v>
                </c:pt>
                <c:pt idx="33">
                  <c:v>0.49900658574717166</c:v>
                </c:pt>
                <c:pt idx="34">
                  <c:v>0.49217087909310081</c:v>
                </c:pt>
                <c:pt idx="35">
                  <c:v>0.48875302576606533</c:v>
                </c:pt>
                <c:pt idx="36">
                  <c:v>0.4853351724390299</c:v>
                </c:pt>
                <c:pt idx="37">
                  <c:v>0.48191731911199454</c:v>
                </c:pt>
                <c:pt idx="38">
                  <c:v>0.47849946578495905</c:v>
                </c:pt>
                <c:pt idx="39">
                  <c:v>0.46482805247681741</c:v>
                </c:pt>
                <c:pt idx="40">
                  <c:v>0.45115663916867565</c:v>
                </c:pt>
                <c:pt idx="41">
                  <c:v>0.43748522586053401</c:v>
                </c:pt>
                <c:pt idx="42">
                  <c:v>0.42381381255239231</c:v>
                </c:pt>
                <c:pt idx="43">
                  <c:v>0.41014239924425061</c:v>
                </c:pt>
                <c:pt idx="44">
                  <c:v>0.39647098593610902</c:v>
                </c:pt>
                <c:pt idx="45">
                  <c:v>0.38279957262796727</c:v>
                </c:pt>
                <c:pt idx="46">
                  <c:v>0.36912815931982551</c:v>
                </c:pt>
                <c:pt idx="47">
                  <c:v>0.35545674601168392</c:v>
                </c:pt>
                <c:pt idx="48">
                  <c:v>0.34178533270354222</c:v>
                </c:pt>
                <c:pt idx="49">
                  <c:v>0.32811391939540052</c:v>
                </c:pt>
                <c:pt idx="50">
                  <c:v>0.31444250608725888</c:v>
                </c:pt>
                <c:pt idx="51">
                  <c:v>0.30077109277911712</c:v>
                </c:pt>
                <c:pt idx="52">
                  <c:v>0.28709967947097542</c:v>
                </c:pt>
                <c:pt idx="53">
                  <c:v>0.27342826616283378</c:v>
                </c:pt>
                <c:pt idx="54">
                  <c:v>0.25975685285469208</c:v>
                </c:pt>
                <c:pt idx="55">
                  <c:v>0.24608543954655041</c:v>
                </c:pt>
                <c:pt idx="56">
                  <c:v>0.23241402623840871</c:v>
                </c:pt>
                <c:pt idx="57">
                  <c:v>0.21874261293026701</c:v>
                </c:pt>
                <c:pt idx="58">
                  <c:v>0.20507119962212531</c:v>
                </c:pt>
                <c:pt idx="59">
                  <c:v>0.19139978631398363</c:v>
                </c:pt>
                <c:pt idx="60">
                  <c:v>0.17772837300584196</c:v>
                </c:pt>
                <c:pt idx="61">
                  <c:v>0.16405695969770026</c:v>
                </c:pt>
                <c:pt idx="62">
                  <c:v>0.15038554638955856</c:v>
                </c:pt>
                <c:pt idx="63">
                  <c:v>0.13671413308141689</c:v>
                </c:pt>
                <c:pt idx="64">
                  <c:v>0.1230427197732752</c:v>
                </c:pt>
                <c:pt idx="65">
                  <c:v>0.1093713064651335</c:v>
                </c:pt>
                <c:pt idx="66">
                  <c:v>9.5699893156991817E-2</c:v>
                </c:pt>
                <c:pt idx="67">
                  <c:v>8.202847984885013E-2</c:v>
                </c:pt>
                <c:pt idx="68">
                  <c:v>6.8357066540708444E-2</c:v>
                </c:pt>
                <c:pt idx="69">
                  <c:v>5.4685653232566751E-2</c:v>
                </c:pt>
                <c:pt idx="70">
                  <c:v>4.1014239924425065E-2</c:v>
                </c:pt>
                <c:pt idx="71">
                  <c:v>2.7342826616283376E-2</c:v>
                </c:pt>
                <c:pt idx="72">
                  <c:v>1.3671413308141688E-2</c:v>
                </c:pt>
                <c:pt idx="7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1-44C7-8648-D60E5CC6BC5A}"/>
            </c:ext>
          </c:extLst>
        </c:ser>
        <c:ser>
          <c:idx val="1"/>
          <c:order val="1"/>
          <c:tx>
            <c:strRef>
              <c:f>'5kts'!$H$2</c:f>
              <c:strCache>
                <c:ptCount val="1"/>
                <c:pt idx="0">
                  <c:v>CD_3D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22</c:v>
                </c:pt>
                <c:pt idx="40">
                  <c:v>24</c:v>
                </c:pt>
                <c:pt idx="41">
                  <c:v>26</c:v>
                </c:pt>
                <c:pt idx="42">
                  <c:v>28</c:v>
                </c:pt>
                <c:pt idx="43">
                  <c:v>30</c:v>
                </c:pt>
                <c:pt idx="44">
                  <c:v>32</c:v>
                </c:pt>
                <c:pt idx="45">
                  <c:v>34</c:v>
                </c:pt>
                <c:pt idx="46">
                  <c:v>36</c:v>
                </c:pt>
                <c:pt idx="47">
                  <c:v>38</c:v>
                </c:pt>
                <c:pt idx="48">
                  <c:v>40</c:v>
                </c:pt>
                <c:pt idx="49">
                  <c:v>42</c:v>
                </c:pt>
                <c:pt idx="50">
                  <c:v>44</c:v>
                </c:pt>
                <c:pt idx="51">
                  <c:v>46</c:v>
                </c:pt>
                <c:pt idx="52">
                  <c:v>48</c:v>
                </c:pt>
                <c:pt idx="53">
                  <c:v>50</c:v>
                </c:pt>
                <c:pt idx="54">
                  <c:v>52</c:v>
                </c:pt>
                <c:pt idx="55">
                  <c:v>54</c:v>
                </c:pt>
                <c:pt idx="56">
                  <c:v>56</c:v>
                </c:pt>
                <c:pt idx="57">
                  <c:v>58</c:v>
                </c:pt>
                <c:pt idx="58">
                  <c:v>60</c:v>
                </c:pt>
                <c:pt idx="59">
                  <c:v>62</c:v>
                </c:pt>
                <c:pt idx="60">
                  <c:v>64</c:v>
                </c:pt>
                <c:pt idx="61">
                  <c:v>66</c:v>
                </c:pt>
                <c:pt idx="62">
                  <c:v>68</c:v>
                </c:pt>
                <c:pt idx="63">
                  <c:v>70</c:v>
                </c:pt>
                <c:pt idx="64">
                  <c:v>72</c:v>
                </c:pt>
                <c:pt idx="65">
                  <c:v>74</c:v>
                </c:pt>
                <c:pt idx="66">
                  <c:v>76</c:v>
                </c:pt>
                <c:pt idx="67">
                  <c:v>78</c:v>
                </c:pt>
                <c:pt idx="68">
                  <c:v>80</c:v>
                </c:pt>
                <c:pt idx="69">
                  <c:v>82</c:v>
                </c:pt>
                <c:pt idx="70">
                  <c:v>84</c:v>
                </c:pt>
                <c:pt idx="71">
                  <c:v>86</c:v>
                </c:pt>
                <c:pt idx="72">
                  <c:v>88</c:v>
                </c:pt>
                <c:pt idx="73">
                  <c:v>90</c:v>
                </c:pt>
              </c:numCache>
            </c:numRef>
          </c:xVal>
          <c:yVal>
            <c:numRef>
              <c:f>'5kts'!$H$4:$H$78</c:f>
              <c:numCache>
                <c:formatCode>General</c:formatCode>
                <c:ptCount val="75"/>
                <c:pt idx="0">
                  <c:v>9.1000000000000004E-3</c:v>
                </c:pt>
                <c:pt idx="1">
                  <c:v>9.2666530328552096E-3</c:v>
                </c:pt>
                <c:pt idx="2">
                  <c:v>9.801244376080492E-3</c:v>
                </c:pt>
                <c:pt idx="3">
                  <c:v>1.0763025379644454E-2</c:v>
                </c:pt>
                <c:pt idx="4">
                  <c:v>1.2200884025482047E-2</c:v>
                </c:pt>
                <c:pt idx="5">
                  <c:v>1.37961019667343E-2</c:v>
                </c:pt>
                <c:pt idx="6">
                  <c:v>1.5466126983100521E-2</c:v>
                </c:pt>
                <c:pt idx="7">
                  <c:v>1.7398259875301816E-2</c:v>
                </c:pt>
                <c:pt idx="8">
                  <c:v>1.9595718921758862E-2</c:v>
                </c:pt>
                <c:pt idx="9">
                  <c:v>2.1967666245579387E-2</c:v>
                </c:pt>
                <c:pt idx="10">
                  <c:v>2.4454125157593883E-2</c:v>
                </c:pt>
                <c:pt idx="11">
                  <c:v>2.7162160687697681E-2</c:v>
                </c:pt>
                <c:pt idx="12">
                  <c:v>3.0113776642412597E-2</c:v>
                </c:pt>
                <c:pt idx="13">
                  <c:v>3.3377343627412202E-2</c:v>
                </c:pt>
                <c:pt idx="14">
                  <c:v>3.6769978925529564E-2</c:v>
                </c:pt>
                <c:pt idx="15">
                  <c:v>4.0723908144120559E-2</c:v>
                </c:pt>
                <c:pt idx="16">
                  <c:v>4.4767137167991099E-2</c:v>
                </c:pt>
                <c:pt idx="17">
                  <c:v>4.9307149484887999E-2</c:v>
                </c:pt>
                <c:pt idx="18">
                  <c:v>5.4557750463150534E-2</c:v>
                </c:pt>
                <c:pt idx="19">
                  <c:v>5.9555622295247815E-2</c:v>
                </c:pt>
                <c:pt idx="20">
                  <c:v>6.4895553721343507E-2</c:v>
                </c:pt>
                <c:pt idx="21">
                  <c:v>7.1611042920864537E-2</c:v>
                </c:pt>
                <c:pt idx="22">
                  <c:v>7.7492757623371794E-2</c:v>
                </c:pt>
                <c:pt idx="23">
                  <c:v>8.3376795892424735E-2</c:v>
                </c:pt>
                <c:pt idx="24">
                  <c:v>9.5151843130167751E-2</c:v>
                </c:pt>
                <c:pt idx="25">
                  <c:v>0.10104285209885777</c:v>
                </c:pt>
                <c:pt idx="26">
                  <c:v>0.1069361846340935</c:v>
                </c:pt>
                <c:pt idx="27">
                  <c:v>0.11283184073587492</c:v>
                </c:pt>
                <c:pt idx="28">
                  <c:v>0.11872982040420205</c:v>
                </c:pt>
                <c:pt idx="29">
                  <c:v>0.12463012363907489</c:v>
                </c:pt>
                <c:pt idx="30">
                  <c:v>0.13053275044049339</c:v>
                </c:pt>
                <c:pt idx="31">
                  <c:v>0.13643770080845757</c:v>
                </c:pt>
                <c:pt idx="32">
                  <c:v>0.14234497474296751</c:v>
                </c:pt>
                <c:pt idx="33">
                  <c:v>0.14825457224402311</c:v>
                </c:pt>
                <c:pt idx="34">
                  <c:v>0.16008073794577138</c:v>
                </c:pt>
                <c:pt idx="35">
                  <c:v>0.16599730614646407</c:v>
                </c:pt>
                <c:pt idx="36">
                  <c:v>0.17191619791370247</c:v>
                </c:pt>
                <c:pt idx="37">
                  <c:v>0.17783741324748656</c:v>
                </c:pt>
                <c:pt idx="38">
                  <c:v>0.18376095214781632</c:v>
                </c:pt>
                <c:pt idx="39">
                  <c:v>0.20747834341459237</c:v>
                </c:pt>
                <c:pt idx="40">
                  <c:v>0.23123291174609956</c:v>
                </c:pt>
                <c:pt idx="41">
                  <c:v>0.25502465714233785</c:v>
                </c:pt>
                <c:pt idx="42">
                  <c:v>0.27885357960330731</c:v>
                </c:pt>
                <c:pt idx="43">
                  <c:v>0.30271967912900788</c:v>
                </c:pt>
                <c:pt idx="44">
                  <c:v>0.32662295571943956</c:v>
                </c:pt>
                <c:pt idx="45">
                  <c:v>0.3505634093746024</c:v>
                </c:pt>
                <c:pt idx="46">
                  <c:v>0.37454104009449635</c:v>
                </c:pt>
                <c:pt idx="47">
                  <c:v>0.39855584787912146</c:v>
                </c:pt>
                <c:pt idx="48">
                  <c:v>0.42260783272847763</c:v>
                </c:pt>
                <c:pt idx="49">
                  <c:v>0.44669699464256502</c:v>
                </c:pt>
                <c:pt idx="50">
                  <c:v>0.47082333362138346</c:v>
                </c:pt>
                <c:pt idx="51">
                  <c:v>0.49498684966493306</c:v>
                </c:pt>
                <c:pt idx="52">
                  <c:v>0.51918754277321366</c:v>
                </c:pt>
                <c:pt idx="53">
                  <c:v>0.54342541294622571</c:v>
                </c:pt>
                <c:pt idx="54">
                  <c:v>0.56770046018396858</c:v>
                </c:pt>
                <c:pt idx="55">
                  <c:v>0.59201268448644262</c:v>
                </c:pt>
                <c:pt idx="56">
                  <c:v>0.61636208585364805</c:v>
                </c:pt>
                <c:pt idx="57">
                  <c:v>0.6407486642855843</c:v>
                </c:pt>
                <c:pt idx="58">
                  <c:v>0.66517241978225194</c:v>
                </c:pt>
                <c:pt idx="59">
                  <c:v>0.68963335234365053</c:v>
                </c:pt>
                <c:pt idx="60">
                  <c:v>0.71413146196978017</c:v>
                </c:pt>
                <c:pt idx="61">
                  <c:v>0.73866674866064119</c:v>
                </c:pt>
                <c:pt idx="62">
                  <c:v>0.76323921241623316</c:v>
                </c:pt>
                <c:pt idx="63">
                  <c:v>0.78784885323655618</c:v>
                </c:pt>
                <c:pt idx="64">
                  <c:v>0.81249567112161059</c:v>
                </c:pt>
                <c:pt idx="65">
                  <c:v>0.83717966607139593</c:v>
                </c:pt>
                <c:pt idx="66">
                  <c:v>0.86190083808591256</c:v>
                </c:pt>
                <c:pt idx="67">
                  <c:v>0.88665918716516012</c:v>
                </c:pt>
                <c:pt idx="68">
                  <c:v>0.91145471330913885</c:v>
                </c:pt>
                <c:pt idx="69">
                  <c:v>0.93628741651784886</c:v>
                </c:pt>
                <c:pt idx="70">
                  <c:v>0.96115729679128992</c:v>
                </c:pt>
                <c:pt idx="71">
                  <c:v>0.98606435412946192</c:v>
                </c:pt>
                <c:pt idx="72">
                  <c:v>1.0110085885323654</c:v>
                </c:pt>
                <c:pt idx="73">
                  <c:v>1.0359899999999997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01-44C7-8648-D60E5CC6B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207055"/>
        <c:axId val="685769791"/>
      </c:scatterChart>
      <c:valAx>
        <c:axId val="68720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5769791"/>
        <c:crosses val="autoZero"/>
        <c:crossBetween val="midCat"/>
      </c:valAx>
      <c:valAx>
        <c:axId val="68576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207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'10kts'!$A$4:$A$28</c:f>
              <c:numCache>
                <c:formatCode>General</c:formatCode>
                <c:ptCount val="2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</c:numCache>
            </c:numRef>
          </c:xVal>
          <c:yVal>
            <c:numRef>
              <c:f>'10kts'!$D$4:$D$28</c:f>
              <c:numCache>
                <c:formatCode>General</c:formatCode>
                <c:ptCount val="25"/>
                <c:pt idx="0">
                  <c:v>6.7499999999999999E-3</c:v>
                </c:pt>
                <c:pt idx="1">
                  <c:v>6.8399999999999997E-3</c:v>
                </c:pt>
                <c:pt idx="2">
                  <c:v>7.0899999999999999E-3</c:v>
                </c:pt>
                <c:pt idx="3">
                  <c:v>7.4700000000000001E-3</c:v>
                </c:pt>
                <c:pt idx="4">
                  <c:v>7.9799999999999992E-3</c:v>
                </c:pt>
                <c:pt idx="5">
                  <c:v>8.5800000000000008E-3</c:v>
                </c:pt>
                <c:pt idx="6">
                  <c:v>9.2899999999999996E-3</c:v>
                </c:pt>
                <c:pt idx="7">
                  <c:v>1.008E-2</c:v>
                </c:pt>
                <c:pt idx="8">
                  <c:v>1.0800000000000001E-2</c:v>
                </c:pt>
                <c:pt idx="9">
                  <c:v>1.145E-2</c:v>
                </c:pt>
                <c:pt idx="10">
                  <c:v>1.209E-2</c:v>
                </c:pt>
                <c:pt idx="11">
                  <c:v>1.281E-2</c:v>
                </c:pt>
                <c:pt idx="12">
                  <c:v>1.355E-2</c:v>
                </c:pt>
                <c:pt idx="13">
                  <c:v>1.4409999999999999E-2</c:v>
                </c:pt>
                <c:pt idx="14">
                  <c:v>1.546E-2</c:v>
                </c:pt>
                <c:pt idx="15">
                  <c:v>1.6469999999999999E-2</c:v>
                </c:pt>
                <c:pt idx="16">
                  <c:v>1.7850000000000001E-2</c:v>
                </c:pt>
                <c:pt idx="17">
                  <c:v>1.925E-2</c:v>
                </c:pt>
                <c:pt idx="18">
                  <c:v>2.0619999999999999E-2</c:v>
                </c:pt>
                <c:pt idx="19">
                  <c:v>2.2599999999999999E-2</c:v>
                </c:pt>
                <c:pt idx="20">
                  <c:v>2.486E-2</c:v>
                </c:pt>
                <c:pt idx="21">
                  <c:v>2.7369999999999998E-2</c:v>
                </c:pt>
                <c:pt idx="22">
                  <c:v>2.9819999999999999E-2</c:v>
                </c:pt>
                <c:pt idx="23">
                  <c:v>3.2800000000000003E-2</c:v>
                </c:pt>
                <c:pt idx="24">
                  <c:v>3.6949999999999997E-2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1C-42A2-9C5A-EA14C8835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118447"/>
        <c:axId val="1028175983"/>
      </c:scatterChart>
      <c:valAx>
        <c:axId val="1028118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8175983"/>
        <c:crosses val="autoZero"/>
        <c:crossBetween val="midCat"/>
      </c:valAx>
      <c:valAx>
        <c:axId val="102817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8118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'10kts'!$F$2</c:f>
              <c:strCache>
                <c:ptCount val="1"/>
                <c:pt idx="0">
                  <c:v>CL_3D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20</c:v>
                </c:pt>
                <c:pt idx="40">
                  <c:v>22</c:v>
                </c:pt>
                <c:pt idx="41">
                  <c:v>24</c:v>
                </c:pt>
                <c:pt idx="42">
                  <c:v>26</c:v>
                </c:pt>
                <c:pt idx="43">
                  <c:v>28</c:v>
                </c:pt>
                <c:pt idx="44">
                  <c:v>30</c:v>
                </c:pt>
                <c:pt idx="45">
                  <c:v>32</c:v>
                </c:pt>
                <c:pt idx="46">
                  <c:v>34</c:v>
                </c:pt>
                <c:pt idx="47">
                  <c:v>36</c:v>
                </c:pt>
                <c:pt idx="48">
                  <c:v>38</c:v>
                </c:pt>
                <c:pt idx="49">
                  <c:v>40</c:v>
                </c:pt>
                <c:pt idx="50">
                  <c:v>42</c:v>
                </c:pt>
                <c:pt idx="51">
                  <c:v>44</c:v>
                </c:pt>
                <c:pt idx="52">
                  <c:v>46</c:v>
                </c:pt>
                <c:pt idx="53">
                  <c:v>48</c:v>
                </c:pt>
                <c:pt idx="54">
                  <c:v>50</c:v>
                </c:pt>
                <c:pt idx="55">
                  <c:v>52</c:v>
                </c:pt>
                <c:pt idx="56">
                  <c:v>54</c:v>
                </c:pt>
                <c:pt idx="57">
                  <c:v>56</c:v>
                </c:pt>
                <c:pt idx="58">
                  <c:v>58</c:v>
                </c:pt>
                <c:pt idx="59">
                  <c:v>60</c:v>
                </c:pt>
                <c:pt idx="60">
                  <c:v>62</c:v>
                </c:pt>
                <c:pt idx="61">
                  <c:v>64</c:v>
                </c:pt>
                <c:pt idx="62">
                  <c:v>66</c:v>
                </c:pt>
                <c:pt idx="63">
                  <c:v>68</c:v>
                </c:pt>
                <c:pt idx="64">
                  <c:v>70</c:v>
                </c:pt>
                <c:pt idx="65">
                  <c:v>72</c:v>
                </c:pt>
                <c:pt idx="66">
                  <c:v>74</c:v>
                </c:pt>
                <c:pt idx="67">
                  <c:v>76</c:v>
                </c:pt>
                <c:pt idx="68">
                  <c:v>78</c:v>
                </c:pt>
                <c:pt idx="69">
                  <c:v>80</c:v>
                </c:pt>
                <c:pt idx="70">
                  <c:v>82</c:v>
                </c:pt>
                <c:pt idx="71">
                  <c:v>84</c:v>
                </c:pt>
                <c:pt idx="72">
                  <c:v>86</c:v>
                </c:pt>
                <c:pt idx="73">
                  <c:v>88</c:v>
                </c:pt>
                <c:pt idx="74">
                  <c:v>90</c:v>
                </c:pt>
              </c:numCache>
            </c:numRef>
          </c:xVal>
          <c:yVal>
            <c:numRef>
              <c:f>'10kts'!$F$4:$F$78</c:f>
              <c:numCache>
                <c:formatCode>General</c:formatCode>
                <c:ptCount val="75"/>
                <c:pt idx="0">
                  <c:v>5.543030181544595E-5</c:v>
                </c:pt>
                <c:pt idx="1">
                  <c:v>2.788144181316931E-2</c:v>
                </c:pt>
                <c:pt idx="2">
                  <c:v>5.6760629059016653E-2</c:v>
                </c:pt>
                <c:pt idx="3">
                  <c:v>8.8078749584743626E-2</c:v>
                </c:pt>
                <c:pt idx="4">
                  <c:v>0.12189123369216566</c:v>
                </c:pt>
                <c:pt idx="5">
                  <c:v>0.15703404504315838</c:v>
                </c:pt>
                <c:pt idx="6">
                  <c:v>0.19323003212864456</c:v>
                </c:pt>
                <c:pt idx="7">
                  <c:v>0.23025747374136246</c:v>
                </c:pt>
                <c:pt idx="8">
                  <c:v>0.26240704879432108</c:v>
                </c:pt>
                <c:pt idx="9">
                  <c:v>0.28868101185484252</c:v>
                </c:pt>
                <c:pt idx="10">
                  <c:v>0.31512126582081018</c:v>
                </c:pt>
                <c:pt idx="11">
                  <c:v>0.34145065918314704</c:v>
                </c:pt>
                <c:pt idx="12">
                  <c:v>0.36805720405456116</c:v>
                </c:pt>
                <c:pt idx="13">
                  <c:v>0.39455288832234425</c:v>
                </c:pt>
                <c:pt idx="14">
                  <c:v>0.42071599077923472</c:v>
                </c:pt>
                <c:pt idx="15">
                  <c:v>0.44710081444338701</c:v>
                </c:pt>
                <c:pt idx="16">
                  <c:v>0.47226617146759942</c:v>
                </c:pt>
                <c:pt idx="17">
                  <c:v>0.49743152849181188</c:v>
                </c:pt>
                <c:pt idx="18">
                  <c:v>0.52226430370513177</c:v>
                </c:pt>
                <c:pt idx="19">
                  <c:v>0.54487986684583367</c:v>
                </c:pt>
                <c:pt idx="20">
                  <c:v>0.56627596334659591</c:v>
                </c:pt>
                <c:pt idx="21">
                  <c:v>0.58584285988744822</c:v>
                </c:pt>
                <c:pt idx="22">
                  <c:v>0.60374684737383721</c:v>
                </c:pt>
                <c:pt idx="23">
                  <c:v>0.6171055501113597</c:v>
                </c:pt>
                <c:pt idx="24">
                  <c:v>0.62187255606748804</c:v>
                </c:pt>
                <c:pt idx="25">
                  <c:v>0.61788619352859386</c:v>
                </c:pt>
                <c:pt idx="26">
                  <c:v>0.61389983098969969</c:v>
                </c:pt>
                <c:pt idx="27">
                  <c:v>0.60991346845080552</c:v>
                </c:pt>
                <c:pt idx="28">
                  <c:v>0.60592710591191146</c:v>
                </c:pt>
                <c:pt idx="29">
                  <c:v>0.60194074337301728</c:v>
                </c:pt>
                <c:pt idx="30">
                  <c:v>0.59795438083412311</c:v>
                </c:pt>
                <c:pt idx="31">
                  <c:v>0.59396801829522894</c:v>
                </c:pt>
                <c:pt idx="32">
                  <c:v>0.58998165575633477</c:v>
                </c:pt>
                <c:pt idx="33">
                  <c:v>0.5859952932174407</c:v>
                </c:pt>
                <c:pt idx="34">
                  <c:v>0.58200893067854653</c:v>
                </c:pt>
                <c:pt idx="35">
                  <c:v>0.57802256813965225</c:v>
                </c:pt>
                <c:pt idx="36">
                  <c:v>0.57403620560075808</c:v>
                </c:pt>
                <c:pt idx="37">
                  <c:v>0.5700498430618639</c:v>
                </c:pt>
                <c:pt idx="38">
                  <c:v>0.56606348052296995</c:v>
                </c:pt>
                <c:pt idx="39">
                  <c:v>0.55809075544518161</c:v>
                </c:pt>
                <c:pt idx="40">
                  <c:v>0.54214530528960503</c:v>
                </c:pt>
                <c:pt idx="41">
                  <c:v>0.52619985513402834</c:v>
                </c:pt>
                <c:pt idx="42">
                  <c:v>0.51025440497845165</c:v>
                </c:pt>
                <c:pt idx="43">
                  <c:v>0.49430895482287512</c:v>
                </c:pt>
                <c:pt idx="44">
                  <c:v>0.47836350466729849</c:v>
                </c:pt>
                <c:pt idx="45">
                  <c:v>0.46241805451172191</c:v>
                </c:pt>
                <c:pt idx="46">
                  <c:v>0.44647260435614522</c:v>
                </c:pt>
                <c:pt idx="47">
                  <c:v>0.43052715420056864</c:v>
                </c:pt>
                <c:pt idx="48">
                  <c:v>0.41458170404499201</c:v>
                </c:pt>
                <c:pt idx="49">
                  <c:v>0.39863625388941532</c:v>
                </c:pt>
                <c:pt idx="50">
                  <c:v>0.38269080373383879</c:v>
                </c:pt>
                <c:pt idx="51">
                  <c:v>0.36674535357826221</c:v>
                </c:pt>
                <c:pt idx="52">
                  <c:v>0.35079990342268558</c:v>
                </c:pt>
                <c:pt idx="53">
                  <c:v>0.334854453267109</c:v>
                </c:pt>
                <c:pt idx="54">
                  <c:v>0.31890900311153231</c:v>
                </c:pt>
                <c:pt idx="55">
                  <c:v>0.30296355295595573</c:v>
                </c:pt>
                <c:pt idx="56">
                  <c:v>0.28701810280037904</c:v>
                </c:pt>
                <c:pt idx="57">
                  <c:v>0.27107265264480251</c:v>
                </c:pt>
                <c:pt idx="58">
                  <c:v>0.25512720248922582</c:v>
                </c:pt>
                <c:pt idx="59">
                  <c:v>0.23918175233364924</c:v>
                </c:pt>
                <c:pt idx="60">
                  <c:v>0.22323630217807261</c:v>
                </c:pt>
                <c:pt idx="61">
                  <c:v>0.207290852022496</c:v>
                </c:pt>
                <c:pt idx="62">
                  <c:v>0.1913454018669194</c:v>
                </c:pt>
                <c:pt idx="63">
                  <c:v>0.17539995171134279</c:v>
                </c:pt>
                <c:pt idx="64">
                  <c:v>0.15945450155576615</c:v>
                </c:pt>
                <c:pt idx="65">
                  <c:v>0.14350905140018952</c:v>
                </c:pt>
                <c:pt idx="66">
                  <c:v>0.12756360124461291</c:v>
                </c:pt>
                <c:pt idx="67">
                  <c:v>0.1116181510890363</c:v>
                </c:pt>
                <c:pt idx="68">
                  <c:v>9.5672700933459698E-2</c:v>
                </c:pt>
                <c:pt idx="69">
                  <c:v>7.9727250777883077E-2</c:v>
                </c:pt>
                <c:pt idx="70">
                  <c:v>6.3781800622306456E-2</c:v>
                </c:pt>
                <c:pt idx="71">
                  <c:v>4.7836350466729849E-2</c:v>
                </c:pt>
                <c:pt idx="72">
                  <c:v>3.1890900311153228E-2</c:v>
                </c:pt>
                <c:pt idx="73">
                  <c:v>1.5945450155576614E-2</c:v>
                </c:pt>
                <c:pt idx="7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D4-4E14-BB7F-D1DA22DF8D52}"/>
            </c:ext>
          </c:extLst>
        </c:ser>
        <c:ser>
          <c:idx val="1"/>
          <c:order val="1"/>
          <c:tx>
            <c:strRef>
              <c:f>'10kts'!$H$2</c:f>
              <c:strCache>
                <c:ptCount val="1"/>
                <c:pt idx="0">
                  <c:v>CD_3D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20</c:v>
                </c:pt>
                <c:pt idx="40">
                  <c:v>22</c:v>
                </c:pt>
                <c:pt idx="41">
                  <c:v>24</c:v>
                </c:pt>
                <c:pt idx="42">
                  <c:v>26</c:v>
                </c:pt>
                <c:pt idx="43">
                  <c:v>28</c:v>
                </c:pt>
                <c:pt idx="44">
                  <c:v>30</c:v>
                </c:pt>
                <c:pt idx="45">
                  <c:v>32</c:v>
                </c:pt>
                <c:pt idx="46">
                  <c:v>34</c:v>
                </c:pt>
                <c:pt idx="47">
                  <c:v>36</c:v>
                </c:pt>
                <c:pt idx="48">
                  <c:v>38</c:v>
                </c:pt>
                <c:pt idx="49">
                  <c:v>40</c:v>
                </c:pt>
                <c:pt idx="50">
                  <c:v>42</c:v>
                </c:pt>
                <c:pt idx="51">
                  <c:v>44</c:v>
                </c:pt>
                <c:pt idx="52">
                  <c:v>46</c:v>
                </c:pt>
                <c:pt idx="53">
                  <c:v>48</c:v>
                </c:pt>
                <c:pt idx="54">
                  <c:v>50</c:v>
                </c:pt>
                <c:pt idx="55">
                  <c:v>52</c:v>
                </c:pt>
                <c:pt idx="56">
                  <c:v>54</c:v>
                </c:pt>
                <c:pt idx="57">
                  <c:v>56</c:v>
                </c:pt>
                <c:pt idx="58">
                  <c:v>58</c:v>
                </c:pt>
                <c:pt idx="59">
                  <c:v>60</c:v>
                </c:pt>
                <c:pt idx="60">
                  <c:v>62</c:v>
                </c:pt>
                <c:pt idx="61">
                  <c:v>64</c:v>
                </c:pt>
                <c:pt idx="62">
                  <c:v>66</c:v>
                </c:pt>
                <c:pt idx="63">
                  <c:v>68</c:v>
                </c:pt>
                <c:pt idx="64">
                  <c:v>70</c:v>
                </c:pt>
                <c:pt idx="65">
                  <c:v>72</c:v>
                </c:pt>
                <c:pt idx="66">
                  <c:v>74</c:v>
                </c:pt>
                <c:pt idx="67">
                  <c:v>76</c:v>
                </c:pt>
                <c:pt idx="68">
                  <c:v>78</c:v>
                </c:pt>
                <c:pt idx="69">
                  <c:v>80</c:v>
                </c:pt>
                <c:pt idx="70">
                  <c:v>82</c:v>
                </c:pt>
                <c:pt idx="71">
                  <c:v>84</c:v>
                </c:pt>
                <c:pt idx="72">
                  <c:v>86</c:v>
                </c:pt>
                <c:pt idx="73">
                  <c:v>88</c:v>
                </c:pt>
                <c:pt idx="74">
                  <c:v>90</c:v>
                </c:pt>
              </c:numCache>
            </c:numRef>
          </c:xVal>
          <c:yVal>
            <c:numRef>
              <c:f>'10kts'!$H$4:$H$78</c:f>
              <c:numCache>
                <c:formatCode>General</c:formatCode>
                <c:ptCount val="75"/>
                <c:pt idx="0">
                  <c:v>6.7500003055714413E-3</c:v>
                </c:pt>
                <c:pt idx="1">
                  <c:v>6.917312324813644E-3</c:v>
                </c:pt>
                <c:pt idx="2">
                  <c:v>7.4104148797228247E-3</c:v>
                </c:pt>
                <c:pt idx="3">
                  <c:v>8.2415437493559215E-3</c:v>
                </c:pt>
                <c:pt idx="4">
                  <c:v>9.4576215675378529E-3</c:v>
                </c:pt>
                <c:pt idx="5">
                  <c:v>1.1032482470134492E-2</c:v>
                </c:pt>
                <c:pt idx="6">
                  <c:v>1.3003364047725861E-2</c:v>
                </c:pt>
                <c:pt idx="7">
                  <c:v>1.5352854010268428E-2</c:v>
                </c:pt>
                <c:pt idx="8">
                  <c:v>1.76480870134712E-2</c:v>
                </c:pt>
                <c:pt idx="9">
                  <c:v>1.973809487557452E-2</c:v>
                </c:pt>
                <c:pt idx="10">
                  <c:v>2.1965832167730251E-2</c:v>
                </c:pt>
                <c:pt idx="11">
                  <c:v>2.4405091686258724E-2</c:v>
                </c:pt>
                <c:pt idx="12">
                  <c:v>2.7022522622134657E-2</c:v>
                </c:pt>
                <c:pt idx="13">
                  <c:v>2.9892059425836365E-2</c:v>
                </c:pt>
                <c:pt idx="14">
                  <c:v>3.3063390152512043E-2</c:v>
                </c:pt>
                <c:pt idx="15">
                  <c:v>3.6350586760009927E-2</c:v>
                </c:pt>
                <c:pt idx="16">
                  <c:v>4.0031553158790346E-2</c:v>
                </c:pt>
                <c:pt idx="17">
                  <c:v>4.3858485883996226E-2</c:v>
                </c:pt>
                <c:pt idx="18">
                  <c:v>4.7746824805606811E-2</c:v>
                </c:pt>
                <c:pt idx="19">
                  <c:v>5.2127032252549055E-2</c:v>
                </c:pt>
                <c:pt idx="20">
                  <c:v>5.6751469506562673E-2</c:v>
                </c:pt>
                <c:pt idx="21">
                  <c:v>6.1503479257013501E-2</c:v>
                </c:pt>
                <c:pt idx="22">
                  <c:v>6.6071670848271813E-2</c:v>
                </c:pt>
                <c:pt idx="23">
                  <c:v>7.0673651698435036E-2</c:v>
                </c:pt>
                <c:pt idx="24">
                  <c:v>7.5411043124211083E-2</c:v>
                </c:pt>
                <c:pt idx="25">
                  <c:v>7.9069533245363699E-2</c:v>
                </c:pt>
                <c:pt idx="26">
                  <c:v>8.2731184201750074E-2</c:v>
                </c:pt>
                <c:pt idx="27">
                  <c:v>8.6395995993370181E-2</c:v>
                </c:pt>
                <c:pt idx="28">
                  <c:v>9.0063968620224061E-2</c:v>
                </c:pt>
                <c:pt idx="29">
                  <c:v>9.3735102082311644E-2</c:v>
                </c:pt>
                <c:pt idx="30">
                  <c:v>9.7409396379633001E-2</c:v>
                </c:pt>
                <c:pt idx="31">
                  <c:v>0.10108685151218808</c:v>
                </c:pt>
                <c:pt idx="32">
                  <c:v>0.10476746747997692</c:v>
                </c:pt>
                <c:pt idx="33">
                  <c:v>0.10845124428299951</c:v>
                </c:pt>
                <c:pt idx="34">
                  <c:v>0.11213818192125584</c:v>
                </c:pt>
                <c:pt idx="35">
                  <c:v>0.11582828039474589</c:v>
                </c:pt>
                <c:pt idx="36">
                  <c:v>0.11952153970346971</c:v>
                </c:pt>
                <c:pt idx="37">
                  <c:v>0.12321795984742728</c:v>
                </c:pt>
                <c:pt idx="38">
                  <c:v>0.1269175408266186</c:v>
                </c:pt>
                <c:pt idx="39">
                  <c:v>0.13432618529070245</c:v>
                </c:pt>
                <c:pt idx="40">
                  <c:v>0.14918140424167511</c:v>
                </c:pt>
                <c:pt idx="41">
                  <c:v>0.16408719655638765</c:v>
                </c:pt>
                <c:pt idx="42">
                  <c:v>0.17904356223484019</c:v>
                </c:pt>
                <c:pt idx="43">
                  <c:v>0.19405050127703258</c:v>
                </c:pt>
                <c:pt idx="44">
                  <c:v>0.20910801368296494</c:v>
                </c:pt>
                <c:pt idx="45">
                  <c:v>0.22421609945263718</c:v>
                </c:pt>
                <c:pt idx="46">
                  <c:v>0.23937475858604937</c:v>
                </c:pt>
                <c:pt idx="47">
                  <c:v>0.25458399108320146</c:v>
                </c:pt>
                <c:pt idx="48">
                  <c:v>0.26984379694409349</c:v>
                </c:pt>
                <c:pt idx="49">
                  <c:v>0.2851541761687254</c:v>
                </c:pt>
                <c:pt idx="50">
                  <c:v>0.30051512875709735</c:v>
                </c:pt>
                <c:pt idx="51">
                  <c:v>0.31592665470920911</c:v>
                </c:pt>
                <c:pt idx="52">
                  <c:v>0.33138875402506079</c:v>
                </c:pt>
                <c:pt idx="53">
                  <c:v>0.34690142670465246</c:v>
                </c:pt>
                <c:pt idx="54">
                  <c:v>0.36246467274798405</c:v>
                </c:pt>
                <c:pt idx="55">
                  <c:v>0.37807849215505551</c:v>
                </c:pt>
                <c:pt idx="56">
                  <c:v>0.3937428849258669</c:v>
                </c:pt>
                <c:pt idx="57">
                  <c:v>0.40945785106041827</c:v>
                </c:pt>
                <c:pt idx="58">
                  <c:v>0.42522339055870956</c:v>
                </c:pt>
                <c:pt idx="59">
                  <c:v>0.44103950342074066</c:v>
                </c:pt>
                <c:pt idx="60">
                  <c:v>0.45690618964651175</c:v>
                </c:pt>
                <c:pt idx="61">
                  <c:v>0.47282344923602282</c:v>
                </c:pt>
                <c:pt idx="62">
                  <c:v>0.48879128218927376</c:v>
                </c:pt>
                <c:pt idx="63">
                  <c:v>0.50480968850626473</c:v>
                </c:pt>
                <c:pt idx="64">
                  <c:v>0.52087866818699546</c:v>
                </c:pt>
                <c:pt idx="65">
                  <c:v>0.53699822123146612</c:v>
                </c:pt>
                <c:pt idx="66">
                  <c:v>0.55316834763967682</c:v>
                </c:pt>
                <c:pt idx="67">
                  <c:v>0.56938904741162732</c:v>
                </c:pt>
                <c:pt idx="68">
                  <c:v>0.58566032054731787</c:v>
                </c:pt>
                <c:pt idx="69">
                  <c:v>0.60198216704674823</c:v>
                </c:pt>
                <c:pt idx="70">
                  <c:v>0.61835458690991862</c:v>
                </c:pt>
                <c:pt idx="71">
                  <c:v>0.63477758013682883</c:v>
                </c:pt>
                <c:pt idx="72">
                  <c:v>0.65125114672747897</c:v>
                </c:pt>
                <c:pt idx="73">
                  <c:v>0.66777528668186914</c:v>
                </c:pt>
                <c:pt idx="74">
                  <c:v>0.68434999999999913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D4-4E14-BB7F-D1DA22DF8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207055"/>
        <c:axId val="685769791"/>
      </c:scatterChart>
      <c:valAx>
        <c:axId val="68720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5769791"/>
        <c:crosses val="autoZero"/>
        <c:crossBetween val="midCat"/>
      </c:valAx>
      <c:valAx>
        <c:axId val="68576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207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'15kts'!$A$4:$A$30</c:f>
              <c:numCache>
                <c:formatCode>General</c:formatCode>
                <c:ptCount val="2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</c:numCache>
            </c:numRef>
          </c:xVal>
          <c:yVal>
            <c:numRef>
              <c:f>'15kts'!$D$4:$D$30</c:f>
              <c:numCache>
                <c:formatCode>General</c:formatCode>
                <c:ptCount val="27"/>
                <c:pt idx="0">
                  <c:v>6.3499999999999997E-3</c:v>
                </c:pt>
                <c:pt idx="1">
                  <c:v>6.3899999999999998E-3</c:v>
                </c:pt>
                <c:pt idx="2">
                  <c:v>6.5300000000000002E-3</c:v>
                </c:pt>
                <c:pt idx="3">
                  <c:v>6.7999999999999996E-3</c:v>
                </c:pt>
                <c:pt idx="4">
                  <c:v>7.1999999999999998E-3</c:v>
                </c:pt>
                <c:pt idx="5">
                  <c:v>7.7499999999999999E-3</c:v>
                </c:pt>
                <c:pt idx="6">
                  <c:v>8.3800000000000003E-3</c:v>
                </c:pt>
                <c:pt idx="7">
                  <c:v>9.0500000000000008E-3</c:v>
                </c:pt>
                <c:pt idx="8">
                  <c:v>9.7000000000000003E-3</c:v>
                </c:pt>
                <c:pt idx="9">
                  <c:v>1.0290000000000001E-2</c:v>
                </c:pt>
                <c:pt idx="10">
                  <c:v>1.0840000000000001E-2</c:v>
                </c:pt>
                <c:pt idx="11">
                  <c:v>1.14E-2</c:v>
                </c:pt>
                <c:pt idx="12">
                  <c:v>1.2019999999999999E-2</c:v>
                </c:pt>
                <c:pt idx="13">
                  <c:v>1.2749999999999999E-2</c:v>
                </c:pt>
                <c:pt idx="14">
                  <c:v>1.349E-2</c:v>
                </c:pt>
                <c:pt idx="15">
                  <c:v>1.4409999999999999E-2</c:v>
                </c:pt>
                <c:pt idx="16">
                  <c:v>1.532E-2</c:v>
                </c:pt>
                <c:pt idx="17">
                  <c:v>1.6459999999999999E-2</c:v>
                </c:pt>
                <c:pt idx="18">
                  <c:v>1.7670000000000002E-2</c:v>
                </c:pt>
                <c:pt idx="19">
                  <c:v>1.898E-2</c:v>
                </c:pt>
                <c:pt idx="20">
                  <c:v>2.0559999999999998E-2</c:v>
                </c:pt>
                <c:pt idx="21">
                  <c:v>2.2370000000000001E-2</c:v>
                </c:pt>
                <c:pt idx="22">
                  <c:v>2.4240000000000001E-2</c:v>
                </c:pt>
                <c:pt idx="23">
                  <c:v>2.6349999999999998E-2</c:v>
                </c:pt>
                <c:pt idx="24">
                  <c:v>2.87E-2</c:v>
                </c:pt>
                <c:pt idx="25">
                  <c:v>3.1539999999999999E-2</c:v>
                </c:pt>
                <c:pt idx="26">
                  <c:v>3.5430000000000003E-2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0-44DE-91E1-DF01A731B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098447"/>
        <c:axId val="1028169327"/>
      </c:scatterChart>
      <c:valAx>
        <c:axId val="1028098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8169327"/>
        <c:crosses val="autoZero"/>
        <c:crossBetween val="midCat"/>
      </c:valAx>
      <c:valAx>
        <c:axId val="1028169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8098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'15kts'!$F$2</c:f>
              <c:strCache>
                <c:ptCount val="1"/>
                <c:pt idx="0">
                  <c:v>CL_3D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22</c:v>
                </c:pt>
                <c:pt idx="41">
                  <c:v>24</c:v>
                </c:pt>
                <c:pt idx="42">
                  <c:v>26</c:v>
                </c:pt>
                <c:pt idx="43">
                  <c:v>28</c:v>
                </c:pt>
                <c:pt idx="44">
                  <c:v>30</c:v>
                </c:pt>
                <c:pt idx="45">
                  <c:v>32</c:v>
                </c:pt>
                <c:pt idx="46">
                  <c:v>34</c:v>
                </c:pt>
                <c:pt idx="47">
                  <c:v>36</c:v>
                </c:pt>
                <c:pt idx="48">
                  <c:v>38</c:v>
                </c:pt>
                <c:pt idx="49">
                  <c:v>40</c:v>
                </c:pt>
                <c:pt idx="50">
                  <c:v>42</c:v>
                </c:pt>
                <c:pt idx="51">
                  <c:v>44</c:v>
                </c:pt>
                <c:pt idx="52">
                  <c:v>46</c:v>
                </c:pt>
                <c:pt idx="53">
                  <c:v>48</c:v>
                </c:pt>
                <c:pt idx="54">
                  <c:v>50</c:v>
                </c:pt>
                <c:pt idx="55">
                  <c:v>52</c:v>
                </c:pt>
                <c:pt idx="56">
                  <c:v>54</c:v>
                </c:pt>
                <c:pt idx="57">
                  <c:v>56</c:v>
                </c:pt>
                <c:pt idx="58">
                  <c:v>58</c:v>
                </c:pt>
                <c:pt idx="59">
                  <c:v>60</c:v>
                </c:pt>
                <c:pt idx="60">
                  <c:v>62</c:v>
                </c:pt>
                <c:pt idx="61">
                  <c:v>64</c:v>
                </c:pt>
                <c:pt idx="62">
                  <c:v>66</c:v>
                </c:pt>
                <c:pt idx="63">
                  <c:v>68</c:v>
                </c:pt>
                <c:pt idx="64">
                  <c:v>70</c:v>
                </c:pt>
                <c:pt idx="65">
                  <c:v>72</c:v>
                </c:pt>
                <c:pt idx="66">
                  <c:v>74</c:v>
                </c:pt>
                <c:pt idx="67">
                  <c:v>76</c:v>
                </c:pt>
                <c:pt idx="68">
                  <c:v>78</c:v>
                </c:pt>
                <c:pt idx="69">
                  <c:v>80</c:v>
                </c:pt>
                <c:pt idx="70">
                  <c:v>82</c:v>
                </c:pt>
                <c:pt idx="71">
                  <c:v>84</c:v>
                </c:pt>
                <c:pt idx="72">
                  <c:v>86</c:v>
                </c:pt>
                <c:pt idx="73">
                  <c:v>88</c:v>
                </c:pt>
                <c:pt idx="74">
                  <c:v>90</c:v>
                </c:pt>
              </c:numCache>
            </c:numRef>
          </c:xVal>
          <c:yVal>
            <c:numRef>
              <c:f>'15kts'!$F$4:$F$78</c:f>
              <c:numCache>
                <c:formatCode>General</c:formatCode>
                <c:ptCount val="75"/>
                <c:pt idx="0">
                  <c:v>0</c:v>
                </c:pt>
                <c:pt idx="1">
                  <c:v>2.8491175133139219E-2</c:v>
                </c:pt>
                <c:pt idx="2">
                  <c:v>5.6926919964462988E-2</c:v>
                </c:pt>
                <c:pt idx="3">
                  <c:v>8.5362664795786761E-2</c:v>
                </c:pt>
                <c:pt idx="4">
                  <c:v>0.1149624459652349</c:v>
                </c:pt>
                <c:pt idx="5">
                  <c:v>0.14711202101819354</c:v>
                </c:pt>
                <c:pt idx="6">
                  <c:v>0.18103536572924644</c:v>
                </c:pt>
                <c:pt idx="7">
                  <c:v>0.2159564558729774</c:v>
                </c:pt>
                <c:pt idx="8">
                  <c:v>0.25237416416572539</c:v>
                </c:pt>
                <c:pt idx="9">
                  <c:v>0.28906902396755063</c:v>
                </c:pt>
                <c:pt idx="10">
                  <c:v>0.31772649000613623</c:v>
                </c:pt>
                <c:pt idx="11">
                  <c:v>0.34444389548118109</c:v>
                </c:pt>
                <c:pt idx="12">
                  <c:v>0.37116130095622607</c:v>
                </c:pt>
                <c:pt idx="13">
                  <c:v>0.39787870643127105</c:v>
                </c:pt>
                <c:pt idx="14">
                  <c:v>0.42487326341539317</c:v>
                </c:pt>
                <c:pt idx="15">
                  <c:v>0.45159066889043814</c:v>
                </c:pt>
                <c:pt idx="16">
                  <c:v>0.47836350466729854</c:v>
                </c:pt>
                <c:pt idx="17">
                  <c:v>0.50436031621874267</c:v>
                </c:pt>
                <c:pt idx="18">
                  <c:v>0.5300799762611097</c:v>
                </c:pt>
                <c:pt idx="19">
                  <c:v>0.555245333285322</c:v>
                </c:pt>
                <c:pt idx="20">
                  <c:v>0.57896950246233292</c:v>
                </c:pt>
                <c:pt idx="21">
                  <c:v>0.60147420499940396</c:v>
                </c:pt>
                <c:pt idx="22">
                  <c:v>0.62298116210379695</c:v>
                </c:pt>
                <c:pt idx="23">
                  <c:v>0.64249262834283405</c:v>
                </c:pt>
                <c:pt idx="24">
                  <c:v>0.65945430069836042</c:v>
                </c:pt>
                <c:pt idx="25">
                  <c:v>0.67170439739957399</c:v>
                </c:pt>
                <c:pt idx="26">
                  <c:v>0.67187068830502028</c:v>
                </c:pt>
                <c:pt idx="27">
                  <c:v>0.66750789162771507</c:v>
                </c:pt>
                <c:pt idx="28">
                  <c:v>0.66314509495040963</c:v>
                </c:pt>
                <c:pt idx="29">
                  <c:v>0.65878229827310431</c:v>
                </c:pt>
                <c:pt idx="30">
                  <c:v>0.65441950159579898</c:v>
                </c:pt>
                <c:pt idx="31">
                  <c:v>0.64569390824118833</c:v>
                </c:pt>
                <c:pt idx="32">
                  <c:v>0.64133111156388301</c:v>
                </c:pt>
                <c:pt idx="33">
                  <c:v>0.63696831488657768</c:v>
                </c:pt>
                <c:pt idx="34">
                  <c:v>0.63260551820927247</c:v>
                </c:pt>
                <c:pt idx="35">
                  <c:v>0.62824272153196692</c:v>
                </c:pt>
                <c:pt idx="36">
                  <c:v>0.62387992485466182</c:v>
                </c:pt>
                <c:pt idx="37">
                  <c:v>0.61951712817735638</c:v>
                </c:pt>
                <c:pt idx="38">
                  <c:v>0.61515433150005105</c:v>
                </c:pt>
                <c:pt idx="39">
                  <c:v>0.61079153482274573</c:v>
                </c:pt>
                <c:pt idx="40">
                  <c:v>0.59334034811352443</c:v>
                </c:pt>
                <c:pt idx="41">
                  <c:v>0.57588916140430313</c:v>
                </c:pt>
                <c:pt idx="42">
                  <c:v>0.55843797469508183</c:v>
                </c:pt>
                <c:pt idx="43">
                  <c:v>0.54098678798586053</c:v>
                </c:pt>
                <c:pt idx="44">
                  <c:v>0.52353560127663923</c:v>
                </c:pt>
                <c:pt idx="45">
                  <c:v>0.50608441456741793</c:v>
                </c:pt>
                <c:pt idx="46">
                  <c:v>0.48863322785819657</c:v>
                </c:pt>
                <c:pt idx="47">
                  <c:v>0.47118204114897533</c:v>
                </c:pt>
                <c:pt idx="48">
                  <c:v>0.45373085443975397</c:v>
                </c:pt>
                <c:pt idx="49">
                  <c:v>0.43627966773053267</c:v>
                </c:pt>
                <c:pt idx="50">
                  <c:v>0.41882848102131132</c:v>
                </c:pt>
                <c:pt idx="51">
                  <c:v>0.40137729431209007</c:v>
                </c:pt>
                <c:pt idx="52">
                  <c:v>0.38392610760286872</c:v>
                </c:pt>
                <c:pt idx="53">
                  <c:v>0.36647492089364747</c:v>
                </c:pt>
                <c:pt idx="54">
                  <c:v>0.34902373418442612</c:v>
                </c:pt>
                <c:pt idx="55">
                  <c:v>0.33157254747520482</c:v>
                </c:pt>
                <c:pt idx="56">
                  <c:v>0.31412136076598346</c:v>
                </c:pt>
                <c:pt idx="57">
                  <c:v>0.29667017405676221</c:v>
                </c:pt>
                <c:pt idx="58">
                  <c:v>0.27921898734754091</c:v>
                </c:pt>
                <c:pt idx="59">
                  <c:v>0.26176780063831961</c:v>
                </c:pt>
                <c:pt idx="60">
                  <c:v>0.24431661392909829</c:v>
                </c:pt>
                <c:pt idx="61">
                  <c:v>0.22686542721987699</c:v>
                </c:pt>
                <c:pt idx="62">
                  <c:v>0.20941424051065566</c:v>
                </c:pt>
                <c:pt idx="63">
                  <c:v>0.19196305380143436</c:v>
                </c:pt>
                <c:pt idx="64">
                  <c:v>0.17451186709221306</c:v>
                </c:pt>
                <c:pt idx="65">
                  <c:v>0.15706068038299173</c:v>
                </c:pt>
                <c:pt idx="66">
                  <c:v>0.13960949367377046</c:v>
                </c:pt>
                <c:pt idx="67">
                  <c:v>0.12215830696454914</c:v>
                </c:pt>
                <c:pt idx="68">
                  <c:v>0.10470712025532783</c:v>
                </c:pt>
                <c:pt idx="69">
                  <c:v>8.7255933546106529E-2</c:v>
                </c:pt>
                <c:pt idx="70">
                  <c:v>6.9804746836885229E-2</c:v>
                </c:pt>
                <c:pt idx="71">
                  <c:v>5.2353560127663915E-2</c:v>
                </c:pt>
                <c:pt idx="72">
                  <c:v>3.4902373418442614E-2</c:v>
                </c:pt>
                <c:pt idx="73">
                  <c:v>1.7451186709221307E-2</c:v>
                </c:pt>
                <c:pt idx="7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85-4A2A-95BA-19AFE94CAD6B}"/>
            </c:ext>
          </c:extLst>
        </c:ser>
        <c:ser>
          <c:idx val="1"/>
          <c:order val="1"/>
          <c:tx>
            <c:strRef>
              <c:f>'15kts'!$H$2</c:f>
              <c:strCache>
                <c:ptCount val="1"/>
                <c:pt idx="0">
                  <c:v>CD_3D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22</c:v>
                </c:pt>
                <c:pt idx="41">
                  <c:v>24</c:v>
                </c:pt>
                <c:pt idx="42">
                  <c:v>26</c:v>
                </c:pt>
                <c:pt idx="43">
                  <c:v>28</c:v>
                </c:pt>
                <c:pt idx="44">
                  <c:v>30</c:v>
                </c:pt>
                <c:pt idx="45">
                  <c:v>32</c:v>
                </c:pt>
                <c:pt idx="46">
                  <c:v>34</c:v>
                </c:pt>
                <c:pt idx="47">
                  <c:v>36</c:v>
                </c:pt>
                <c:pt idx="48">
                  <c:v>38</c:v>
                </c:pt>
                <c:pt idx="49">
                  <c:v>40</c:v>
                </c:pt>
                <c:pt idx="50">
                  <c:v>42</c:v>
                </c:pt>
                <c:pt idx="51">
                  <c:v>44</c:v>
                </c:pt>
                <c:pt idx="52">
                  <c:v>46</c:v>
                </c:pt>
                <c:pt idx="53">
                  <c:v>48</c:v>
                </c:pt>
                <c:pt idx="54">
                  <c:v>50</c:v>
                </c:pt>
                <c:pt idx="55">
                  <c:v>52</c:v>
                </c:pt>
                <c:pt idx="56">
                  <c:v>54</c:v>
                </c:pt>
                <c:pt idx="57">
                  <c:v>56</c:v>
                </c:pt>
                <c:pt idx="58">
                  <c:v>58</c:v>
                </c:pt>
                <c:pt idx="59">
                  <c:v>60</c:v>
                </c:pt>
                <c:pt idx="60">
                  <c:v>62</c:v>
                </c:pt>
                <c:pt idx="61">
                  <c:v>64</c:v>
                </c:pt>
                <c:pt idx="62">
                  <c:v>66</c:v>
                </c:pt>
                <c:pt idx="63">
                  <c:v>68</c:v>
                </c:pt>
                <c:pt idx="64">
                  <c:v>70</c:v>
                </c:pt>
                <c:pt idx="65">
                  <c:v>72</c:v>
                </c:pt>
                <c:pt idx="66">
                  <c:v>74</c:v>
                </c:pt>
                <c:pt idx="67">
                  <c:v>76</c:v>
                </c:pt>
                <c:pt idx="68">
                  <c:v>78</c:v>
                </c:pt>
                <c:pt idx="69">
                  <c:v>80</c:v>
                </c:pt>
                <c:pt idx="70">
                  <c:v>82</c:v>
                </c:pt>
                <c:pt idx="71">
                  <c:v>84</c:v>
                </c:pt>
                <c:pt idx="72">
                  <c:v>86</c:v>
                </c:pt>
                <c:pt idx="73">
                  <c:v>88</c:v>
                </c:pt>
                <c:pt idx="74">
                  <c:v>90</c:v>
                </c:pt>
              </c:numCache>
            </c:numRef>
          </c:xVal>
          <c:yVal>
            <c:numRef>
              <c:f>'15kts'!$H$4:$H$78</c:f>
              <c:numCache>
                <c:formatCode>General</c:formatCode>
                <c:ptCount val="75"/>
                <c:pt idx="0">
                  <c:v>6.3499999999999997E-3</c:v>
                </c:pt>
                <c:pt idx="1">
                  <c:v>6.4707307525284303E-3</c:v>
                </c:pt>
                <c:pt idx="2">
                  <c:v>6.852295060801674E-3</c:v>
                </c:pt>
                <c:pt idx="3">
                  <c:v>7.5246932303911695E-3</c:v>
                </c:pt>
                <c:pt idx="4">
                  <c:v>8.5144082214075253E-3</c:v>
                </c:pt>
                <c:pt idx="5">
                  <c:v>9.9023584508340246E-3</c:v>
                </c:pt>
                <c:pt idx="6">
                  <c:v>1.1639456005833359E-2</c:v>
                </c:pt>
                <c:pt idx="7">
                  <c:v>1.3688212683653729E-2</c:v>
                </c:pt>
                <c:pt idx="8">
                  <c:v>1.6034437615787635E-2</c:v>
                </c:pt>
                <c:pt idx="9">
                  <c:v>1.860038967350949E-2</c:v>
                </c:pt>
                <c:pt idx="10">
                  <c:v>2.087980149760657E-2</c:v>
                </c:pt>
                <c:pt idx="11">
                  <c:v>2.3199273301107118E-2</c:v>
                </c:pt>
                <c:pt idx="12">
                  <c:v>2.572072826370482E-2</c:v>
                </c:pt>
                <c:pt idx="13">
                  <c:v>2.8494166385399665E-2</c:v>
                </c:pt>
                <c:pt idx="14">
                  <c:v>3.1443002077887867E-2</c:v>
                </c:pt>
                <c:pt idx="15">
                  <c:v>3.4691879372124493E-2</c:v>
                </c:pt>
                <c:pt idx="16">
                  <c:v>3.8078013682965151E-2</c:v>
                </c:pt>
                <c:pt idx="17">
                  <c:v>4.1758809966517499E-2</c:v>
                </c:pt>
                <c:pt idx="18">
                  <c:v>4.5614804413481522E-2</c:v>
                </c:pt>
                <c:pt idx="19">
                  <c:v>4.9641126738823399E-2</c:v>
                </c:pt>
                <c:pt idx="20">
                  <c:v>5.3897240751621958E-2</c:v>
                </c:pt>
                <c:pt idx="21">
                  <c:v>5.8349265214419486E-2</c:v>
                </c:pt>
                <c:pt idx="22">
                  <c:v>6.2838293592824057E-2</c:v>
                </c:pt>
                <c:pt idx="23">
                  <c:v>6.7403914587233035E-2</c:v>
                </c:pt>
                <c:pt idx="24">
                  <c:v>7.1950156763907383E-2</c:v>
                </c:pt>
                <c:pt idx="25">
                  <c:v>7.6411920658347218E-2</c:v>
                </c:pt>
                <c:pt idx="26">
                  <c:v>8.0324140896850499E-2</c:v>
                </c:pt>
                <c:pt idx="27">
                  <c:v>8.3632993095563046E-2</c:v>
                </c:pt>
                <c:pt idx="28">
                  <c:v>8.6945631273437088E-2</c:v>
                </c:pt>
                <c:pt idx="29">
                  <c:v>9.026205543047261E-2</c:v>
                </c:pt>
                <c:pt idx="30">
                  <c:v>9.3582265566669598E-2</c:v>
                </c:pt>
                <c:pt idx="31">
                  <c:v>0.10023404377654806</c:v>
                </c:pt>
                <c:pt idx="32">
                  <c:v>0.1035656118502295</c:v>
                </c:pt>
                <c:pt idx="33">
                  <c:v>0.10690096590307244</c:v>
                </c:pt>
                <c:pt idx="34">
                  <c:v>0.11024010593507685</c:v>
                </c:pt>
                <c:pt idx="35">
                  <c:v>0.11358303194624272</c:v>
                </c:pt>
                <c:pt idx="36">
                  <c:v>0.11692974393657013</c:v>
                </c:pt>
                <c:pt idx="37">
                  <c:v>0.12028024190605896</c:v>
                </c:pt>
                <c:pt idx="38">
                  <c:v>0.12363452585470931</c:v>
                </c:pt>
                <c:pt idx="39">
                  <c:v>0.12699259578252114</c:v>
                </c:pt>
                <c:pt idx="40">
                  <c:v>0.14046273528538322</c:v>
                </c:pt>
                <c:pt idx="41">
                  <c:v>0.15399345045482904</c:v>
                </c:pt>
                <c:pt idx="42">
                  <c:v>0.16758474129085857</c:v>
                </c:pt>
                <c:pt idx="43">
                  <c:v>0.18123660779347178</c:v>
                </c:pt>
                <c:pt idx="44">
                  <c:v>0.19494904996266871</c:v>
                </c:pt>
                <c:pt idx="45">
                  <c:v>0.20872206779844935</c:v>
                </c:pt>
                <c:pt idx="46">
                  <c:v>0.2225556613008137</c:v>
                </c:pt>
                <c:pt idx="47">
                  <c:v>0.23644983046976176</c:v>
                </c:pt>
                <c:pt idx="48">
                  <c:v>0.25040457530529348</c:v>
                </c:pt>
                <c:pt idx="49">
                  <c:v>0.26441989580740899</c:v>
                </c:pt>
                <c:pt idx="50">
                  <c:v>0.27849579197610813</c:v>
                </c:pt>
                <c:pt idx="51">
                  <c:v>0.29263226381139101</c:v>
                </c:pt>
                <c:pt idx="52">
                  <c:v>0.30682931131325764</c:v>
                </c:pt>
                <c:pt idx="53">
                  <c:v>0.32108693448170794</c:v>
                </c:pt>
                <c:pt idx="54">
                  <c:v>0.33540513331674193</c:v>
                </c:pt>
                <c:pt idx="55">
                  <c:v>0.34978390781835966</c:v>
                </c:pt>
                <c:pt idx="56">
                  <c:v>0.36422325798656108</c:v>
                </c:pt>
                <c:pt idx="57">
                  <c:v>0.37872318382134618</c:v>
                </c:pt>
                <c:pt idx="58">
                  <c:v>0.39328368532271502</c:v>
                </c:pt>
                <c:pt idx="59">
                  <c:v>0.40790476249066759</c:v>
                </c:pt>
                <c:pt idx="60">
                  <c:v>0.42258641532520386</c:v>
                </c:pt>
                <c:pt idx="61">
                  <c:v>0.4373286438263238</c:v>
                </c:pt>
                <c:pt idx="62">
                  <c:v>0.45213144799402749</c:v>
                </c:pt>
                <c:pt idx="63">
                  <c:v>0.46699482782831486</c:v>
                </c:pt>
                <c:pt idx="64">
                  <c:v>0.48191878332918592</c:v>
                </c:pt>
                <c:pt idx="65">
                  <c:v>0.49690331449664071</c:v>
                </c:pt>
                <c:pt idx="66">
                  <c:v>0.51194842133067919</c:v>
                </c:pt>
                <c:pt idx="67">
                  <c:v>0.52705410383130136</c:v>
                </c:pt>
                <c:pt idx="68">
                  <c:v>0.54222036199850732</c:v>
                </c:pt>
                <c:pt idx="69">
                  <c:v>0.55744719583229696</c:v>
                </c:pt>
                <c:pt idx="70">
                  <c:v>0.57273460533267029</c:v>
                </c:pt>
                <c:pt idx="71">
                  <c:v>0.5880825904996273</c:v>
                </c:pt>
                <c:pt idx="72">
                  <c:v>0.603491151333168</c:v>
                </c:pt>
                <c:pt idx="73">
                  <c:v>0.61896028783329249</c:v>
                </c:pt>
                <c:pt idx="74">
                  <c:v>0.63449000000000066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85-4A2A-95BA-19AFE94CA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207055"/>
        <c:axId val="685769791"/>
      </c:scatterChart>
      <c:valAx>
        <c:axId val="68720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5769791"/>
        <c:crosses val="autoZero"/>
        <c:crossBetween val="midCat"/>
      </c:valAx>
      <c:valAx>
        <c:axId val="68576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207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130088490558544E-2"/>
          <c:y val="5.9530199360420789E-2"/>
          <c:w val="0.87313413037193244"/>
          <c:h val="0.84911419494138352"/>
        </c:manualLayout>
      </c:layout>
      <c:scatterChart>
        <c:scatterStyle val="lineMarker"/>
        <c:varyColors val="0"/>
        <c:ser>
          <c:idx val="0"/>
          <c:order val="0"/>
          <c:tx>
            <c:v>CD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22</c:v>
                </c:pt>
                <c:pt idx="41">
                  <c:v>24</c:v>
                </c:pt>
                <c:pt idx="42">
                  <c:v>26</c:v>
                </c:pt>
                <c:pt idx="43">
                  <c:v>28</c:v>
                </c:pt>
                <c:pt idx="44">
                  <c:v>30</c:v>
                </c:pt>
                <c:pt idx="45">
                  <c:v>32</c:v>
                </c:pt>
                <c:pt idx="46">
                  <c:v>34</c:v>
                </c:pt>
                <c:pt idx="47">
                  <c:v>36</c:v>
                </c:pt>
                <c:pt idx="48">
                  <c:v>38</c:v>
                </c:pt>
                <c:pt idx="49">
                  <c:v>40</c:v>
                </c:pt>
                <c:pt idx="50">
                  <c:v>42</c:v>
                </c:pt>
                <c:pt idx="51">
                  <c:v>44</c:v>
                </c:pt>
                <c:pt idx="52">
                  <c:v>46</c:v>
                </c:pt>
                <c:pt idx="53">
                  <c:v>48</c:v>
                </c:pt>
                <c:pt idx="54">
                  <c:v>50</c:v>
                </c:pt>
                <c:pt idx="55">
                  <c:v>52</c:v>
                </c:pt>
                <c:pt idx="56">
                  <c:v>54</c:v>
                </c:pt>
                <c:pt idx="57">
                  <c:v>56</c:v>
                </c:pt>
                <c:pt idx="58">
                  <c:v>58</c:v>
                </c:pt>
                <c:pt idx="59">
                  <c:v>60</c:v>
                </c:pt>
                <c:pt idx="60">
                  <c:v>62</c:v>
                </c:pt>
                <c:pt idx="61">
                  <c:v>64</c:v>
                </c:pt>
                <c:pt idx="62">
                  <c:v>66</c:v>
                </c:pt>
                <c:pt idx="63">
                  <c:v>68</c:v>
                </c:pt>
                <c:pt idx="64">
                  <c:v>70</c:v>
                </c:pt>
                <c:pt idx="65">
                  <c:v>72</c:v>
                </c:pt>
                <c:pt idx="66">
                  <c:v>74</c:v>
                </c:pt>
                <c:pt idx="67">
                  <c:v>76</c:v>
                </c:pt>
                <c:pt idx="68">
                  <c:v>78</c:v>
                </c:pt>
                <c:pt idx="69">
                  <c:v>80</c:v>
                </c:pt>
                <c:pt idx="70">
                  <c:v>82</c:v>
                </c:pt>
                <c:pt idx="71">
                  <c:v>84</c:v>
                </c:pt>
                <c:pt idx="72">
                  <c:v>86</c:v>
                </c:pt>
                <c:pt idx="73">
                  <c:v>88</c:v>
                </c:pt>
                <c:pt idx="74">
                  <c:v>90</c:v>
                </c:pt>
              </c:numCache>
            </c:numRef>
          </c:xVal>
          <c:yVal>
            <c:numRef>
              <c:f>'20kts'!$H$4:$H$78</c:f>
              <c:numCache>
                <c:formatCode>General</c:formatCode>
                <c:ptCount val="75"/>
                <c:pt idx="0">
                  <c:v>6.2300000000000003E-3</c:v>
                </c:pt>
                <c:pt idx="1">
                  <c:v>6.344866050844708E-3</c:v>
                </c:pt>
                <c:pt idx="2">
                  <c:v>6.6981771364677135E-3</c:v>
                </c:pt>
                <c:pt idx="3">
                  <c:v>7.3151232568101597E-3</c:v>
                </c:pt>
                <c:pt idx="4">
                  <c:v>8.2034896300648783E-3</c:v>
                </c:pt>
                <c:pt idx="5">
                  <c:v>9.3847746039997879E-3</c:v>
                </c:pt>
                <c:pt idx="6">
                  <c:v>1.0922291795546553E-2</c:v>
                </c:pt>
                <c:pt idx="7">
                  <c:v>1.277689139185607E-2</c:v>
                </c:pt>
                <c:pt idx="8">
                  <c:v>1.4909315887941062E-2</c:v>
                </c:pt>
                <c:pt idx="9">
                  <c:v>1.7331364313867777E-2</c:v>
                </c:pt>
                <c:pt idx="10">
                  <c:v>2.0012881832095101E-2</c:v>
                </c:pt>
                <c:pt idx="11">
                  <c:v>2.2512565091696926E-2</c:v>
                </c:pt>
                <c:pt idx="12">
                  <c:v>2.4998443943042369E-2</c:v>
                </c:pt>
                <c:pt idx="13">
                  <c:v>2.7648950325148872E-2</c:v>
                </c:pt>
                <c:pt idx="14">
                  <c:v>3.0574996717930267E-2</c:v>
                </c:pt>
                <c:pt idx="15">
                  <c:v>3.3676623718798399E-2</c:v>
                </c:pt>
                <c:pt idx="16">
                  <c:v>3.7059633780042643E-2</c:v>
                </c:pt>
                <c:pt idx="17">
                  <c:v>4.0607587987651066E-2</c:v>
                </c:pt>
                <c:pt idx="18">
                  <c:v>4.4353271887072221E-2</c:v>
                </c:pt>
                <c:pt idx="19">
                  <c:v>4.8409277684211965E-2</c:v>
                </c:pt>
                <c:pt idx="20">
                  <c:v>5.2503479257013499E-2</c:v>
                </c:pt>
                <c:pt idx="21">
                  <c:v>5.674178378136964E-2</c:v>
                </c:pt>
                <c:pt idx="22">
                  <c:v>6.1125218762825721E-2</c:v>
                </c:pt>
                <c:pt idx="23">
                  <c:v>6.5749343461950993E-2</c:v>
                </c:pt>
                <c:pt idx="24">
                  <c:v>7.0412976059622309E-2</c:v>
                </c:pt>
                <c:pt idx="25">
                  <c:v>7.5031393468618368E-2</c:v>
                </c:pt>
                <c:pt idx="26">
                  <c:v>7.9492523608110044E-2</c:v>
                </c:pt>
                <c:pt idx="27">
                  <c:v>8.1625733898728625E-2</c:v>
                </c:pt>
                <c:pt idx="28">
                  <c:v>8.3763092656509303E-2</c:v>
                </c:pt>
                <c:pt idx="29">
                  <c:v>8.5904599881452076E-2</c:v>
                </c:pt>
                <c:pt idx="30">
                  <c:v>8.8050255573556918E-2</c:v>
                </c:pt>
                <c:pt idx="31">
                  <c:v>9.0200059732823884E-2</c:v>
                </c:pt>
                <c:pt idx="32">
                  <c:v>9.2354012359252932E-2</c:v>
                </c:pt>
                <c:pt idx="33">
                  <c:v>9.6674363013597331E-2</c:v>
                </c:pt>
                <c:pt idx="34">
                  <c:v>9.8840761041512654E-2</c:v>
                </c:pt>
                <c:pt idx="35">
                  <c:v>0.1010113075365901</c:v>
                </c:pt>
                <c:pt idx="36">
                  <c:v>0.1031860024988296</c:v>
                </c:pt>
                <c:pt idx="37">
                  <c:v>0.10536484592823121</c:v>
                </c:pt>
                <c:pt idx="38">
                  <c:v>0.10754783782479492</c:v>
                </c:pt>
                <c:pt idx="39">
                  <c:v>0.10973497818852071</c:v>
                </c:pt>
                <c:pt idx="40">
                  <c:v>0.11852502431504486</c:v>
                </c:pt>
                <c:pt idx="41">
                  <c:v>0.12738144591616252</c:v>
                </c:pt>
                <c:pt idx="42">
                  <c:v>0.13630424299187369</c:v>
                </c:pt>
                <c:pt idx="43">
                  <c:v>0.14529341554217831</c:v>
                </c:pt>
                <c:pt idx="44">
                  <c:v>0.1543489635670765</c:v>
                </c:pt>
                <c:pt idx="45">
                  <c:v>0.16347088706656815</c:v>
                </c:pt>
                <c:pt idx="46">
                  <c:v>0.17265918604065333</c:v>
                </c:pt>
                <c:pt idx="47">
                  <c:v>0.181913860489332</c:v>
                </c:pt>
                <c:pt idx="48">
                  <c:v>0.19123491041260413</c:v>
                </c:pt>
                <c:pt idx="49">
                  <c:v>0.20062233581046984</c:v>
                </c:pt>
                <c:pt idx="50">
                  <c:v>0.21007613668292899</c:v>
                </c:pt>
                <c:pt idx="51">
                  <c:v>0.2195963130299817</c:v>
                </c:pt>
                <c:pt idx="52">
                  <c:v>0.22918286485162787</c:v>
                </c:pt>
                <c:pt idx="53">
                  <c:v>0.23883579214786757</c:v>
                </c:pt>
                <c:pt idx="54">
                  <c:v>0.24855509491870073</c:v>
                </c:pt>
                <c:pt idx="55">
                  <c:v>0.25834077316412746</c:v>
                </c:pt>
                <c:pt idx="56">
                  <c:v>0.26819282688414764</c:v>
                </c:pt>
                <c:pt idx="57">
                  <c:v>0.27811125607876136</c:v>
                </c:pt>
                <c:pt idx="58">
                  <c:v>0.28809606074796851</c:v>
                </c:pt>
                <c:pt idx="59">
                  <c:v>0.29814724089176925</c:v>
                </c:pt>
                <c:pt idx="60">
                  <c:v>0.30826479651016347</c:v>
                </c:pt>
                <c:pt idx="61">
                  <c:v>0.31844872760315118</c:v>
                </c:pt>
                <c:pt idx="62">
                  <c:v>0.32869903417073237</c:v>
                </c:pt>
                <c:pt idx="63">
                  <c:v>0.3390157162129071</c:v>
                </c:pt>
                <c:pt idx="64">
                  <c:v>0.34939877372967532</c:v>
                </c:pt>
                <c:pt idx="65">
                  <c:v>0.35984820672103707</c:v>
                </c:pt>
                <c:pt idx="66">
                  <c:v>0.3703640151869923</c:v>
                </c:pt>
                <c:pt idx="67">
                  <c:v>0.38094619912754102</c:v>
                </c:pt>
                <c:pt idx="68">
                  <c:v>0.39159475854268327</c:v>
                </c:pt>
                <c:pt idx="69">
                  <c:v>0.40230969343241901</c:v>
                </c:pt>
                <c:pt idx="70">
                  <c:v>0.41309100379674824</c:v>
                </c:pt>
                <c:pt idx="71">
                  <c:v>0.423938689635671</c:v>
                </c:pt>
                <c:pt idx="72">
                  <c:v>0.43485275094918724</c:v>
                </c:pt>
                <c:pt idx="73">
                  <c:v>0.44583318773729702</c:v>
                </c:pt>
                <c:pt idx="74">
                  <c:v>0.45688000000000023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BB-497B-8907-B0CDDAD82831}"/>
            </c:ext>
          </c:extLst>
        </c:ser>
        <c:ser>
          <c:idx val="1"/>
          <c:order val="1"/>
          <c:tx>
            <c:v>CL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22</c:v>
                </c:pt>
                <c:pt idx="41">
                  <c:v>24</c:v>
                </c:pt>
                <c:pt idx="42">
                  <c:v>26</c:v>
                </c:pt>
                <c:pt idx="43">
                  <c:v>28</c:v>
                </c:pt>
                <c:pt idx="44">
                  <c:v>30</c:v>
                </c:pt>
                <c:pt idx="45">
                  <c:v>32</c:v>
                </c:pt>
                <c:pt idx="46">
                  <c:v>34</c:v>
                </c:pt>
                <c:pt idx="47">
                  <c:v>36</c:v>
                </c:pt>
                <c:pt idx="48">
                  <c:v>38</c:v>
                </c:pt>
                <c:pt idx="49">
                  <c:v>40</c:v>
                </c:pt>
                <c:pt idx="50">
                  <c:v>42</c:v>
                </c:pt>
                <c:pt idx="51">
                  <c:v>44</c:v>
                </c:pt>
                <c:pt idx="52">
                  <c:v>46</c:v>
                </c:pt>
                <c:pt idx="53">
                  <c:v>48</c:v>
                </c:pt>
                <c:pt idx="54">
                  <c:v>50</c:v>
                </c:pt>
                <c:pt idx="55">
                  <c:v>52</c:v>
                </c:pt>
                <c:pt idx="56">
                  <c:v>54</c:v>
                </c:pt>
                <c:pt idx="57">
                  <c:v>56</c:v>
                </c:pt>
                <c:pt idx="58">
                  <c:v>58</c:v>
                </c:pt>
                <c:pt idx="59">
                  <c:v>60</c:v>
                </c:pt>
                <c:pt idx="60">
                  <c:v>62</c:v>
                </c:pt>
                <c:pt idx="61">
                  <c:v>64</c:v>
                </c:pt>
                <c:pt idx="62">
                  <c:v>66</c:v>
                </c:pt>
                <c:pt idx="63">
                  <c:v>68</c:v>
                </c:pt>
                <c:pt idx="64">
                  <c:v>70</c:v>
                </c:pt>
                <c:pt idx="65">
                  <c:v>72</c:v>
                </c:pt>
                <c:pt idx="66">
                  <c:v>74</c:v>
                </c:pt>
                <c:pt idx="67">
                  <c:v>76</c:v>
                </c:pt>
                <c:pt idx="68">
                  <c:v>78</c:v>
                </c:pt>
                <c:pt idx="69">
                  <c:v>80</c:v>
                </c:pt>
                <c:pt idx="70">
                  <c:v>82</c:v>
                </c:pt>
                <c:pt idx="71">
                  <c:v>84</c:v>
                </c:pt>
                <c:pt idx="72">
                  <c:v>86</c:v>
                </c:pt>
                <c:pt idx="73">
                  <c:v>88</c:v>
                </c:pt>
                <c:pt idx="74">
                  <c:v>90</c:v>
                </c:pt>
              </c:numCache>
            </c:numRef>
          </c:xVal>
          <c:yVal>
            <c:numRef>
              <c:f>'20kts'!$F$4:$F$78</c:f>
              <c:numCache>
                <c:formatCode>General</c:formatCode>
                <c:ptCount val="75"/>
                <c:pt idx="0">
                  <c:v>0</c:v>
                </c:pt>
                <c:pt idx="1">
                  <c:v>2.9211769056740011E-2</c:v>
                </c:pt>
                <c:pt idx="2">
                  <c:v>5.8312677509849135E-2</c:v>
                </c:pt>
                <c:pt idx="3">
                  <c:v>8.7136434453881043E-2</c:v>
                </c:pt>
                <c:pt idx="4">
                  <c:v>0.11579390049246657</c:v>
                </c:pt>
                <c:pt idx="5">
                  <c:v>0.14478394834194483</c:v>
                </c:pt>
                <c:pt idx="6">
                  <c:v>0.17604663856585634</c:v>
                </c:pt>
                <c:pt idx="7">
                  <c:v>0.2093048196551239</c:v>
                </c:pt>
                <c:pt idx="8">
                  <c:v>0.24417047949703938</c:v>
                </c:pt>
                <c:pt idx="9">
                  <c:v>0.28025560597889471</c:v>
                </c:pt>
                <c:pt idx="10">
                  <c:v>0.31650702336619629</c:v>
                </c:pt>
                <c:pt idx="11">
                  <c:v>0.34638395604472172</c:v>
                </c:pt>
                <c:pt idx="12">
                  <c:v>0.37315679182158212</c:v>
                </c:pt>
                <c:pt idx="13">
                  <c:v>0.40020677910751973</c:v>
                </c:pt>
                <c:pt idx="14">
                  <c:v>0.42725676639345739</c:v>
                </c:pt>
                <c:pt idx="15">
                  <c:v>0.45452847488665671</c:v>
                </c:pt>
                <c:pt idx="16">
                  <c:v>0.48152303187077899</c:v>
                </c:pt>
                <c:pt idx="17">
                  <c:v>0.50851758885490117</c:v>
                </c:pt>
                <c:pt idx="18">
                  <c:v>0.53506870342449975</c:v>
                </c:pt>
                <c:pt idx="19">
                  <c:v>0.56045578165597409</c:v>
                </c:pt>
                <c:pt idx="20">
                  <c:v>0.58584285988744822</c:v>
                </c:pt>
                <c:pt idx="21">
                  <c:v>0.61062020479895252</c:v>
                </c:pt>
                <c:pt idx="22">
                  <c:v>0.63423351337233258</c:v>
                </c:pt>
                <c:pt idx="23">
                  <c:v>0.65524159776038648</c:v>
                </c:pt>
                <c:pt idx="24">
                  <c:v>0.67447591249034633</c:v>
                </c:pt>
                <c:pt idx="25">
                  <c:v>0.69110500303498001</c:v>
                </c:pt>
                <c:pt idx="26">
                  <c:v>0.70329966943437816</c:v>
                </c:pt>
                <c:pt idx="27">
                  <c:v>0.69873278846402509</c:v>
                </c:pt>
                <c:pt idx="28">
                  <c:v>0.69416590749367202</c:v>
                </c:pt>
                <c:pt idx="29">
                  <c:v>0.68959902652331884</c:v>
                </c:pt>
                <c:pt idx="30">
                  <c:v>0.68503214555296565</c:v>
                </c:pt>
                <c:pt idx="31">
                  <c:v>0.68046526458261258</c:v>
                </c:pt>
                <c:pt idx="32">
                  <c:v>0.67589838361225951</c:v>
                </c:pt>
                <c:pt idx="33">
                  <c:v>0.66676462167155337</c:v>
                </c:pt>
                <c:pt idx="34">
                  <c:v>0.6621977407012003</c:v>
                </c:pt>
                <c:pt idx="35">
                  <c:v>0.65763085973084723</c:v>
                </c:pt>
                <c:pt idx="36">
                  <c:v>0.65306397876049405</c:v>
                </c:pt>
                <c:pt idx="37">
                  <c:v>0.64849709779014097</c:v>
                </c:pt>
                <c:pt idx="38">
                  <c:v>0.64393021681978779</c:v>
                </c:pt>
                <c:pt idx="39">
                  <c:v>0.63936333584943461</c:v>
                </c:pt>
                <c:pt idx="40">
                  <c:v>0.62109581196802222</c:v>
                </c:pt>
                <c:pt idx="41">
                  <c:v>0.60282828808660993</c:v>
                </c:pt>
                <c:pt idx="42">
                  <c:v>0.58456076420519743</c:v>
                </c:pt>
                <c:pt idx="43">
                  <c:v>0.56629324032378492</c:v>
                </c:pt>
                <c:pt idx="44">
                  <c:v>0.54802571644237263</c:v>
                </c:pt>
                <c:pt idx="45">
                  <c:v>0.52975819256096024</c:v>
                </c:pt>
                <c:pt idx="46">
                  <c:v>0.51149066867954773</c:v>
                </c:pt>
                <c:pt idx="47">
                  <c:v>0.49322314479813534</c:v>
                </c:pt>
                <c:pt idx="48">
                  <c:v>0.47495562091672289</c:v>
                </c:pt>
                <c:pt idx="49">
                  <c:v>0.45668809703531049</c:v>
                </c:pt>
                <c:pt idx="50">
                  <c:v>0.43842057315389804</c:v>
                </c:pt>
                <c:pt idx="51">
                  <c:v>0.42015304927248565</c:v>
                </c:pt>
                <c:pt idx="52">
                  <c:v>0.4018855253910732</c:v>
                </c:pt>
                <c:pt idx="53">
                  <c:v>0.38361800150966086</c:v>
                </c:pt>
                <c:pt idx="54">
                  <c:v>0.3653504776282484</c:v>
                </c:pt>
                <c:pt idx="55">
                  <c:v>0.34708295374683601</c:v>
                </c:pt>
                <c:pt idx="56">
                  <c:v>0.32881542986542361</c:v>
                </c:pt>
                <c:pt idx="57">
                  <c:v>0.31054790598401111</c:v>
                </c:pt>
                <c:pt idx="58">
                  <c:v>0.29228038210259871</c:v>
                </c:pt>
                <c:pt idx="59">
                  <c:v>0.27401285822118632</c:v>
                </c:pt>
                <c:pt idx="60">
                  <c:v>0.25574533433977387</c:v>
                </c:pt>
                <c:pt idx="61">
                  <c:v>0.23747781045836144</c:v>
                </c:pt>
                <c:pt idx="62">
                  <c:v>0.21921028657694902</c:v>
                </c:pt>
                <c:pt idx="63">
                  <c:v>0.2009427626955366</c:v>
                </c:pt>
                <c:pt idx="64">
                  <c:v>0.1826752388141242</c:v>
                </c:pt>
                <c:pt idx="65">
                  <c:v>0.16440771493271181</c:v>
                </c:pt>
                <c:pt idx="66">
                  <c:v>0.14614019105129936</c:v>
                </c:pt>
                <c:pt idx="67">
                  <c:v>0.12787266716988693</c:v>
                </c:pt>
                <c:pt idx="68">
                  <c:v>0.10960514328847451</c:v>
                </c:pt>
                <c:pt idx="69">
                  <c:v>9.1337619407062101E-2</c:v>
                </c:pt>
                <c:pt idx="70">
                  <c:v>7.3070095525649678E-2</c:v>
                </c:pt>
                <c:pt idx="71">
                  <c:v>5.4802571644237255E-2</c:v>
                </c:pt>
                <c:pt idx="72">
                  <c:v>3.6535047762824839E-2</c:v>
                </c:pt>
                <c:pt idx="73">
                  <c:v>1.826752388141242E-2</c:v>
                </c:pt>
                <c:pt idx="7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BB-497B-8907-B0CDDAD82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711"/>
        <c:axId val="678695391"/>
      </c:scatterChart>
      <c:valAx>
        <c:axId val="10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8695391"/>
        <c:crosses val="autoZero"/>
        <c:crossBetween val="midCat"/>
      </c:valAx>
      <c:valAx>
        <c:axId val="67869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'25kts'!$A$4:$A$32</c:f>
              <c:numCache>
                <c:formatCode>General</c:formatCode>
                <c:ptCount val="2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</c:numCache>
            </c:numRef>
          </c:xVal>
          <c:yVal>
            <c:numRef>
              <c:f>'25kts'!$D$4:$D$32</c:f>
              <c:numCache>
                <c:formatCode>General</c:formatCode>
                <c:ptCount val="29"/>
                <c:pt idx="0">
                  <c:v>6.1700000000000001E-3</c:v>
                </c:pt>
                <c:pt idx="1">
                  <c:v>6.1999999999999998E-3</c:v>
                </c:pt>
                <c:pt idx="2">
                  <c:v>6.3E-3</c:v>
                </c:pt>
                <c:pt idx="3">
                  <c:v>6.4599999999999996E-3</c:v>
                </c:pt>
                <c:pt idx="4">
                  <c:v>6.7200000000000003E-3</c:v>
                </c:pt>
                <c:pt idx="5">
                  <c:v>7.0699999999999999E-3</c:v>
                </c:pt>
                <c:pt idx="6">
                  <c:v>7.5100000000000002E-3</c:v>
                </c:pt>
                <c:pt idx="7">
                  <c:v>8.0000000000000002E-3</c:v>
                </c:pt>
                <c:pt idx="8">
                  <c:v>8.4899999999999993E-3</c:v>
                </c:pt>
                <c:pt idx="9">
                  <c:v>8.9800000000000001E-3</c:v>
                </c:pt>
                <c:pt idx="10">
                  <c:v>9.4599999999999997E-3</c:v>
                </c:pt>
                <c:pt idx="11">
                  <c:v>9.9799999999999993E-3</c:v>
                </c:pt>
                <c:pt idx="12">
                  <c:v>1.0489999999999999E-2</c:v>
                </c:pt>
                <c:pt idx="13">
                  <c:v>1.108E-2</c:v>
                </c:pt>
                <c:pt idx="14">
                  <c:v>1.1650000000000001E-2</c:v>
                </c:pt>
                <c:pt idx="15">
                  <c:v>1.2370000000000001E-2</c:v>
                </c:pt>
                <c:pt idx="16">
                  <c:v>1.306E-2</c:v>
                </c:pt>
                <c:pt idx="17">
                  <c:v>1.3860000000000001E-2</c:v>
                </c:pt>
                <c:pt idx="18">
                  <c:v>1.487E-2</c:v>
                </c:pt>
                <c:pt idx="19">
                  <c:v>1.583E-2</c:v>
                </c:pt>
                <c:pt idx="20">
                  <c:v>1.6840000000000001E-2</c:v>
                </c:pt>
                <c:pt idx="21">
                  <c:v>1.8030000000000001E-2</c:v>
                </c:pt>
                <c:pt idx="22">
                  <c:v>1.958E-2</c:v>
                </c:pt>
                <c:pt idx="23">
                  <c:v>2.1059999999999999E-2</c:v>
                </c:pt>
                <c:pt idx="24">
                  <c:v>2.2759999999999999E-2</c:v>
                </c:pt>
                <c:pt idx="25">
                  <c:v>2.4680000000000001E-2</c:v>
                </c:pt>
                <c:pt idx="26">
                  <c:v>2.6800000000000001E-2</c:v>
                </c:pt>
                <c:pt idx="27">
                  <c:v>2.9229999999999999E-2</c:v>
                </c:pt>
                <c:pt idx="28">
                  <c:v>3.211E-2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6E-49E6-AC60-8CDA59272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306079"/>
        <c:axId val="1028179311"/>
      </c:scatterChart>
      <c:valAx>
        <c:axId val="905306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8179311"/>
        <c:crosses val="autoZero"/>
        <c:crossBetween val="midCat"/>
      </c:valAx>
      <c:valAx>
        <c:axId val="102817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5306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'25kts'!$F$2</c:f>
              <c:strCache>
                <c:ptCount val="1"/>
                <c:pt idx="0">
                  <c:v>CL_3D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22</c:v>
                </c:pt>
                <c:pt idx="40">
                  <c:v>24</c:v>
                </c:pt>
                <c:pt idx="41">
                  <c:v>26</c:v>
                </c:pt>
                <c:pt idx="42">
                  <c:v>28</c:v>
                </c:pt>
                <c:pt idx="43">
                  <c:v>30</c:v>
                </c:pt>
                <c:pt idx="44">
                  <c:v>32</c:v>
                </c:pt>
                <c:pt idx="45">
                  <c:v>34</c:v>
                </c:pt>
                <c:pt idx="46">
                  <c:v>36</c:v>
                </c:pt>
                <c:pt idx="47">
                  <c:v>38</c:v>
                </c:pt>
                <c:pt idx="48">
                  <c:v>40</c:v>
                </c:pt>
                <c:pt idx="49">
                  <c:v>42</c:v>
                </c:pt>
                <c:pt idx="50">
                  <c:v>44</c:v>
                </c:pt>
                <c:pt idx="51">
                  <c:v>46</c:v>
                </c:pt>
                <c:pt idx="52">
                  <c:v>48</c:v>
                </c:pt>
                <c:pt idx="53">
                  <c:v>50</c:v>
                </c:pt>
                <c:pt idx="54">
                  <c:v>52</c:v>
                </c:pt>
                <c:pt idx="55">
                  <c:v>54</c:v>
                </c:pt>
                <c:pt idx="56">
                  <c:v>56</c:v>
                </c:pt>
                <c:pt idx="57">
                  <c:v>58</c:v>
                </c:pt>
                <c:pt idx="58">
                  <c:v>60</c:v>
                </c:pt>
                <c:pt idx="59">
                  <c:v>62</c:v>
                </c:pt>
                <c:pt idx="60">
                  <c:v>64</c:v>
                </c:pt>
                <c:pt idx="61">
                  <c:v>66</c:v>
                </c:pt>
                <c:pt idx="62">
                  <c:v>68</c:v>
                </c:pt>
                <c:pt idx="63">
                  <c:v>70</c:v>
                </c:pt>
                <c:pt idx="64">
                  <c:v>72</c:v>
                </c:pt>
                <c:pt idx="65">
                  <c:v>74</c:v>
                </c:pt>
                <c:pt idx="66">
                  <c:v>76</c:v>
                </c:pt>
                <c:pt idx="67">
                  <c:v>78</c:v>
                </c:pt>
                <c:pt idx="68">
                  <c:v>80</c:v>
                </c:pt>
                <c:pt idx="69">
                  <c:v>82</c:v>
                </c:pt>
                <c:pt idx="70">
                  <c:v>84</c:v>
                </c:pt>
                <c:pt idx="71">
                  <c:v>86</c:v>
                </c:pt>
                <c:pt idx="72">
                  <c:v>88</c:v>
                </c:pt>
                <c:pt idx="73">
                  <c:v>90</c:v>
                </c:pt>
              </c:numCache>
            </c:numRef>
          </c:xVal>
          <c:yVal>
            <c:numRef>
              <c:f>'25kts'!$F$4:$F$78</c:f>
              <c:numCache>
                <c:formatCode>General</c:formatCode>
                <c:ptCount val="75"/>
                <c:pt idx="0">
                  <c:v>0</c:v>
                </c:pt>
                <c:pt idx="1">
                  <c:v>2.9710641773079031E-2</c:v>
                </c:pt>
                <c:pt idx="2">
                  <c:v>5.9254992640711712E-2</c:v>
                </c:pt>
                <c:pt idx="3">
                  <c:v>8.8577622301082626E-2</c:v>
                </c:pt>
                <c:pt idx="4">
                  <c:v>0.11751223984874541</c:v>
                </c:pt>
                <c:pt idx="5">
                  <c:v>0.14616970588733097</c:v>
                </c:pt>
                <c:pt idx="6">
                  <c:v>0.1751597537368092</c:v>
                </c:pt>
                <c:pt idx="7">
                  <c:v>0.20631158335708982</c:v>
                </c:pt>
                <c:pt idx="8">
                  <c:v>0.24034578867177361</c:v>
                </c:pt>
                <c:pt idx="9">
                  <c:v>0.27510058791005826</c:v>
                </c:pt>
                <c:pt idx="10">
                  <c:v>0.31013253865742008</c:v>
                </c:pt>
                <c:pt idx="11">
                  <c:v>0.34638395604472172</c:v>
                </c:pt>
                <c:pt idx="12">
                  <c:v>0.37487513117786098</c:v>
                </c:pt>
                <c:pt idx="13">
                  <c:v>0.40181425786016767</c:v>
                </c:pt>
                <c:pt idx="14">
                  <c:v>0.4290859663533671</c:v>
                </c:pt>
                <c:pt idx="15">
                  <c:v>0.45630224454475105</c:v>
                </c:pt>
                <c:pt idx="16">
                  <c:v>0.48390653484884316</c:v>
                </c:pt>
                <c:pt idx="17">
                  <c:v>0.51117824334204254</c:v>
                </c:pt>
                <c:pt idx="18">
                  <c:v>0.53778478821345654</c:v>
                </c:pt>
                <c:pt idx="19">
                  <c:v>0.56444676338668609</c:v>
                </c:pt>
                <c:pt idx="20">
                  <c:v>0.59072072644720752</c:v>
                </c:pt>
                <c:pt idx="21">
                  <c:v>0.61605237437686622</c:v>
                </c:pt>
                <c:pt idx="22">
                  <c:v>0.63966568295024617</c:v>
                </c:pt>
                <c:pt idx="23">
                  <c:v>0.66294640971273344</c:v>
                </c:pt>
                <c:pt idx="24">
                  <c:v>0.68461965772257294</c:v>
                </c:pt>
                <c:pt idx="25">
                  <c:v>0.70435284516887164</c:v>
                </c:pt>
                <c:pt idx="26">
                  <c:v>0.72159166903347527</c:v>
                </c:pt>
                <c:pt idx="27">
                  <c:v>0.73517209297825958</c:v>
                </c:pt>
                <c:pt idx="28">
                  <c:v>0.740437971650727</c:v>
                </c:pt>
                <c:pt idx="29">
                  <c:v>0.73556666920565639</c:v>
                </c:pt>
                <c:pt idx="30">
                  <c:v>0.73069536676058588</c:v>
                </c:pt>
                <c:pt idx="31">
                  <c:v>0.72582406431551549</c:v>
                </c:pt>
                <c:pt idx="32">
                  <c:v>0.72095276187044477</c:v>
                </c:pt>
                <c:pt idx="33">
                  <c:v>0.71608145942537405</c:v>
                </c:pt>
                <c:pt idx="34">
                  <c:v>0.70146755209016243</c:v>
                </c:pt>
                <c:pt idx="35">
                  <c:v>0.69659624964509193</c:v>
                </c:pt>
                <c:pt idx="36">
                  <c:v>0.69172494720002131</c:v>
                </c:pt>
                <c:pt idx="37">
                  <c:v>0.6868536447549507</c:v>
                </c:pt>
                <c:pt idx="38">
                  <c:v>0.68198234230988009</c:v>
                </c:pt>
                <c:pt idx="39">
                  <c:v>0.66249713252959785</c:v>
                </c:pt>
                <c:pt idx="40">
                  <c:v>0.64301192274931551</c:v>
                </c:pt>
                <c:pt idx="41">
                  <c:v>0.62352671296903339</c:v>
                </c:pt>
                <c:pt idx="42">
                  <c:v>0.60404150318875105</c:v>
                </c:pt>
                <c:pt idx="43">
                  <c:v>0.58455629340846871</c:v>
                </c:pt>
                <c:pt idx="44">
                  <c:v>0.56507108362818648</c:v>
                </c:pt>
                <c:pt idx="45">
                  <c:v>0.54558587384790413</c:v>
                </c:pt>
                <c:pt idx="46">
                  <c:v>0.52610066406762179</c:v>
                </c:pt>
                <c:pt idx="47">
                  <c:v>0.50661545428733956</c:v>
                </c:pt>
                <c:pt idx="48">
                  <c:v>0.48713024450705733</c:v>
                </c:pt>
                <c:pt idx="49">
                  <c:v>0.46764503472677499</c:v>
                </c:pt>
                <c:pt idx="50">
                  <c:v>0.44815982494649276</c:v>
                </c:pt>
                <c:pt idx="51">
                  <c:v>0.42867461516621042</c:v>
                </c:pt>
                <c:pt idx="52">
                  <c:v>0.40918940538592807</c:v>
                </c:pt>
                <c:pt idx="53">
                  <c:v>0.38970419560564579</c:v>
                </c:pt>
                <c:pt idx="54">
                  <c:v>0.3702189858253635</c:v>
                </c:pt>
                <c:pt idx="55">
                  <c:v>0.35073377604508121</c:v>
                </c:pt>
                <c:pt idx="56">
                  <c:v>0.33124856626479893</c:v>
                </c:pt>
                <c:pt idx="57">
                  <c:v>0.3117633564845167</c:v>
                </c:pt>
                <c:pt idx="58">
                  <c:v>0.29227814670423435</c:v>
                </c:pt>
                <c:pt idx="59">
                  <c:v>0.27279293692395207</c:v>
                </c:pt>
                <c:pt idx="60">
                  <c:v>0.25330772714366978</c:v>
                </c:pt>
                <c:pt idx="61">
                  <c:v>0.23382251736338749</c:v>
                </c:pt>
                <c:pt idx="62">
                  <c:v>0.21433730758310521</c:v>
                </c:pt>
                <c:pt idx="63">
                  <c:v>0.19485209780282289</c:v>
                </c:pt>
                <c:pt idx="64">
                  <c:v>0.17536688802254061</c:v>
                </c:pt>
                <c:pt idx="65">
                  <c:v>0.15588167824225835</c:v>
                </c:pt>
                <c:pt idx="66">
                  <c:v>0.13639646846197603</c:v>
                </c:pt>
                <c:pt idx="67">
                  <c:v>0.11691125868169375</c:v>
                </c:pt>
                <c:pt idx="68">
                  <c:v>9.7426048901411447E-2</c:v>
                </c:pt>
                <c:pt idx="69">
                  <c:v>7.7940839121129174E-2</c:v>
                </c:pt>
                <c:pt idx="70">
                  <c:v>5.8455629340846874E-2</c:v>
                </c:pt>
                <c:pt idx="71">
                  <c:v>3.8970419560564587E-2</c:v>
                </c:pt>
                <c:pt idx="72">
                  <c:v>1.9485209780282294E-2</c:v>
                </c:pt>
                <c:pt idx="7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A-4353-8DFC-102DEB3575D0}"/>
            </c:ext>
          </c:extLst>
        </c:ser>
        <c:ser>
          <c:idx val="1"/>
          <c:order val="1"/>
          <c:tx>
            <c:strRef>
              <c:f>'25kts'!$H$2</c:f>
              <c:strCache>
                <c:ptCount val="1"/>
                <c:pt idx="0">
                  <c:v>CD_3D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'25kts'!$A$4:$A$78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22</c:v>
                </c:pt>
                <c:pt idx="40">
                  <c:v>24</c:v>
                </c:pt>
                <c:pt idx="41">
                  <c:v>26</c:v>
                </c:pt>
                <c:pt idx="42">
                  <c:v>28</c:v>
                </c:pt>
                <c:pt idx="43">
                  <c:v>30</c:v>
                </c:pt>
                <c:pt idx="44">
                  <c:v>32</c:v>
                </c:pt>
                <c:pt idx="45">
                  <c:v>34</c:v>
                </c:pt>
                <c:pt idx="46">
                  <c:v>36</c:v>
                </c:pt>
                <c:pt idx="47">
                  <c:v>38</c:v>
                </c:pt>
                <c:pt idx="48">
                  <c:v>40</c:v>
                </c:pt>
                <c:pt idx="49">
                  <c:v>42</c:v>
                </c:pt>
                <c:pt idx="50">
                  <c:v>44</c:v>
                </c:pt>
                <c:pt idx="51">
                  <c:v>46</c:v>
                </c:pt>
                <c:pt idx="52">
                  <c:v>48</c:v>
                </c:pt>
                <c:pt idx="53">
                  <c:v>50</c:v>
                </c:pt>
                <c:pt idx="54">
                  <c:v>52</c:v>
                </c:pt>
                <c:pt idx="55">
                  <c:v>54</c:v>
                </c:pt>
                <c:pt idx="56">
                  <c:v>56</c:v>
                </c:pt>
                <c:pt idx="57">
                  <c:v>58</c:v>
                </c:pt>
                <c:pt idx="58">
                  <c:v>60</c:v>
                </c:pt>
                <c:pt idx="59">
                  <c:v>62</c:v>
                </c:pt>
                <c:pt idx="60">
                  <c:v>64</c:v>
                </c:pt>
                <c:pt idx="61">
                  <c:v>66</c:v>
                </c:pt>
                <c:pt idx="62">
                  <c:v>68</c:v>
                </c:pt>
                <c:pt idx="63">
                  <c:v>70</c:v>
                </c:pt>
                <c:pt idx="64">
                  <c:v>72</c:v>
                </c:pt>
                <c:pt idx="65">
                  <c:v>74</c:v>
                </c:pt>
                <c:pt idx="66">
                  <c:v>76</c:v>
                </c:pt>
                <c:pt idx="67">
                  <c:v>78</c:v>
                </c:pt>
                <c:pt idx="68">
                  <c:v>80</c:v>
                </c:pt>
                <c:pt idx="69">
                  <c:v>82</c:v>
                </c:pt>
                <c:pt idx="70">
                  <c:v>84</c:v>
                </c:pt>
                <c:pt idx="71">
                  <c:v>86</c:v>
                </c:pt>
                <c:pt idx="72">
                  <c:v>88</c:v>
                </c:pt>
                <c:pt idx="73">
                  <c:v>90</c:v>
                </c:pt>
              </c:numCache>
            </c:numRef>
          </c:xVal>
          <c:yVal>
            <c:numRef>
              <c:f>'25kts'!$H$4:$H$78</c:f>
              <c:numCache>
                <c:formatCode>General</c:formatCode>
                <c:ptCount val="75"/>
                <c:pt idx="0">
                  <c:v>6.1700000000000001E-3</c:v>
                </c:pt>
                <c:pt idx="1">
                  <c:v>6.2877894528244483E-3</c:v>
                </c:pt>
                <c:pt idx="2">
                  <c:v>6.6491951259297702E-3</c:v>
                </c:pt>
                <c:pt idx="3">
                  <c:v>7.2403084550091978E-3</c:v>
                </c:pt>
                <c:pt idx="4">
                  <c:v>8.0933602861654897E-3</c:v>
                </c:pt>
                <c:pt idx="5">
                  <c:v>9.1948732163956732E-3</c:v>
                </c:pt>
                <c:pt idx="6">
                  <c:v>1.0561314185104601E-2</c:v>
                </c:pt>
                <c:pt idx="7">
                  <c:v>1.2233167959810387E-2</c:v>
                </c:pt>
                <c:pt idx="8">
                  <c:v>1.423501689006933E-2</c:v>
                </c:pt>
                <c:pt idx="9">
                  <c:v>1.6506642928641815E-2</c:v>
                </c:pt>
                <c:pt idx="10">
                  <c:v>1.902561604043513E-2</c:v>
                </c:pt>
                <c:pt idx="11">
                  <c:v>2.1912565091696923E-2</c:v>
                </c:pt>
                <c:pt idx="12">
                  <c:v>2.4466278227689021E-2</c:v>
                </c:pt>
                <c:pt idx="13">
                  <c:v>2.7137168407525905E-2</c:v>
                </c:pt>
                <c:pt idx="14">
                  <c:v>2.9960782233463382E-2</c:v>
                </c:pt>
                <c:pt idx="15">
                  <c:v>3.3077300516393779E-2</c:v>
                </c:pt>
                <c:pt idx="16">
                  <c:v>3.6348485705211341E-2</c:v>
                </c:pt>
                <c:pt idx="17">
                  <c:v>3.9847410014966479E-2</c:v>
                </c:pt>
                <c:pt idx="18">
                  <c:v>4.3633074314225542E-2</c:v>
                </c:pt>
                <c:pt idx="19">
                  <c:v>4.7515768896079127E-2</c:v>
                </c:pt>
                <c:pt idx="20">
                  <c:v>5.1544252485521219E-2</c:v>
                </c:pt>
                <c:pt idx="21">
                  <c:v>5.5774488789161247E-2</c:v>
                </c:pt>
                <c:pt idx="22">
                  <c:v>6.0273437763687272E-2</c:v>
                </c:pt>
                <c:pt idx="23">
                  <c:v>6.4769427890167638E-2</c:v>
                </c:pt>
                <c:pt idx="24">
                  <c:v>6.9374068088978391E-2</c:v>
                </c:pt>
                <c:pt idx="25">
                  <c:v>7.4019963356436014E-2</c:v>
                </c:pt>
                <c:pt idx="26">
                  <c:v>7.8584680033959117E-2</c:v>
                </c:pt>
                <c:pt idx="27">
                  <c:v>8.2982207181470535E-2</c:v>
                </c:pt>
                <c:pt idx="28">
                  <c:v>8.6634995828878653E-2</c:v>
                </c:pt>
                <c:pt idx="29">
                  <c:v>8.8799921654010655E-2</c:v>
                </c:pt>
                <c:pt idx="30">
                  <c:v>9.0969567440692956E-2</c:v>
                </c:pt>
                <c:pt idx="31">
                  <c:v>9.3143933188925554E-2</c:v>
                </c:pt>
                <c:pt idx="32">
                  <c:v>9.5323018898708395E-2</c:v>
                </c:pt>
                <c:pt idx="33">
                  <c:v>9.7506824570041506E-2</c:v>
                </c:pt>
                <c:pt idx="34">
                  <c:v>0.10408656135334263</c:v>
                </c:pt>
                <c:pt idx="35">
                  <c:v>0.1062892468708769</c:v>
                </c:pt>
                <c:pt idx="36">
                  <c:v>0.10849665234996146</c:v>
                </c:pt>
                <c:pt idx="37">
                  <c:v>0.1107087777905963</c:v>
                </c:pt>
                <c:pt idx="38">
                  <c:v>0.11292562319278142</c:v>
                </c:pt>
                <c:pt idx="39">
                  <c:v>0.12184020441702476</c:v>
                </c:pt>
                <c:pt idx="40">
                  <c:v>0.13083030502607262</c:v>
                </c:pt>
                <c:pt idx="41">
                  <c:v>0.13989592501992507</c:v>
                </c:pt>
                <c:pt idx="42">
                  <c:v>0.14903706439858203</c:v>
                </c:pt>
                <c:pt idx="43">
                  <c:v>0.1582537231620435</c:v>
                </c:pt>
                <c:pt idx="44">
                  <c:v>0.16754590131030955</c:v>
                </c:pt>
                <c:pt idx="45">
                  <c:v>0.17691359884338012</c:v>
                </c:pt>
                <c:pt idx="46">
                  <c:v>0.18635681576125523</c:v>
                </c:pt>
                <c:pt idx="47">
                  <c:v>0.19587555206393492</c:v>
                </c:pt>
                <c:pt idx="48">
                  <c:v>0.20546980775141913</c:v>
                </c:pt>
                <c:pt idx="49">
                  <c:v>0.21513958282370788</c:v>
                </c:pt>
                <c:pt idx="50">
                  <c:v>0.22488487728080117</c:v>
                </c:pt>
                <c:pt idx="51">
                  <c:v>0.23470569112269898</c:v>
                </c:pt>
                <c:pt idx="52">
                  <c:v>0.24460202434940134</c:v>
                </c:pt>
                <c:pt idx="53">
                  <c:v>0.25457387696090827</c:v>
                </c:pt>
                <c:pt idx="54">
                  <c:v>0.26462124895721972</c:v>
                </c:pt>
                <c:pt idx="55">
                  <c:v>0.27474414033833566</c:v>
                </c:pt>
                <c:pt idx="56">
                  <c:v>0.28494255110425626</c:v>
                </c:pt>
                <c:pt idx="57">
                  <c:v>0.29521648125498134</c:v>
                </c:pt>
                <c:pt idx="58">
                  <c:v>0.30556593079051092</c:v>
                </c:pt>
                <c:pt idx="59">
                  <c:v>0.31599089971084504</c:v>
                </c:pt>
                <c:pt idx="60">
                  <c:v>0.32649138801598371</c:v>
                </c:pt>
                <c:pt idx="61">
                  <c:v>0.33706739570592703</c:v>
                </c:pt>
                <c:pt idx="62">
                  <c:v>0.34771892278067479</c:v>
                </c:pt>
                <c:pt idx="63">
                  <c:v>0.35844596924022709</c:v>
                </c:pt>
                <c:pt idx="64">
                  <c:v>0.36924853508458394</c:v>
                </c:pt>
                <c:pt idx="65">
                  <c:v>0.38012662031374544</c:v>
                </c:pt>
                <c:pt idx="66">
                  <c:v>0.39108022492771133</c:v>
                </c:pt>
                <c:pt idx="67">
                  <c:v>0.40210934892648181</c:v>
                </c:pt>
                <c:pt idx="68">
                  <c:v>0.41321399231005679</c:v>
                </c:pt>
                <c:pt idx="69">
                  <c:v>0.42439415507843642</c:v>
                </c:pt>
                <c:pt idx="70">
                  <c:v>0.43564983723162054</c:v>
                </c:pt>
                <c:pt idx="71">
                  <c:v>0.44698103876960915</c:v>
                </c:pt>
                <c:pt idx="72">
                  <c:v>0.45838775969240231</c:v>
                </c:pt>
                <c:pt idx="73">
                  <c:v>0.46987000000000012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A-4353-8DFC-102DEB357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207055"/>
        <c:axId val="685769791"/>
      </c:scatterChart>
      <c:valAx>
        <c:axId val="68720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5769791"/>
        <c:crosses val="autoZero"/>
        <c:crossBetween val="midCat"/>
      </c:valAx>
      <c:valAx>
        <c:axId val="68576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207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'30kts'!$A$4:$A$33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</c:numCache>
            </c:numRef>
          </c:xVal>
          <c:yVal>
            <c:numRef>
              <c:f>'30kts'!$D$4:$D$33</c:f>
              <c:numCache>
                <c:formatCode>General</c:formatCode>
                <c:ptCount val="30"/>
                <c:pt idx="0">
                  <c:v>6.1399999999999996E-3</c:v>
                </c:pt>
                <c:pt idx="1">
                  <c:v>6.1700000000000001E-3</c:v>
                </c:pt>
                <c:pt idx="2">
                  <c:v>6.2700000000000004E-3</c:v>
                </c:pt>
                <c:pt idx="3">
                  <c:v>6.43E-3</c:v>
                </c:pt>
                <c:pt idx="4">
                  <c:v>6.6600000000000001E-3</c:v>
                </c:pt>
                <c:pt idx="5">
                  <c:v>6.9499999999999996E-3</c:v>
                </c:pt>
                <c:pt idx="6">
                  <c:v>7.3000000000000001E-3</c:v>
                </c:pt>
                <c:pt idx="7">
                  <c:v>7.6899999999999998E-3</c:v>
                </c:pt>
                <c:pt idx="8">
                  <c:v>8.1300000000000001E-3</c:v>
                </c:pt>
                <c:pt idx="9">
                  <c:v>8.5699999999999995E-3</c:v>
                </c:pt>
                <c:pt idx="10">
                  <c:v>9.0399999999999994E-3</c:v>
                </c:pt>
                <c:pt idx="11">
                  <c:v>9.5200000000000007E-3</c:v>
                </c:pt>
                <c:pt idx="12">
                  <c:v>1.0030000000000001E-2</c:v>
                </c:pt>
                <c:pt idx="13">
                  <c:v>1.055E-2</c:v>
                </c:pt>
                <c:pt idx="14">
                  <c:v>1.11E-2</c:v>
                </c:pt>
                <c:pt idx="15">
                  <c:v>1.1730000000000001E-2</c:v>
                </c:pt>
                <c:pt idx="16">
                  <c:v>1.239E-2</c:v>
                </c:pt>
                <c:pt idx="17">
                  <c:v>1.3220000000000001E-2</c:v>
                </c:pt>
                <c:pt idx="18">
                  <c:v>1.4019999999999999E-2</c:v>
                </c:pt>
                <c:pt idx="19">
                  <c:v>1.487E-2</c:v>
                </c:pt>
                <c:pt idx="20">
                  <c:v>1.584E-2</c:v>
                </c:pt>
                <c:pt idx="21">
                  <c:v>1.7090000000000001E-2</c:v>
                </c:pt>
                <c:pt idx="22">
                  <c:v>1.8259999999999998E-2</c:v>
                </c:pt>
                <c:pt idx="23">
                  <c:v>1.959E-2</c:v>
                </c:pt>
                <c:pt idx="24">
                  <c:v>2.1059999999999999E-2</c:v>
                </c:pt>
                <c:pt idx="25">
                  <c:v>2.2669999999999999E-2</c:v>
                </c:pt>
                <c:pt idx="26">
                  <c:v>2.452E-2</c:v>
                </c:pt>
                <c:pt idx="27">
                  <c:v>2.6790000000000001E-2</c:v>
                </c:pt>
                <c:pt idx="28">
                  <c:v>2.9739999999999999E-2</c:v>
                </c:pt>
                <c:pt idx="29">
                  <c:v>3.2809999999999999E-2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8A-4E52-AC37-7F46CBE71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88095"/>
        <c:axId val="1028159343"/>
      </c:scatterChart>
      <c:valAx>
        <c:axId val="256988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8159343"/>
        <c:crosses val="autoZero"/>
        <c:crossBetween val="midCat"/>
      </c:valAx>
      <c:valAx>
        <c:axId val="1028159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6988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'30kts'!$F$2</c:f>
              <c:strCache>
                <c:ptCount val="1"/>
                <c:pt idx="0">
                  <c:v>CL_3D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22</c:v>
                </c:pt>
                <c:pt idx="42">
                  <c:v>24</c:v>
                </c:pt>
                <c:pt idx="43">
                  <c:v>26</c:v>
                </c:pt>
                <c:pt idx="44">
                  <c:v>28</c:v>
                </c:pt>
                <c:pt idx="45">
                  <c:v>30</c:v>
                </c:pt>
                <c:pt idx="46">
                  <c:v>32</c:v>
                </c:pt>
                <c:pt idx="47">
                  <c:v>34</c:v>
                </c:pt>
                <c:pt idx="48">
                  <c:v>36</c:v>
                </c:pt>
                <c:pt idx="49">
                  <c:v>38</c:v>
                </c:pt>
                <c:pt idx="50">
                  <c:v>40</c:v>
                </c:pt>
                <c:pt idx="51">
                  <c:v>42</c:v>
                </c:pt>
                <c:pt idx="52">
                  <c:v>44</c:v>
                </c:pt>
                <c:pt idx="53">
                  <c:v>46</c:v>
                </c:pt>
                <c:pt idx="54">
                  <c:v>48</c:v>
                </c:pt>
                <c:pt idx="55">
                  <c:v>50</c:v>
                </c:pt>
                <c:pt idx="56">
                  <c:v>52</c:v>
                </c:pt>
                <c:pt idx="57">
                  <c:v>54</c:v>
                </c:pt>
                <c:pt idx="58">
                  <c:v>56</c:v>
                </c:pt>
                <c:pt idx="59">
                  <c:v>58</c:v>
                </c:pt>
                <c:pt idx="60">
                  <c:v>60</c:v>
                </c:pt>
                <c:pt idx="61">
                  <c:v>62</c:v>
                </c:pt>
                <c:pt idx="62">
                  <c:v>64</c:v>
                </c:pt>
                <c:pt idx="63">
                  <c:v>66</c:v>
                </c:pt>
                <c:pt idx="64">
                  <c:v>68</c:v>
                </c:pt>
                <c:pt idx="65">
                  <c:v>70</c:v>
                </c:pt>
                <c:pt idx="66">
                  <c:v>72</c:v>
                </c:pt>
                <c:pt idx="67">
                  <c:v>74</c:v>
                </c:pt>
                <c:pt idx="68">
                  <c:v>76</c:v>
                </c:pt>
                <c:pt idx="69">
                  <c:v>78</c:v>
                </c:pt>
                <c:pt idx="70">
                  <c:v>80</c:v>
                </c:pt>
                <c:pt idx="71">
                  <c:v>82</c:v>
                </c:pt>
                <c:pt idx="72">
                  <c:v>84</c:v>
                </c:pt>
                <c:pt idx="73">
                  <c:v>86</c:v>
                </c:pt>
                <c:pt idx="74">
                  <c:v>88</c:v>
                </c:pt>
              </c:numCache>
            </c:numRef>
          </c:xVal>
          <c:yVal>
            <c:numRef>
              <c:f>'30kts'!$F$4:$F$78</c:f>
              <c:numCache>
                <c:formatCode>General</c:formatCode>
                <c:ptCount val="75"/>
                <c:pt idx="0">
                  <c:v>0</c:v>
                </c:pt>
                <c:pt idx="1">
                  <c:v>2.9987793282156259E-2</c:v>
                </c:pt>
                <c:pt idx="2">
                  <c:v>5.9864725960681618E-2</c:v>
                </c:pt>
                <c:pt idx="3">
                  <c:v>8.9464507130129753E-2</c:v>
                </c:pt>
                <c:pt idx="4">
                  <c:v>0.11878713679050065</c:v>
                </c:pt>
                <c:pt idx="5">
                  <c:v>0.14777718463997888</c:v>
                </c:pt>
                <c:pt idx="6">
                  <c:v>0.17649008098037994</c:v>
                </c:pt>
                <c:pt idx="7">
                  <c:v>0.2058127106407508</c:v>
                </c:pt>
                <c:pt idx="8">
                  <c:v>0.23785142509007856</c:v>
                </c:pt>
                <c:pt idx="9">
                  <c:v>0.27188563040476238</c:v>
                </c:pt>
                <c:pt idx="10">
                  <c:v>0.30675129024667785</c:v>
                </c:pt>
                <c:pt idx="11">
                  <c:v>0.34189410159767059</c:v>
                </c:pt>
                <c:pt idx="12">
                  <c:v>0.3762054584214316</c:v>
                </c:pt>
                <c:pt idx="13">
                  <c:v>0.40325544570736932</c:v>
                </c:pt>
                <c:pt idx="14">
                  <c:v>0.43047172389875321</c:v>
                </c:pt>
                <c:pt idx="15">
                  <c:v>0.45790972329739893</c:v>
                </c:pt>
                <c:pt idx="16">
                  <c:v>0.48556944390330647</c:v>
                </c:pt>
                <c:pt idx="17">
                  <c:v>0.51284115239650596</c:v>
                </c:pt>
                <c:pt idx="18">
                  <c:v>0.5402237214933362</c:v>
                </c:pt>
                <c:pt idx="19">
                  <c:v>0.56732913908108928</c:v>
                </c:pt>
                <c:pt idx="20">
                  <c:v>0.59382482334887243</c:v>
                </c:pt>
                <c:pt idx="21">
                  <c:v>0.61915647127853124</c:v>
                </c:pt>
                <c:pt idx="22">
                  <c:v>0.64437725860455919</c:v>
                </c:pt>
                <c:pt idx="23">
                  <c:v>0.66860030049790897</c:v>
                </c:pt>
                <c:pt idx="24">
                  <c:v>0.6916038757513191</c:v>
                </c:pt>
                <c:pt idx="25">
                  <c:v>0.71327712376115848</c:v>
                </c:pt>
                <c:pt idx="26">
                  <c:v>0.73278859000019547</c:v>
                </c:pt>
                <c:pt idx="27">
                  <c:v>0.74869708662122847</c:v>
                </c:pt>
                <c:pt idx="28">
                  <c:v>0.75640189857357543</c:v>
                </c:pt>
                <c:pt idx="29">
                  <c:v>0.7603374500024721</c:v>
                </c:pt>
                <c:pt idx="30">
                  <c:v>0.75530210265146225</c:v>
                </c:pt>
                <c:pt idx="31">
                  <c:v>0.7502667553004525</c:v>
                </c:pt>
                <c:pt idx="32">
                  <c:v>0.74523140794944287</c:v>
                </c:pt>
                <c:pt idx="33">
                  <c:v>0.74019606059843301</c:v>
                </c:pt>
                <c:pt idx="34">
                  <c:v>0.73516071324742316</c:v>
                </c:pt>
                <c:pt idx="35">
                  <c:v>0.73012536589641353</c:v>
                </c:pt>
                <c:pt idx="36">
                  <c:v>0.72509001854540389</c:v>
                </c:pt>
                <c:pt idx="37">
                  <c:v>0.72005467119439404</c:v>
                </c:pt>
                <c:pt idx="38">
                  <c:v>0.71501932384338429</c:v>
                </c:pt>
                <c:pt idx="39">
                  <c:v>0.70998397649237466</c:v>
                </c:pt>
                <c:pt idx="40">
                  <c:v>0.7049486291413648</c:v>
                </c:pt>
                <c:pt idx="41">
                  <c:v>0.68480723973732593</c:v>
                </c:pt>
                <c:pt idx="42">
                  <c:v>0.66466585033328685</c:v>
                </c:pt>
                <c:pt idx="43">
                  <c:v>0.64452446092924787</c:v>
                </c:pt>
                <c:pt idx="44">
                  <c:v>0.62438307152520878</c:v>
                </c:pt>
                <c:pt idx="45">
                  <c:v>0.60424168212116991</c:v>
                </c:pt>
                <c:pt idx="46">
                  <c:v>0.58410029271713082</c:v>
                </c:pt>
                <c:pt idx="47">
                  <c:v>0.56395890331309184</c:v>
                </c:pt>
                <c:pt idx="48">
                  <c:v>0.54381751390905286</c:v>
                </c:pt>
                <c:pt idx="49">
                  <c:v>0.52367612450501388</c:v>
                </c:pt>
                <c:pt idx="50">
                  <c:v>0.5035347351009748</c:v>
                </c:pt>
                <c:pt idx="51">
                  <c:v>0.48339334569693593</c:v>
                </c:pt>
                <c:pt idx="52">
                  <c:v>0.46325195629289689</c:v>
                </c:pt>
                <c:pt idx="53">
                  <c:v>0.44311056688885792</c:v>
                </c:pt>
                <c:pt idx="54">
                  <c:v>0.42296917748481888</c:v>
                </c:pt>
                <c:pt idx="55">
                  <c:v>0.4028277880807799</c:v>
                </c:pt>
                <c:pt idx="56">
                  <c:v>0.38268639867674087</c:v>
                </c:pt>
                <c:pt idx="57">
                  <c:v>0.36254500927270195</c:v>
                </c:pt>
                <c:pt idx="58">
                  <c:v>0.34240361986866297</c:v>
                </c:pt>
                <c:pt idx="59">
                  <c:v>0.32226223046462393</c:v>
                </c:pt>
                <c:pt idx="60">
                  <c:v>0.30212084106058495</c:v>
                </c:pt>
                <c:pt idx="61">
                  <c:v>0.28197945165654592</c:v>
                </c:pt>
                <c:pt idx="62">
                  <c:v>0.26183806225250694</c:v>
                </c:pt>
                <c:pt idx="63">
                  <c:v>0.24169667284846796</c:v>
                </c:pt>
                <c:pt idx="64">
                  <c:v>0.22155528344442896</c:v>
                </c:pt>
                <c:pt idx="65">
                  <c:v>0.20141389404038995</c:v>
                </c:pt>
                <c:pt idx="66">
                  <c:v>0.18127250463635097</c:v>
                </c:pt>
                <c:pt idx="67">
                  <c:v>0.16113111523231197</c:v>
                </c:pt>
                <c:pt idx="68">
                  <c:v>0.14098972582827296</c:v>
                </c:pt>
                <c:pt idx="69">
                  <c:v>0.12084833642423398</c:v>
                </c:pt>
                <c:pt idx="70">
                  <c:v>0.10070694702019498</c:v>
                </c:pt>
                <c:pt idx="71">
                  <c:v>8.0565557616155983E-2</c:v>
                </c:pt>
                <c:pt idx="72">
                  <c:v>6.0424168212116991E-2</c:v>
                </c:pt>
                <c:pt idx="73">
                  <c:v>4.0282778808077992E-2</c:v>
                </c:pt>
                <c:pt idx="74">
                  <c:v>2.0141389404038996E-2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2-4F8A-923D-BCD7316FECA8}"/>
            </c:ext>
          </c:extLst>
        </c:ser>
        <c:ser>
          <c:idx val="1"/>
          <c:order val="1"/>
          <c:tx>
            <c:strRef>
              <c:f>'30kts'!$H$2</c:f>
              <c:strCache>
                <c:ptCount val="1"/>
                <c:pt idx="0">
                  <c:v>CD_3D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'30kts'!$A$4:$A$78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22</c:v>
                </c:pt>
                <c:pt idx="42">
                  <c:v>24</c:v>
                </c:pt>
                <c:pt idx="43">
                  <c:v>26</c:v>
                </c:pt>
                <c:pt idx="44">
                  <c:v>28</c:v>
                </c:pt>
                <c:pt idx="45">
                  <c:v>30</c:v>
                </c:pt>
                <c:pt idx="46">
                  <c:v>32</c:v>
                </c:pt>
                <c:pt idx="47">
                  <c:v>34</c:v>
                </c:pt>
                <c:pt idx="48">
                  <c:v>36</c:v>
                </c:pt>
                <c:pt idx="49">
                  <c:v>38</c:v>
                </c:pt>
                <c:pt idx="50">
                  <c:v>40</c:v>
                </c:pt>
                <c:pt idx="51">
                  <c:v>42</c:v>
                </c:pt>
                <c:pt idx="52">
                  <c:v>44</c:v>
                </c:pt>
                <c:pt idx="53">
                  <c:v>46</c:v>
                </c:pt>
                <c:pt idx="54">
                  <c:v>48</c:v>
                </c:pt>
                <c:pt idx="55">
                  <c:v>50</c:v>
                </c:pt>
                <c:pt idx="56">
                  <c:v>52</c:v>
                </c:pt>
                <c:pt idx="57">
                  <c:v>54</c:v>
                </c:pt>
                <c:pt idx="58">
                  <c:v>56</c:v>
                </c:pt>
                <c:pt idx="59">
                  <c:v>58</c:v>
                </c:pt>
                <c:pt idx="60">
                  <c:v>60</c:v>
                </c:pt>
                <c:pt idx="61">
                  <c:v>62</c:v>
                </c:pt>
                <c:pt idx="62">
                  <c:v>64</c:v>
                </c:pt>
                <c:pt idx="63">
                  <c:v>66</c:v>
                </c:pt>
                <c:pt idx="64">
                  <c:v>68</c:v>
                </c:pt>
                <c:pt idx="65">
                  <c:v>70</c:v>
                </c:pt>
                <c:pt idx="66">
                  <c:v>72</c:v>
                </c:pt>
                <c:pt idx="67">
                  <c:v>74</c:v>
                </c:pt>
                <c:pt idx="68">
                  <c:v>76</c:v>
                </c:pt>
                <c:pt idx="69">
                  <c:v>78</c:v>
                </c:pt>
                <c:pt idx="70">
                  <c:v>80</c:v>
                </c:pt>
                <c:pt idx="71">
                  <c:v>82</c:v>
                </c:pt>
                <c:pt idx="72">
                  <c:v>84</c:v>
                </c:pt>
                <c:pt idx="73">
                  <c:v>86</c:v>
                </c:pt>
                <c:pt idx="74">
                  <c:v>88</c:v>
                </c:pt>
              </c:numCache>
            </c:numRef>
          </c:xVal>
          <c:yVal>
            <c:numRef>
              <c:f>'30kts'!$H$4:$H$78</c:f>
              <c:numCache>
                <c:formatCode>General</c:formatCode>
                <c:ptCount val="75"/>
                <c:pt idx="0">
                  <c:v>6.1399999999999996E-3</c:v>
                </c:pt>
                <c:pt idx="1">
                  <c:v>6.2594349550363125E-3</c:v>
                </c:pt>
                <c:pt idx="2">
                  <c:v>6.6264185292326961E-3</c:v>
                </c:pt>
                <c:pt idx="3">
                  <c:v>7.2260123825249097E-3</c:v>
                </c:pt>
                <c:pt idx="4">
                  <c:v>8.0633212604219514E-3</c:v>
                </c:pt>
                <c:pt idx="5">
                  <c:v>9.1218661316521087E-3</c:v>
                </c:pt>
                <c:pt idx="6">
                  <c:v>1.0397839270484276E-2</c:v>
                </c:pt>
                <c:pt idx="7">
                  <c:v>1.1902720646810038E-2</c:v>
                </c:pt>
                <c:pt idx="8">
                  <c:v>1.3756389472951646E-2</c:v>
                </c:pt>
                <c:pt idx="9">
                  <c:v>1.5921750947593155E-2</c:v>
                </c:pt>
                <c:pt idx="10">
                  <c:v>1.8398173061592818E-2</c:v>
                </c:pt>
                <c:pt idx="11">
                  <c:v>2.1145228364093979E-2</c:v>
                </c:pt>
                <c:pt idx="12">
                  <c:v>2.4105650060427759E-2</c:v>
                </c:pt>
                <c:pt idx="13">
                  <c:v>2.672255951750788E-2</c:v>
                </c:pt>
                <c:pt idx="14">
                  <c:v>2.9529244642002718E-2</c:v>
                </c:pt>
                <c:pt idx="15">
                  <c:v>3.2583454420094402E-2</c:v>
                </c:pt>
                <c:pt idx="16">
                  <c:v>3.5838819040506599E-2</c:v>
                </c:pt>
                <c:pt idx="17">
                  <c:v>3.9376763819211465E-2</c:v>
                </c:pt>
                <c:pt idx="18">
                  <c:v>4.3044555463476887E-2</c:v>
                </c:pt>
                <c:pt idx="19">
                  <c:v>4.6880205095970601E-2</c:v>
                </c:pt>
                <c:pt idx="20">
                  <c:v>5.0909935940856736E-2</c:v>
                </c:pt>
                <c:pt idx="21">
                  <c:v>5.5215812613152671E-2</c:v>
                </c:pt>
                <c:pt idx="22">
                  <c:v>5.9555115571062467E-2</c:v>
                </c:pt>
                <c:pt idx="23">
                  <c:v>6.4048152480995185E-2</c:v>
                </c:pt>
                <c:pt idx="24">
                  <c:v>6.8629995785066747E-2</c:v>
                </c:pt>
                <c:pt idx="25">
                  <c:v>7.3268176684201214E-2</c:v>
                </c:pt>
                <c:pt idx="26">
                  <c:v>7.792423189673478E-2</c:v>
                </c:pt>
                <c:pt idx="27">
                  <c:v>8.2538163168031281E-2</c:v>
                </c:pt>
                <c:pt idx="28">
                  <c:v>8.6641471375397114E-2</c:v>
                </c:pt>
                <c:pt idx="29">
                  <c:v>9.0305127321293033E-2</c:v>
                </c:pt>
                <c:pt idx="30">
                  <c:v>9.2616124061624172E-2</c:v>
                </c:pt>
                <c:pt idx="31">
                  <c:v>9.4932164012983017E-2</c:v>
                </c:pt>
                <c:pt idx="32">
                  <c:v>9.7253247175369609E-2</c:v>
                </c:pt>
                <c:pt idx="33">
                  <c:v>9.9579373548783851E-2</c:v>
                </c:pt>
                <c:pt idx="34">
                  <c:v>0.10191054313322578</c:v>
                </c:pt>
                <c:pt idx="35">
                  <c:v>0.10424675592869548</c:v>
                </c:pt>
                <c:pt idx="36">
                  <c:v>0.10658801193519285</c:v>
                </c:pt>
                <c:pt idx="37">
                  <c:v>0.1089343111527179</c:v>
                </c:pt>
                <c:pt idx="38">
                  <c:v>0.11128565358127065</c:v>
                </c:pt>
                <c:pt idx="39">
                  <c:v>0.11364203922085114</c:v>
                </c:pt>
                <c:pt idx="40">
                  <c:v>0.11600346807145928</c:v>
                </c:pt>
                <c:pt idx="41">
                  <c:v>0.12549961558416892</c:v>
                </c:pt>
                <c:pt idx="42">
                  <c:v>0.13507645447332176</c:v>
                </c:pt>
                <c:pt idx="43">
                  <c:v>0.1447339847389178</c:v>
                </c:pt>
                <c:pt idx="44">
                  <c:v>0.15447220638095704</c:v>
                </c:pt>
                <c:pt idx="45">
                  <c:v>0.16429111939943947</c:v>
                </c:pt>
                <c:pt idx="46">
                  <c:v>0.17419072379436509</c:v>
                </c:pt>
                <c:pt idx="47">
                  <c:v>0.18417101956573392</c:v>
                </c:pt>
                <c:pt idx="48">
                  <c:v>0.19423200671354596</c:v>
                </c:pt>
                <c:pt idx="49">
                  <c:v>0.20437368523780122</c:v>
                </c:pt>
                <c:pt idx="50">
                  <c:v>0.21459605513849961</c:v>
                </c:pt>
                <c:pt idx="51">
                  <c:v>0.22489911641564128</c:v>
                </c:pt>
                <c:pt idx="52">
                  <c:v>0.23528286906922607</c:v>
                </c:pt>
                <c:pt idx="53">
                  <c:v>0.24574731309925413</c:v>
                </c:pt>
                <c:pt idx="54">
                  <c:v>0.25629244850572536</c:v>
                </c:pt>
                <c:pt idx="55">
                  <c:v>0.26691827528863976</c:v>
                </c:pt>
                <c:pt idx="56">
                  <c:v>0.27762479344799734</c:v>
                </c:pt>
                <c:pt idx="57">
                  <c:v>0.28841200298379821</c:v>
                </c:pt>
                <c:pt idx="58">
                  <c:v>0.2992799038960422</c:v>
                </c:pt>
                <c:pt idx="59">
                  <c:v>0.31022849618472947</c:v>
                </c:pt>
                <c:pt idx="60">
                  <c:v>0.32125777984985987</c:v>
                </c:pt>
                <c:pt idx="61">
                  <c:v>0.33236775489143344</c:v>
                </c:pt>
                <c:pt idx="62">
                  <c:v>0.3435584213094503</c:v>
                </c:pt>
                <c:pt idx="63">
                  <c:v>0.35482977910391034</c:v>
                </c:pt>
                <c:pt idx="64">
                  <c:v>0.36618182827481355</c:v>
                </c:pt>
                <c:pt idx="65">
                  <c:v>0.37761456882215994</c:v>
                </c:pt>
                <c:pt idx="66">
                  <c:v>0.38912800074594955</c:v>
                </c:pt>
                <c:pt idx="67">
                  <c:v>0.40072212404618235</c:v>
                </c:pt>
                <c:pt idx="68">
                  <c:v>0.41239693872285837</c:v>
                </c:pt>
                <c:pt idx="69">
                  <c:v>0.42415244477597752</c:v>
                </c:pt>
                <c:pt idx="70">
                  <c:v>0.43598864220553996</c:v>
                </c:pt>
                <c:pt idx="71">
                  <c:v>0.44790553101154557</c:v>
                </c:pt>
                <c:pt idx="72">
                  <c:v>0.45990311119399441</c:v>
                </c:pt>
                <c:pt idx="73">
                  <c:v>0.47198138275288637</c:v>
                </c:pt>
                <c:pt idx="74">
                  <c:v>0.48414034568822156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2-4F8A-923D-BCD7316FE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207055"/>
        <c:axId val="685769791"/>
      </c:scatterChart>
      <c:valAx>
        <c:axId val="68720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5769791"/>
        <c:crosses val="autoZero"/>
        <c:crossBetween val="midCat"/>
      </c:valAx>
      <c:valAx>
        <c:axId val="68576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207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'35kts'!$A$4:$A$33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</c:numCache>
            </c:numRef>
          </c:xVal>
          <c:yVal>
            <c:numRef>
              <c:f>'35kts'!$D$4:$D$33</c:f>
              <c:numCache>
                <c:formatCode>General</c:formatCode>
                <c:ptCount val="30"/>
                <c:pt idx="0">
                  <c:v>6.13E-3</c:v>
                </c:pt>
                <c:pt idx="1">
                  <c:v>6.1500000000000001E-3</c:v>
                </c:pt>
                <c:pt idx="2">
                  <c:v>6.2500000000000003E-3</c:v>
                </c:pt>
                <c:pt idx="3">
                  <c:v>6.4099999999999999E-3</c:v>
                </c:pt>
                <c:pt idx="4">
                  <c:v>6.62E-3</c:v>
                </c:pt>
                <c:pt idx="5">
                  <c:v>6.8700000000000002E-3</c:v>
                </c:pt>
                <c:pt idx="6">
                  <c:v>7.1700000000000002E-3</c:v>
                </c:pt>
                <c:pt idx="7">
                  <c:v>7.4900000000000001E-3</c:v>
                </c:pt>
                <c:pt idx="8">
                  <c:v>7.8600000000000007E-3</c:v>
                </c:pt>
                <c:pt idx="9">
                  <c:v>8.26E-3</c:v>
                </c:pt>
                <c:pt idx="10">
                  <c:v>8.6999999999999994E-3</c:v>
                </c:pt>
                <c:pt idx="11">
                  <c:v>9.1599999999999997E-3</c:v>
                </c:pt>
                <c:pt idx="12">
                  <c:v>1.014E-2</c:v>
                </c:pt>
                <c:pt idx="13">
                  <c:v>1.0710000000000001E-2</c:v>
                </c:pt>
                <c:pt idx="14">
                  <c:v>1.125E-2</c:v>
                </c:pt>
                <c:pt idx="15">
                  <c:v>1.1900000000000001E-2</c:v>
                </c:pt>
                <c:pt idx="16">
                  <c:v>1.264E-2</c:v>
                </c:pt>
                <c:pt idx="17">
                  <c:v>1.337E-2</c:v>
                </c:pt>
                <c:pt idx="18">
                  <c:v>1.418E-2</c:v>
                </c:pt>
                <c:pt idx="19">
                  <c:v>1.5219999999999999E-2</c:v>
                </c:pt>
                <c:pt idx="20">
                  <c:v>1.6199999999999999E-2</c:v>
                </c:pt>
                <c:pt idx="21">
                  <c:v>1.729E-2</c:v>
                </c:pt>
                <c:pt idx="22">
                  <c:v>1.8489999999999999E-2</c:v>
                </c:pt>
                <c:pt idx="23">
                  <c:v>1.9810000000000001E-2</c:v>
                </c:pt>
                <c:pt idx="24">
                  <c:v>2.1319999999999999E-2</c:v>
                </c:pt>
                <c:pt idx="25">
                  <c:v>2.324E-2</c:v>
                </c:pt>
                <c:pt idx="26">
                  <c:v>2.5329999999999998E-2</c:v>
                </c:pt>
                <c:pt idx="27">
                  <c:v>2.741E-2</c:v>
                </c:pt>
                <c:pt idx="28">
                  <c:v>2.9860000000000001E-2</c:v>
                </c:pt>
                <c:pt idx="29">
                  <c:v>3.3239999999999999E-2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B9-4665-9B4C-47A083953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062447"/>
        <c:axId val="1028170159"/>
      </c:scatterChart>
      <c:valAx>
        <c:axId val="1028062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8170159"/>
        <c:crosses val="autoZero"/>
        <c:crossBetween val="midCat"/>
      </c:valAx>
      <c:valAx>
        <c:axId val="102817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8062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'35kts'!$F$2</c:f>
              <c:strCache>
                <c:ptCount val="1"/>
                <c:pt idx="0">
                  <c:v>CL_3D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'35kts'!$A$4:$A$78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22</c:v>
                </c:pt>
                <c:pt idx="41">
                  <c:v>24</c:v>
                </c:pt>
                <c:pt idx="42">
                  <c:v>26</c:v>
                </c:pt>
                <c:pt idx="43">
                  <c:v>28</c:v>
                </c:pt>
                <c:pt idx="44">
                  <c:v>30</c:v>
                </c:pt>
                <c:pt idx="45">
                  <c:v>32</c:v>
                </c:pt>
                <c:pt idx="46">
                  <c:v>34</c:v>
                </c:pt>
                <c:pt idx="47">
                  <c:v>36</c:v>
                </c:pt>
                <c:pt idx="48">
                  <c:v>38</c:v>
                </c:pt>
                <c:pt idx="49">
                  <c:v>40</c:v>
                </c:pt>
                <c:pt idx="50">
                  <c:v>42</c:v>
                </c:pt>
                <c:pt idx="51">
                  <c:v>44</c:v>
                </c:pt>
                <c:pt idx="52">
                  <c:v>46</c:v>
                </c:pt>
                <c:pt idx="53">
                  <c:v>48</c:v>
                </c:pt>
                <c:pt idx="54">
                  <c:v>50</c:v>
                </c:pt>
                <c:pt idx="55">
                  <c:v>52</c:v>
                </c:pt>
                <c:pt idx="56">
                  <c:v>54</c:v>
                </c:pt>
                <c:pt idx="57">
                  <c:v>56</c:v>
                </c:pt>
                <c:pt idx="58">
                  <c:v>58</c:v>
                </c:pt>
                <c:pt idx="59">
                  <c:v>60</c:v>
                </c:pt>
                <c:pt idx="60">
                  <c:v>62</c:v>
                </c:pt>
                <c:pt idx="61">
                  <c:v>64</c:v>
                </c:pt>
                <c:pt idx="62">
                  <c:v>66</c:v>
                </c:pt>
                <c:pt idx="63">
                  <c:v>68</c:v>
                </c:pt>
                <c:pt idx="64">
                  <c:v>70</c:v>
                </c:pt>
                <c:pt idx="65">
                  <c:v>72</c:v>
                </c:pt>
                <c:pt idx="66">
                  <c:v>74</c:v>
                </c:pt>
                <c:pt idx="67">
                  <c:v>76</c:v>
                </c:pt>
                <c:pt idx="68">
                  <c:v>78</c:v>
                </c:pt>
                <c:pt idx="69">
                  <c:v>80</c:v>
                </c:pt>
                <c:pt idx="70">
                  <c:v>82</c:v>
                </c:pt>
                <c:pt idx="71">
                  <c:v>84</c:v>
                </c:pt>
                <c:pt idx="72">
                  <c:v>86</c:v>
                </c:pt>
                <c:pt idx="73">
                  <c:v>88</c:v>
                </c:pt>
                <c:pt idx="74">
                  <c:v>90</c:v>
                </c:pt>
              </c:numCache>
            </c:numRef>
          </c:xVal>
          <c:yVal>
            <c:numRef>
              <c:f>'35kts'!$F$4:$F$78</c:f>
              <c:numCache>
                <c:formatCode>General</c:formatCode>
                <c:ptCount val="75"/>
                <c:pt idx="0">
                  <c:v>5.543030181544595E-5</c:v>
                </c:pt>
                <c:pt idx="1">
                  <c:v>3.0154084187602594E-2</c:v>
                </c:pt>
                <c:pt idx="2">
                  <c:v>6.0197307771574296E-2</c:v>
                </c:pt>
                <c:pt idx="3">
                  <c:v>9.0074240450099666E-2</c:v>
                </c:pt>
                <c:pt idx="4">
                  <c:v>0.11967402161954781</c:v>
                </c:pt>
                <c:pt idx="5">
                  <c:v>0.14905208158173414</c:v>
                </c:pt>
                <c:pt idx="6">
                  <c:v>0.17809755973302782</c:v>
                </c:pt>
                <c:pt idx="7">
                  <c:v>0.20692131667705974</c:v>
                </c:pt>
                <c:pt idx="8">
                  <c:v>0.23685367965740056</c:v>
                </c:pt>
                <c:pt idx="9">
                  <c:v>0.26966841833214455</c:v>
                </c:pt>
                <c:pt idx="10">
                  <c:v>0.30381348425045929</c:v>
                </c:pt>
                <c:pt idx="11">
                  <c:v>0.33834656228148213</c:v>
                </c:pt>
                <c:pt idx="12">
                  <c:v>0.40441948204549366</c:v>
                </c:pt>
                <c:pt idx="13">
                  <c:v>0.43152489963324669</c:v>
                </c:pt>
                <c:pt idx="14">
                  <c:v>0.45918462023915424</c:v>
                </c:pt>
                <c:pt idx="15">
                  <c:v>0.48684434084506173</c:v>
                </c:pt>
                <c:pt idx="16">
                  <c:v>0.51439320084733842</c:v>
                </c:pt>
                <c:pt idx="17">
                  <c:v>0.54205292145324591</c:v>
                </c:pt>
                <c:pt idx="18">
                  <c:v>0.56932462994644528</c:v>
                </c:pt>
                <c:pt idx="19">
                  <c:v>0.595764883912413</c:v>
                </c:pt>
                <c:pt idx="20">
                  <c:v>0.62214970757656529</c:v>
                </c:pt>
                <c:pt idx="21">
                  <c:v>0.64781393731711678</c:v>
                </c:pt>
                <c:pt idx="22">
                  <c:v>0.67275757313406748</c:v>
                </c:pt>
                <c:pt idx="23">
                  <c:v>0.69664803321652469</c:v>
                </c:pt>
                <c:pt idx="24">
                  <c:v>0.71909730545178019</c:v>
                </c:pt>
                <c:pt idx="25">
                  <c:v>0.73883049289807901</c:v>
                </c:pt>
                <c:pt idx="26">
                  <c:v>0.75623560766812914</c:v>
                </c:pt>
                <c:pt idx="27">
                  <c:v>0.77186695278008488</c:v>
                </c:pt>
                <c:pt idx="28">
                  <c:v>0.7802369283542171</c:v>
                </c:pt>
                <c:pt idx="29">
                  <c:v>0.78262043133228132</c:v>
                </c:pt>
                <c:pt idx="30">
                  <c:v>0.77740296179006607</c:v>
                </c:pt>
                <c:pt idx="31">
                  <c:v>0.77218549224785094</c:v>
                </c:pt>
                <c:pt idx="32">
                  <c:v>0.7669680227056358</c:v>
                </c:pt>
                <c:pt idx="33">
                  <c:v>0.76175055316342044</c:v>
                </c:pt>
                <c:pt idx="34">
                  <c:v>0.75653308362120519</c:v>
                </c:pt>
                <c:pt idx="35">
                  <c:v>0.75131561407899006</c:v>
                </c:pt>
                <c:pt idx="36">
                  <c:v>0.74609814453677481</c:v>
                </c:pt>
                <c:pt idx="37">
                  <c:v>0.74088067499455967</c:v>
                </c:pt>
                <c:pt idx="38">
                  <c:v>0.73566320545234454</c:v>
                </c:pt>
                <c:pt idx="39">
                  <c:v>0.73044573591012918</c:v>
                </c:pt>
                <c:pt idx="40">
                  <c:v>0.7095758577412683</c:v>
                </c:pt>
                <c:pt idx="41">
                  <c:v>0.68870597957240764</c:v>
                </c:pt>
                <c:pt idx="42">
                  <c:v>0.66783610140354666</c:v>
                </c:pt>
                <c:pt idx="43">
                  <c:v>0.64696622323468589</c:v>
                </c:pt>
                <c:pt idx="44">
                  <c:v>0.62609634506582512</c:v>
                </c:pt>
                <c:pt idx="45">
                  <c:v>0.60522646689696413</c:v>
                </c:pt>
                <c:pt idx="46">
                  <c:v>0.58435658872810337</c:v>
                </c:pt>
                <c:pt idx="47">
                  <c:v>0.56348671055924249</c:v>
                </c:pt>
                <c:pt idx="48">
                  <c:v>0.54261683239038161</c:v>
                </c:pt>
                <c:pt idx="49">
                  <c:v>0.52174695422152095</c:v>
                </c:pt>
                <c:pt idx="50">
                  <c:v>0.50087707605265996</c:v>
                </c:pt>
                <c:pt idx="51">
                  <c:v>0.48000719788379925</c:v>
                </c:pt>
                <c:pt idx="52">
                  <c:v>0.45913731971493837</c:v>
                </c:pt>
                <c:pt idx="53">
                  <c:v>0.4382674415460775</c:v>
                </c:pt>
                <c:pt idx="54">
                  <c:v>0.41739756337721673</c:v>
                </c:pt>
                <c:pt idx="55">
                  <c:v>0.39652768520835591</c:v>
                </c:pt>
                <c:pt idx="56">
                  <c:v>0.37565780703949503</c:v>
                </c:pt>
                <c:pt idx="57">
                  <c:v>0.35478792887063415</c:v>
                </c:pt>
                <c:pt idx="58">
                  <c:v>0.33391805070177333</c:v>
                </c:pt>
                <c:pt idx="59">
                  <c:v>0.31304817253291256</c:v>
                </c:pt>
                <c:pt idx="60">
                  <c:v>0.29217829436405168</c:v>
                </c:pt>
                <c:pt idx="61">
                  <c:v>0.2713084161951908</c:v>
                </c:pt>
                <c:pt idx="62">
                  <c:v>0.25043853802632998</c:v>
                </c:pt>
                <c:pt idx="63">
                  <c:v>0.22956865985746919</c:v>
                </c:pt>
                <c:pt idx="64">
                  <c:v>0.20869878168860836</c:v>
                </c:pt>
                <c:pt idx="65">
                  <c:v>0.18782890351974751</c:v>
                </c:pt>
                <c:pt idx="66">
                  <c:v>0.16695902535088666</c:v>
                </c:pt>
                <c:pt idx="67">
                  <c:v>0.14608914718202584</c:v>
                </c:pt>
                <c:pt idx="68">
                  <c:v>0.12521926901316499</c:v>
                </c:pt>
                <c:pt idx="69">
                  <c:v>0.10434939084430418</c:v>
                </c:pt>
                <c:pt idx="70">
                  <c:v>8.3479512675443332E-2</c:v>
                </c:pt>
                <c:pt idx="71">
                  <c:v>6.2609634506582496E-2</c:v>
                </c:pt>
                <c:pt idx="72">
                  <c:v>4.1739756337721666E-2</c:v>
                </c:pt>
                <c:pt idx="73">
                  <c:v>2.0869878168860833E-2</c:v>
                </c:pt>
                <c:pt idx="7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6-4B83-A547-EB5A08E1CAA8}"/>
            </c:ext>
          </c:extLst>
        </c:ser>
        <c:ser>
          <c:idx val="1"/>
          <c:order val="1"/>
          <c:tx>
            <c:strRef>
              <c:f>'35kts'!$H$2</c:f>
              <c:strCache>
                <c:ptCount val="1"/>
                <c:pt idx="0">
                  <c:v>CD_3D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'35kts'!$A$4:$A$78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22</c:v>
                </c:pt>
                <c:pt idx="41">
                  <c:v>24</c:v>
                </c:pt>
                <c:pt idx="42">
                  <c:v>26</c:v>
                </c:pt>
                <c:pt idx="43">
                  <c:v>28</c:v>
                </c:pt>
                <c:pt idx="44">
                  <c:v>30</c:v>
                </c:pt>
                <c:pt idx="45">
                  <c:v>32</c:v>
                </c:pt>
                <c:pt idx="46">
                  <c:v>34</c:v>
                </c:pt>
                <c:pt idx="47">
                  <c:v>36</c:v>
                </c:pt>
                <c:pt idx="48">
                  <c:v>38</c:v>
                </c:pt>
                <c:pt idx="49">
                  <c:v>40</c:v>
                </c:pt>
                <c:pt idx="50">
                  <c:v>42</c:v>
                </c:pt>
                <c:pt idx="51">
                  <c:v>44</c:v>
                </c:pt>
                <c:pt idx="52">
                  <c:v>46</c:v>
                </c:pt>
                <c:pt idx="53">
                  <c:v>48</c:v>
                </c:pt>
                <c:pt idx="54">
                  <c:v>50</c:v>
                </c:pt>
                <c:pt idx="55">
                  <c:v>52</c:v>
                </c:pt>
                <c:pt idx="56">
                  <c:v>54</c:v>
                </c:pt>
                <c:pt idx="57">
                  <c:v>56</c:v>
                </c:pt>
                <c:pt idx="58">
                  <c:v>58</c:v>
                </c:pt>
                <c:pt idx="59">
                  <c:v>60</c:v>
                </c:pt>
                <c:pt idx="60">
                  <c:v>62</c:v>
                </c:pt>
                <c:pt idx="61">
                  <c:v>64</c:v>
                </c:pt>
                <c:pt idx="62">
                  <c:v>66</c:v>
                </c:pt>
                <c:pt idx="63">
                  <c:v>68</c:v>
                </c:pt>
                <c:pt idx="64">
                  <c:v>70</c:v>
                </c:pt>
                <c:pt idx="65">
                  <c:v>72</c:v>
                </c:pt>
                <c:pt idx="66">
                  <c:v>74</c:v>
                </c:pt>
                <c:pt idx="67">
                  <c:v>76</c:v>
                </c:pt>
                <c:pt idx="68">
                  <c:v>78</c:v>
                </c:pt>
                <c:pt idx="69">
                  <c:v>80</c:v>
                </c:pt>
                <c:pt idx="70">
                  <c:v>82</c:v>
                </c:pt>
                <c:pt idx="71">
                  <c:v>84</c:v>
                </c:pt>
                <c:pt idx="72">
                  <c:v>86</c:v>
                </c:pt>
                <c:pt idx="73">
                  <c:v>88</c:v>
                </c:pt>
                <c:pt idx="74">
                  <c:v>90</c:v>
                </c:pt>
              </c:numCache>
            </c:numRef>
          </c:xVal>
          <c:yVal>
            <c:numRef>
              <c:f>'35kts'!$H$4:$H$78</c:f>
              <c:numCache>
                <c:formatCode>General</c:formatCode>
                <c:ptCount val="75"/>
                <c:pt idx="0">
                  <c:v>6.1300003055714414E-3</c:v>
                </c:pt>
                <c:pt idx="1">
                  <c:v>6.2404295900780242E-3</c:v>
                </c:pt>
                <c:pt idx="2">
                  <c:v>6.6103897356849491E-3</c:v>
                </c:pt>
                <c:pt idx="3">
                  <c:v>7.2168995874100535E-3</c:v>
                </c:pt>
                <c:pt idx="4">
                  <c:v>8.044354353875436E-3</c:v>
                </c:pt>
                <c:pt idx="5">
                  <c:v>9.0795018382304228E-3</c:v>
                </c:pt>
                <c:pt idx="6">
                  <c:v>1.0324526745290125E-2</c:v>
                </c:pt>
                <c:pt idx="7">
                  <c:v>1.174822634586125E-2</c:v>
                </c:pt>
                <c:pt idx="8">
                  <c:v>1.3439285024119105E-2</c:v>
                </c:pt>
                <c:pt idx="9">
                  <c:v>1.5492333628299486E-2</c:v>
                </c:pt>
                <c:pt idx="10">
                  <c:v>1.7879781981968851E-2</c:v>
                </c:pt>
                <c:pt idx="11">
                  <c:v>2.0545230109457847E-2</c:v>
                </c:pt>
                <c:pt idx="12">
                  <c:v>2.6406061628429039E-2</c:v>
                </c:pt>
                <c:pt idx="13">
                  <c:v>2.9229531530217616E-2</c:v>
                </c:pt>
                <c:pt idx="14">
                  <c:v>3.2219735048542253E-2</c:v>
                </c:pt>
                <c:pt idx="15">
                  <c:v>3.5472113755820017E-2</c:v>
                </c:pt>
                <c:pt idx="16">
                  <c:v>3.8955323617860922E-2</c:v>
                </c:pt>
                <c:pt idx="17">
                  <c:v>4.2591442782447954E-2</c:v>
                </c:pt>
                <c:pt idx="18">
                  <c:v>4.641578282314484E-2</c:v>
                </c:pt>
                <c:pt idx="19">
                  <c:v>5.0519461345482242E-2</c:v>
                </c:pt>
                <c:pt idx="20">
                  <c:v>5.4695332823506228E-2</c:v>
                </c:pt>
                <c:pt idx="21">
                  <c:v>5.9026771420441153E-2</c:v>
                </c:pt>
                <c:pt idx="22">
                  <c:v>6.3502741729252771E-2</c:v>
                </c:pt>
                <c:pt idx="23">
                  <c:v>6.8076422129272507E-2</c:v>
                </c:pt>
                <c:pt idx="24">
                  <c:v>7.2747285203971196E-2</c:v>
                </c:pt>
                <c:pt idx="25">
                  <c:v>7.7528507062246829E-2</c:v>
                </c:pt>
                <c:pt idx="26">
                  <c:v>8.2206455158205155E-2</c:v>
                </c:pt>
                <c:pt idx="27">
                  <c:v>8.6662021324114047E-2</c:v>
                </c:pt>
                <c:pt idx="28">
                  <c:v>9.0404023519581919E-2</c:v>
                </c:pt>
                <c:pt idx="29">
                  <c:v>9.4154493751546747E-2</c:v>
                </c:pt>
                <c:pt idx="30">
                  <c:v>9.6725007812359529E-2</c:v>
                </c:pt>
                <c:pt idx="31">
                  <c:v>9.930093649483912E-2</c:v>
                </c:pt>
                <c:pt idx="32">
                  <c:v>0.10188227979898551</c:v>
                </c:pt>
                <c:pt idx="33">
                  <c:v>0.10446903772479868</c:v>
                </c:pt>
                <c:pt idx="34">
                  <c:v>0.10706121027227868</c:v>
                </c:pt>
                <c:pt idx="35">
                  <c:v>0.10965879744142548</c:v>
                </c:pt>
                <c:pt idx="36">
                  <c:v>0.11226179923223907</c:v>
                </c:pt>
                <c:pt idx="37">
                  <c:v>0.11487021564471948</c:v>
                </c:pt>
                <c:pt idx="38">
                  <c:v>0.11748404667886671</c:v>
                </c:pt>
                <c:pt idx="39">
                  <c:v>0.1201032923346807</c:v>
                </c:pt>
                <c:pt idx="40">
                  <c:v>0.13063442117460478</c:v>
                </c:pt>
                <c:pt idx="41">
                  <c:v>0.14125218396119776</c:v>
                </c:pt>
                <c:pt idx="42">
                  <c:v>0.15195658069445958</c:v>
                </c:pt>
                <c:pt idx="43">
                  <c:v>0.16274761137439028</c:v>
                </c:pt>
                <c:pt idx="44">
                  <c:v>0.17362527600098987</c:v>
                </c:pt>
                <c:pt idx="45">
                  <c:v>0.18458957457425826</c:v>
                </c:pt>
                <c:pt idx="46">
                  <c:v>0.19564050709419556</c:v>
                </c:pt>
                <c:pt idx="47">
                  <c:v>0.20677807356080172</c:v>
                </c:pt>
                <c:pt idx="48">
                  <c:v>0.21800227397407676</c:v>
                </c:pt>
                <c:pt idx="49">
                  <c:v>0.22931310833402066</c:v>
                </c:pt>
                <c:pt idx="50">
                  <c:v>0.24071057664063342</c:v>
                </c:pt>
                <c:pt idx="51">
                  <c:v>0.25219467889391506</c:v>
                </c:pt>
                <c:pt idx="52">
                  <c:v>0.26376541509386553</c:v>
                </c:pt>
                <c:pt idx="53">
                  <c:v>0.27542278524048491</c:v>
                </c:pt>
                <c:pt idx="54">
                  <c:v>0.28716678933377315</c:v>
                </c:pt>
                <c:pt idx="55">
                  <c:v>0.29899742737373025</c:v>
                </c:pt>
                <c:pt idx="56">
                  <c:v>0.31091469936035621</c:v>
                </c:pt>
                <c:pt idx="57">
                  <c:v>0.32291860529365102</c:v>
                </c:pt>
                <c:pt idx="58">
                  <c:v>0.33500914517361469</c:v>
                </c:pt>
                <c:pt idx="59">
                  <c:v>0.34718631900024727</c:v>
                </c:pt>
                <c:pt idx="60">
                  <c:v>0.35945012677354871</c:v>
                </c:pt>
                <c:pt idx="61">
                  <c:v>0.37180056849351895</c:v>
                </c:pt>
                <c:pt idx="62">
                  <c:v>0.3842376441601581</c:v>
                </c:pt>
                <c:pt idx="63">
                  <c:v>0.39676135377346616</c:v>
                </c:pt>
                <c:pt idx="64">
                  <c:v>0.40937169733344309</c:v>
                </c:pt>
                <c:pt idx="65">
                  <c:v>0.42206867484008881</c:v>
                </c:pt>
                <c:pt idx="66">
                  <c:v>0.43485228629340339</c:v>
                </c:pt>
                <c:pt idx="67">
                  <c:v>0.44772253169338694</c:v>
                </c:pt>
                <c:pt idx="68">
                  <c:v>0.46067941104003929</c:v>
                </c:pt>
                <c:pt idx="69">
                  <c:v>0.4737229243333605</c:v>
                </c:pt>
                <c:pt idx="70">
                  <c:v>0.48685307157335056</c:v>
                </c:pt>
                <c:pt idx="71">
                  <c:v>0.50006985276000959</c:v>
                </c:pt>
                <c:pt idx="72">
                  <c:v>0.51337326789333737</c:v>
                </c:pt>
                <c:pt idx="73">
                  <c:v>0.52676331697333412</c:v>
                </c:pt>
                <c:pt idx="74">
                  <c:v>0.54023999999999972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66-4B83-A547-EB5A08E1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207055"/>
        <c:axId val="685769791"/>
      </c:scatterChart>
      <c:valAx>
        <c:axId val="68720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5769791"/>
        <c:crosses val="autoZero"/>
        <c:crossBetween val="midCat"/>
      </c:valAx>
      <c:valAx>
        <c:axId val="68576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207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'40kts'!$A$4:$A$35</c:f>
              <c:numCache>
                <c:formatCode>General</c:formatCode>
                <c:ptCount val="32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</c:numCache>
            </c:numRef>
          </c:xVal>
          <c:yVal>
            <c:numRef>
              <c:f>'40kts'!$D$4:$D$35</c:f>
              <c:numCache>
                <c:formatCode>General</c:formatCode>
                <c:ptCount val="32"/>
                <c:pt idx="0">
                  <c:v>6.11E-3</c:v>
                </c:pt>
                <c:pt idx="1">
                  <c:v>6.1399999999999996E-3</c:v>
                </c:pt>
                <c:pt idx="2">
                  <c:v>6.2300000000000003E-3</c:v>
                </c:pt>
                <c:pt idx="3">
                  <c:v>6.3899999999999998E-3</c:v>
                </c:pt>
                <c:pt idx="4">
                  <c:v>6.5900000000000004E-3</c:v>
                </c:pt>
                <c:pt idx="5">
                  <c:v>6.8100000000000001E-3</c:v>
                </c:pt>
                <c:pt idx="6">
                  <c:v>7.0800000000000004E-3</c:v>
                </c:pt>
                <c:pt idx="7">
                  <c:v>7.3400000000000002E-3</c:v>
                </c:pt>
                <c:pt idx="8">
                  <c:v>7.6400000000000001E-3</c:v>
                </c:pt>
                <c:pt idx="9">
                  <c:v>8.0199999999999994E-3</c:v>
                </c:pt>
                <c:pt idx="10">
                  <c:v>8.4200000000000004E-3</c:v>
                </c:pt>
                <c:pt idx="11">
                  <c:v>8.8500000000000002E-3</c:v>
                </c:pt>
                <c:pt idx="12">
                  <c:v>9.3399999999999993E-3</c:v>
                </c:pt>
                <c:pt idx="13">
                  <c:v>9.8200000000000006E-3</c:v>
                </c:pt>
                <c:pt idx="14">
                  <c:v>1.034E-2</c:v>
                </c:pt>
                <c:pt idx="15">
                  <c:v>1.0869999999999999E-2</c:v>
                </c:pt>
                <c:pt idx="16">
                  <c:v>1.1520000000000001E-2</c:v>
                </c:pt>
                <c:pt idx="17">
                  <c:v>1.217E-2</c:v>
                </c:pt>
                <c:pt idx="18">
                  <c:v>1.2869999999999999E-2</c:v>
                </c:pt>
                <c:pt idx="19">
                  <c:v>1.3679999999999999E-2</c:v>
                </c:pt>
                <c:pt idx="20">
                  <c:v>1.46E-2</c:v>
                </c:pt>
                <c:pt idx="21">
                  <c:v>1.5520000000000001E-2</c:v>
                </c:pt>
                <c:pt idx="22">
                  <c:v>1.653E-2</c:v>
                </c:pt>
                <c:pt idx="23">
                  <c:v>1.7649999999999999E-2</c:v>
                </c:pt>
                <c:pt idx="24">
                  <c:v>1.891E-2</c:v>
                </c:pt>
                <c:pt idx="25">
                  <c:v>2.0480000000000002E-2</c:v>
                </c:pt>
                <c:pt idx="26">
                  <c:v>2.2179999999999998E-2</c:v>
                </c:pt>
                <c:pt idx="27">
                  <c:v>2.383E-2</c:v>
                </c:pt>
                <c:pt idx="28">
                  <c:v>2.572E-2</c:v>
                </c:pt>
                <c:pt idx="29">
                  <c:v>2.792E-2</c:v>
                </c:pt>
                <c:pt idx="30">
                  <c:v>3.0620000000000001E-2</c:v>
                </c:pt>
                <c:pt idx="31">
                  <c:v>3.4479999999999997E-2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00-4687-92A6-D7CA44C7F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356735"/>
        <c:axId val="1028181807"/>
      </c:scatterChart>
      <c:valAx>
        <c:axId val="905356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8181807"/>
        <c:crosses val="autoZero"/>
        <c:crossBetween val="midCat"/>
      </c:valAx>
      <c:valAx>
        <c:axId val="1028181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5356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'40kts'!$F$2</c:f>
              <c:strCache>
                <c:ptCount val="1"/>
                <c:pt idx="0">
                  <c:v>CL_3D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'40kts'!$A$4:$A$78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22</c:v>
                </c:pt>
                <c:pt idx="41">
                  <c:v>24</c:v>
                </c:pt>
                <c:pt idx="42">
                  <c:v>26</c:v>
                </c:pt>
                <c:pt idx="43">
                  <c:v>28</c:v>
                </c:pt>
                <c:pt idx="44">
                  <c:v>30</c:v>
                </c:pt>
                <c:pt idx="45">
                  <c:v>32</c:v>
                </c:pt>
                <c:pt idx="46">
                  <c:v>34</c:v>
                </c:pt>
                <c:pt idx="47">
                  <c:v>36</c:v>
                </c:pt>
                <c:pt idx="48">
                  <c:v>38</c:v>
                </c:pt>
                <c:pt idx="49">
                  <c:v>40</c:v>
                </c:pt>
                <c:pt idx="50">
                  <c:v>42</c:v>
                </c:pt>
                <c:pt idx="51">
                  <c:v>44</c:v>
                </c:pt>
                <c:pt idx="52">
                  <c:v>46</c:v>
                </c:pt>
                <c:pt idx="53">
                  <c:v>48</c:v>
                </c:pt>
                <c:pt idx="54">
                  <c:v>50</c:v>
                </c:pt>
                <c:pt idx="55">
                  <c:v>52</c:v>
                </c:pt>
                <c:pt idx="56">
                  <c:v>54</c:v>
                </c:pt>
                <c:pt idx="57">
                  <c:v>56</c:v>
                </c:pt>
                <c:pt idx="58">
                  <c:v>58</c:v>
                </c:pt>
                <c:pt idx="59">
                  <c:v>60</c:v>
                </c:pt>
                <c:pt idx="60">
                  <c:v>62</c:v>
                </c:pt>
                <c:pt idx="61">
                  <c:v>64</c:v>
                </c:pt>
                <c:pt idx="62">
                  <c:v>66</c:v>
                </c:pt>
                <c:pt idx="63">
                  <c:v>68</c:v>
                </c:pt>
                <c:pt idx="64">
                  <c:v>70</c:v>
                </c:pt>
                <c:pt idx="65">
                  <c:v>72</c:v>
                </c:pt>
                <c:pt idx="66">
                  <c:v>74</c:v>
                </c:pt>
                <c:pt idx="67">
                  <c:v>76</c:v>
                </c:pt>
                <c:pt idx="68">
                  <c:v>78</c:v>
                </c:pt>
                <c:pt idx="69">
                  <c:v>80</c:v>
                </c:pt>
                <c:pt idx="70">
                  <c:v>82</c:v>
                </c:pt>
                <c:pt idx="71">
                  <c:v>84</c:v>
                </c:pt>
                <c:pt idx="72">
                  <c:v>86</c:v>
                </c:pt>
                <c:pt idx="73">
                  <c:v>88</c:v>
                </c:pt>
                <c:pt idx="74">
                  <c:v>90</c:v>
                </c:pt>
              </c:numCache>
            </c:numRef>
          </c:xVal>
          <c:yVal>
            <c:numRef>
              <c:f>'40kts'!$F$4:$F$78</c:f>
              <c:numCache>
                <c:formatCode>General</c:formatCode>
                <c:ptCount val="75"/>
                <c:pt idx="0">
                  <c:v>5.543030181544595E-5</c:v>
                </c:pt>
                <c:pt idx="1">
                  <c:v>3.026494479123349E-2</c:v>
                </c:pt>
                <c:pt idx="2">
                  <c:v>6.0474459280651538E-2</c:v>
                </c:pt>
                <c:pt idx="3">
                  <c:v>9.0517682864623222E-2</c:v>
                </c:pt>
                <c:pt idx="4">
                  <c:v>0.12039461554314859</c:v>
                </c:pt>
                <c:pt idx="5">
                  <c:v>0.14999439671259673</c:v>
                </c:pt>
                <c:pt idx="6">
                  <c:v>0.17931702637296765</c:v>
                </c:pt>
                <c:pt idx="7">
                  <c:v>0.20841793482607676</c:v>
                </c:pt>
                <c:pt idx="8">
                  <c:v>0.23751884327918588</c:v>
                </c:pt>
                <c:pt idx="9">
                  <c:v>0.26850438199402021</c:v>
                </c:pt>
                <c:pt idx="10">
                  <c:v>0.30198428429054947</c:v>
                </c:pt>
                <c:pt idx="11">
                  <c:v>0.33657279262338774</c:v>
                </c:pt>
                <c:pt idx="12">
                  <c:v>0.37116130095622607</c:v>
                </c:pt>
                <c:pt idx="13">
                  <c:v>0.40541722747817172</c:v>
                </c:pt>
                <c:pt idx="14">
                  <c:v>0.43257807536774018</c:v>
                </c:pt>
                <c:pt idx="15">
                  <c:v>0.46018236567183229</c:v>
                </c:pt>
                <c:pt idx="16">
                  <c:v>0.48778665597592435</c:v>
                </c:pt>
                <c:pt idx="17">
                  <c:v>0.51566809778909362</c:v>
                </c:pt>
                <c:pt idx="18">
                  <c:v>0.54343867899863207</c:v>
                </c:pt>
                <c:pt idx="19">
                  <c:v>0.57082124809546242</c:v>
                </c:pt>
                <c:pt idx="20">
                  <c:v>0.59776037477776911</c:v>
                </c:pt>
                <c:pt idx="21">
                  <c:v>0.62442234995099866</c:v>
                </c:pt>
                <c:pt idx="22">
                  <c:v>0.65053002210607358</c:v>
                </c:pt>
                <c:pt idx="23">
                  <c:v>0.67586167003573239</c:v>
                </c:pt>
                <c:pt idx="24">
                  <c:v>0.70025100283452868</c:v>
                </c:pt>
                <c:pt idx="25">
                  <c:v>0.72270027506978429</c:v>
                </c:pt>
                <c:pt idx="26">
                  <c:v>0.74376378975965374</c:v>
                </c:pt>
                <c:pt idx="27">
                  <c:v>0.76382955901684513</c:v>
                </c:pt>
                <c:pt idx="28">
                  <c:v>0.78140096469234155</c:v>
                </c:pt>
                <c:pt idx="29">
                  <c:v>0.79442708561897135</c:v>
                </c:pt>
                <c:pt idx="30">
                  <c:v>0.7995821036878078</c:v>
                </c:pt>
                <c:pt idx="31">
                  <c:v>0.80041355821503946</c:v>
                </c:pt>
                <c:pt idx="32">
                  <c:v>0.79504165513977065</c:v>
                </c:pt>
                <c:pt idx="33">
                  <c:v>0.78966975206450207</c:v>
                </c:pt>
                <c:pt idx="34">
                  <c:v>0.78429784898923327</c:v>
                </c:pt>
                <c:pt idx="35">
                  <c:v>0.77892594591396458</c:v>
                </c:pt>
                <c:pt idx="36">
                  <c:v>0.77355404283869589</c:v>
                </c:pt>
                <c:pt idx="37">
                  <c:v>0.76281023668815839</c:v>
                </c:pt>
                <c:pt idx="38">
                  <c:v>0.75743833361288959</c:v>
                </c:pt>
                <c:pt idx="39">
                  <c:v>0.7520664305376209</c:v>
                </c:pt>
                <c:pt idx="40">
                  <c:v>0.73057881823654602</c:v>
                </c:pt>
                <c:pt idx="41">
                  <c:v>0.70909120593547126</c:v>
                </c:pt>
                <c:pt idx="42">
                  <c:v>0.68760359363439638</c:v>
                </c:pt>
                <c:pt idx="43">
                  <c:v>0.66611598133332139</c:v>
                </c:pt>
                <c:pt idx="44">
                  <c:v>0.64462836903224652</c:v>
                </c:pt>
                <c:pt idx="45">
                  <c:v>0.62314075673117164</c:v>
                </c:pt>
                <c:pt idx="46">
                  <c:v>0.60165314443009688</c:v>
                </c:pt>
                <c:pt idx="47">
                  <c:v>0.580165532129022</c:v>
                </c:pt>
                <c:pt idx="48">
                  <c:v>0.55867791982794701</c:v>
                </c:pt>
                <c:pt idx="49">
                  <c:v>0.53719030752687214</c:v>
                </c:pt>
                <c:pt idx="50">
                  <c:v>0.51570269522579726</c:v>
                </c:pt>
                <c:pt idx="51">
                  <c:v>0.49421508292472233</c:v>
                </c:pt>
                <c:pt idx="52">
                  <c:v>0.47272747062364751</c:v>
                </c:pt>
                <c:pt idx="53">
                  <c:v>0.45123985832257257</c:v>
                </c:pt>
                <c:pt idx="54">
                  <c:v>0.4297522460214977</c:v>
                </c:pt>
                <c:pt idx="55">
                  <c:v>0.40826463372042282</c:v>
                </c:pt>
                <c:pt idx="56">
                  <c:v>0.38677702141934794</c:v>
                </c:pt>
                <c:pt idx="57">
                  <c:v>0.36528940911827301</c:v>
                </c:pt>
                <c:pt idx="58">
                  <c:v>0.34380179681719819</c:v>
                </c:pt>
                <c:pt idx="59">
                  <c:v>0.32231418451612326</c:v>
                </c:pt>
                <c:pt idx="60">
                  <c:v>0.30082657221504844</c:v>
                </c:pt>
                <c:pt idx="61">
                  <c:v>0.27933895991397351</c:v>
                </c:pt>
                <c:pt idx="62">
                  <c:v>0.25785134761289863</c:v>
                </c:pt>
                <c:pt idx="63">
                  <c:v>0.23636373531182375</c:v>
                </c:pt>
                <c:pt idx="64">
                  <c:v>0.21487612301074885</c:v>
                </c:pt>
                <c:pt idx="65">
                  <c:v>0.19338851070967397</c:v>
                </c:pt>
                <c:pt idx="66">
                  <c:v>0.1719008984085991</c:v>
                </c:pt>
                <c:pt idx="67">
                  <c:v>0.15041328610752422</c:v>
                </c:pt>
                <c:pt idx="68">
                  <c:v>0.12892567380644931</c:v>
                </c:pt>
                <c:pt idx="69">
                  <c:v>0.10743806150537442</c:v>
                </c:pt>
                <c:pt idx="70">
                  <c:v>8.5950449204299548E-2</c:v>
                </c:pt>
                <c:pt idx="71">
                  <c:v>6.4462836903224657E-2</c:v>
                </c:pt>
                <c:pt idx="72">
                  <c:v>4.2975224602149774E-2</c:v>
                </c:pt>
                <c:pt idx="73">
                  <c:v>2.1487612301074887E-2</c:v>
                </c:pt>
                <c:pt idx="7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30-4F27-B24E-EF3011011812}"/>
            </c:ext>
          </c:extLst>
        </c:ser>
        <c:ser>
          <c:idx val="1"/>
          <c:order val="1"/>
          <c:tx>
            <c:strRef>
              <c:f>'40kts'!$H$2</c:f>
              <c:strCache>
                <c:ptCount val="1"/>
                <c:pt idx="0">
                  <c:v>CD_3D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'40kts'!$A$4:$A$78</c:f>
              <c:numCache>
                <c:formatCode>General</c:formatCode>
                <c:ptCount val="7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22</c:v>
                </c:pt>
                <c:pt idx="41">
                  <c:v>24</c:v>
                </c:pt>
                <c:pt idx="42">
                  <c:v>26</c:v>
                </c:pt>
                <c:pt idx="43">
                  <c:v>28</c:v>
                </c:pt>
                <c:pt idx="44">
                  <c:v>30</c:v>
                </c:pt>
                <c:pt idx="45">
                  <c:v>32</c:v>
                </c:pt>
                <c:pt idx="46">
                  <c:v>34</c:v>
                </c:pt>
                <c:pt idx="47">
                  <c:v>36</c:v>
                </c:pt>
                <c:pt idx="48">
                  <c:v>38</c:v>
                </c:pt>
                <c:pt idx="49">
                  <c:v>40</c:v>
                </c:pt>
                <c:pt idx="50">
                  <c:v>42</c:v>
                </c:pt>
                <c:pt idx="51">
                  <c:v>44</c:v>
                </c:pt>
                <c:pt idx="52">
                  <c:v>46</c:v>
                </c:pt>
                <c:pt idx="53">
                  <c:v>48</c:v>
                </c:pt>
                <c:pt idx="54">
                  <c:v>50</c:v>
                </c:pt>
                <c:pt idx="55">
                  <c:v>52</c:v>
                </c:pt>
                <c:pt idx="56">
                  <c:v>54</c:v>
                </c:pt>
                <c:pt idx="57">
                  <c:v>56</c:v>
                </c:pt>
                <c:pt idx="58">
                  <c:v>58</c:v>
                </c:pt>
                <c:pt idx="59">
                  <c:v>60</c:v>
                </c:pt>
                <c:pt idx="60">
                  <c:v>62</c:v>
                </c:pt>
                <c:pt idx="61">
                  <c:v>64</c:v>
                </c:pt>
                <c:pt idx="62">
                  <c:v>66</c:v>
                </c:pt>
                <c:pt idx="63">
                  <c:v>68</c:v>
                </c:pt>
                <c:pt idx="64">
                  <c:v>70</c:v>
                </c:pt>
                <c:pt idx="65">
                  <c:v>72</c:v>
                </c:pt>
                <c:pt idx="66">
                  <c:v>74</c:v>
                </c:pt>
                <c:pt idx="67">
                  <c:v>76</c:v>
                </c:pt>
                <c:pt idx="68">
                  <c:v>78</c:v>
                </c:pt>
                <c:pt idx="69">
                  <c:v>80</c:v>
                </c:pt>
                <c:pt idx="70">
                  <c:v>82</c:v>
                </c:pt>
                <c:pt idx="71">
                  <c:v>84</c:v>
                </c:pt>
                <c:pt idx="72">
                  <c:v>86</c:v>
                </c:pt>
                <c:pt idx="73">
                  <c:v>88</c:v>
                </c:pt>
                <c:pt idx="74">
                  <c:v>90</c:v>
                </c:pt>
              </c:numCache>
            </c:numRef>
          </c:xVal>
          <c:yVal>
            <c:numRef>
              <c:f>'40kts'!$H$4:$H$78</c:f>
              <c:numCache>
                <c:formatCode>General</c:formatCode>
                <c:ptCount val="75"/>
                <c:pt idx="0">
                  <c:v>6.1100003055714414E-3</c:v>
                </c:pt>
                <c:pt idx="1">
                  <c:v>6.2310957358202449E-3</c:v>
                </c:pt>
                <c:pt idx="2">
                  <c:v>6.593715880824436E-3</c:v>
                </c:pt>
                <c:pt idx="3">
                  <c:v>7.2048640014583396E-3</c:v>
                </c:pt>
                <c:pt idx="4">
                  <c:v>8.0315589427397954E-3</c:v>
                </c:pt>
                <c:pt idx="5">
                  <c:v>9.0475273229771447E-3</c:v>
                </c:pt>
                <c:pt idx="6">
                  <c:v>1.0277873887679388E-2</c:v>
                </c:pt>
                <c:pt idx="7">
                  <c:v>1.1660046809739505E-2</c:v>
                </c:pt>
                <c:pt idx="8">
                  <c:v>1.3250665988863684E-2</c:v>
                </c:pt>
                <c:pt idx="9">
                  <c:v>1.5190030972686723E-2</c:v>
                </c:pt>
                <c:pt idx="10">
                  <c:v>1.7489575502632873E-2</c:v>
                </c:pt>
                <c:pt idx="11">
                  <c:v>2.0116169697607704E-2</c:v>
                </c:pt>
                <c:pt idx="12">
                  <c:v>2.3040728263704818E-2</c:v>
                </c:pt>
                <c:pt idx="13">
                  <c:v>2.6166420806084743E-2</c:v>
                </c:pt>
                <c:pt idx="14">
                  <c:v>2.8950039041013197E-2</c:v>
                </c:pt>
                <c:pt idx="15">
                  <c:v>3.1930962791225176E-2</c:v>
                </c:pt>
                <c:pt idx="16">
                  <c:v>3.5183452420936172E-2</c:v>
                </c:pt>
                <c:pt idx="17">
                  <c:v>3.8615927602052291E-2</c:v>
                </c:pt>
                <c:pt idx="18">
                  <c:v>4.2241042920864537E-2</c:v>
                </c:pt>
                <c:pt idx="19">
                  <c:v>4.6085485895547333E-2</c:v>
                </c:pt>
                <c:pt idx="20">
                  <c:v>5.0136325659415538E-2</c:v>
                </c:pt>
                <c:pt idx="21">
                  <c:v>5.4297084665464818E-2</c:v>
                </c:pt>
                <c:pt idx="22">
                  <c:v>5.8617484014148832E-2</c:v>
                </c:pt>
                <c:pt idx="23">
                  <c:v>6.307907670671245E-2</c:v>
                </c:pt>
                <c:pt idx="24">
                  <c:v>6.7676968012406552E-2</c:v>
                </c:pt>
                <c:pt idx="25">
                  <c:v>7.2423919423494243E-2</c:v>
                </c:pt>
                <c:pt idx="26">
                  <c:v>7.7195914683751837E-2</c:v>
                </c:pt>
                <c:pt idx="27">
                  <c:v>8.1854472090491945E-2</c:v>
                </c:pt>
                <c:pt idx="28">
                  <c:v>8.6444809668163494E-2</c:v>
                </c:pt>
                <c:pt idx="29">
                  <c:v>9.0686275937347072E-2</c:v>
                </c:pt>
                <c:pt idx="30">
                  <c:v>9.4203496505761375E-2</c:v>
                </c:pt>
                <c:pt idx="31">
                  <c:v>9.8195801300595492E-2</c:v>
                </c:pt>
                <c:pt idx="32">
                  <c:v>0.10120342559741649</c:v>
                </c:pt>
                <c:pt idx="33">
                  <c:v>0.10421678979796262</c:v>
                </c:pt>
                <c:pt idx="34">
                  <c:v>0.10723589390223383</c:v>
                </c:pt>
                <c:pt idx="35">
                  <c:v>0.11026073791023017</c:v>
                </c:pt>
                <c:pt idx="36">
                  <c:v>0.11329132182195162</c:v>
                </c:pt>
                <c:pt idx="37">
                  <c:v>0.11936970935656983</c:v>
                </c:pt>
                <c:pt idx="38">
                  <c:v>0.1224175129794666</c:v>
                </c:pt>
                <c:pt idx="39">
                  <c:v>0.12547105650608847</c:v>
                </c:pt>
                <c:pt idx="40">
                  <c:v>0.13774262964982714</c:v>
                </c:pt>
                <c:pt idx="41">
                  <c:v>0.15010604125316762</c:v>
                </c:pt>
                <c:pt idx="42">
                  <c:v>0.16256129131610986</c:v>
                </c:pt>
                <c:pt idx="43">
                  <c:v>0.17510837983865382</c:v>
                </c:pt>
                <c:pt idx="44">
                  <c:v>0.18774730682079963</c:v>
                </c:pt>
                <c:pt idx="45">
                  <c:v>0.20047807226254716</c:v>
                </c:pt>
                <c:pt idx="46">
                  <c:v>0.21330067616389653</c:v>
                </c:pt>
                <c:pt idx="47">
                  <c:v>0.2262151185248476</c:v>
                </c:pt>
                <c:pt idx="48">
                  <c:v>0.23922139934540051</c:v>
                </c:pt>
                <c:pt idx="49">
                  <c:v>0.25231951862555513</c:v>
                </c:pt>
                <c:pt idx="50">
                  <c:v>0.26550947636531164</c:v>
                </c:pt>
                <c:pt idx="51">
                  <c:v>0.27879127256466979</c:v>
                </c:pt>
                <c:pt idx="52">
                  <c:v>0.29216490722362981</c:v>
                </c:pt>
                <c:pt idx="53">
                  <c:v>0.30563038034219159</c:v>
                </c:pt>
                <c:pt idx="54">
                  <c:v>0.31918769192035512</c:v>
                </c:pt>
                <c:pt idx="55">
                  <c:v>0.33283684195812047</c:v>
                </c:pt>
                <c:pt idx="56">
                  <c:v>0.34657783045548757</c:v>
                </c:pt>
                <c:pt idx="57">
                  <c:v>0.36041065741245643</c:v>
                </c:pt>
                <c:pt idx="58">
                  <c:v>0.3743353228290271</c:v>
                </c:pt>
                <c:pt idx="59">
                  <c:v>0.38835182670519952</c:v>
                </c:pt>
                <c:pt idx="60">
                  <c:v>0.40246016904097376</c:v>
                </c:pt>
                <c:pt idx="61">
                  <c:v>0.4166603498363497</c:v>
                </c:pt>
                <c:pt idx="62">
                  <c:v>0.4309523690913275</c:v>
                </c:pt>
                <c:pt idx="63">
                  <c:v>0.44533622680590701</c:v>
                </c:pt>
                <c:pt idx="64">
                  <c:v>0.45981192298008838</c:v>
                </c:pt>
                <c:pt idx="65">
                  <c:v>0.47437945761387146</c:v>
                </c:pt>
                <c:pt idx="66">
                  <c:v>0.48903883070725634</c:v>
                </c:pt>
                <c:pt idx="67">
                  <c:v>0.50379004226024293</c:v>
                </c:pt>
                <c:pt idx="68">
                  <c:v>0.51863309227283139</c:v>
                </c:pt>
                <c:pt idx="69">
                  <c:v>0.53356798074502154</c:v>
                </c:pt>
                <c:pt idx="70">
                  <c:v>0.54859470767681362</c:v>
                </c:pt>
                <c:pt idx="71">
                  <c:v>0.5637132730682074</c:v>
                </c:pt>
                <c:pt idx="72">
                  <c:v>0.57892367691920277</c:v>
                </c:pt>
                <c:pt idx="73">
                  <c:v>0.59422591922980017</c:v>
                </c:pt>
                <c:pt idx="74">
                  <c:v>0.60961999999999927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30-4F27-B24E-EF3011011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207055"/>
        <c:axId val="685769791"/>
      </c:scatterChart>
      <c:valAx>
        <c:axId val="68720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5769791"/>
        <c:crosses val="autoZero"/>
        <c:crossBetween val="midCat"/>
      </c:valAx>
      <c:valAx>
        <c:axId val="68576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207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Angle d'incidence à CLmax en fonction</a:t>
            </a:r>
            <a:r>
              <a:rPr lang="fr-FR" baseline="0"/>
              <a:t> de la vitesse du bateau</a:t>
            </a:r>
            <a:endParaRPr lang="fr-FR"/>
          </a:p>
        </c:rich>
      </c:tx>
      <c:layout>
        <c:manualLayout>
          <c:xMode val="edge"/>
          <c:yMode val="edge"/>
          <c:x val="0.11742148760330579"/>
          <c:y val="3.66804165277913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0.1180836858202642"/>
                  <c:y val="0.26649333485061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'Données géométriques'!$G$2:$G$10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'Données géométriques'!$H$2:$H$10</c:f>
              <c:numCache>
                <c:formatCode>General</c:formatCode>
                <c:ptCount val="9"/>
                <c:pt idx="0">
                  <c:v>8.5</c:v>
                </c:pt>
                <c:pt idx="1">
                  <c:v>10.5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14</c:v>
                </c:pt>
                <c:pt idx="6">
                  <c:v>14.5</c:v>
                </c:pt>
                <c:pt idx="7">
                  <c:v>15</c:v>
                </c:pt>
                <c:pt idx="8">
                  <c:v>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6E-4CBF-AB5D-C729A2C8E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507343"/>
        <c:axId val="1972272063"/>
      </c:scatterChart>
      <c:valAx>
        <c:axId val="2142507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Vitesse du vent apparent (kts)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72272063"/>
        <c:crosses val="autoZero"/>
        <c:crossBetween val="midCat"/>
      </c:valAx>
      <c:valAx>
        <c:axId val="197227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Angle</a:t>
                </a:r>
                <a:r>
                  <a:rPr lang="fr-FR" baseline="0"/>
                  <a:t> incidence optimal (degrés)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42507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1kts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'1kts'!$A$4:$A$43</c:f>
              <c:numCache>
                <c:formatCode>General</c:formatCode>
                <c:ptCount val="4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</c:numCache>
            </c:numRef>
          </c:xVal>
          <c:yVal>
            <c:numRef>
              <c:f>'1kts'!$C$4:$C$43</c:f>
              <c:numCache>
                <c:formatCode>General</c:formatCode>
                <c:ptCount val="40"/>
                <c:pt idx="0">
                  <c:v>0</c:v>
                </c:pt>
                <c:pt idx="1">
                  <c:v>2.6599999999999999E-2</c:v>
                </c:pt>
                <c:pt idx="2">
                  <c:v>5.3999999999999999E-2</c:v>
                </c:pt>
                <c:pt idx="3">
                  <c:v>8.2299999999999998E-2</c:v>
                </c:pt>
                <c:pt idx="4">
                  <c:v>0.18090000000000001</c:v>
                </c:pt>
                <c:pt idx="5">
                  <c:v>0.2823</c:v>
                </c:pt>
                <c:pt idx="6">
                  <c:v>0.36259999999999998</c:v>
                </c:pt>
                <c:pt idx="7">
                  <c:v>0.4219</c:v>
                </c:pt>
                <c:pt idx="8">
                  <c:v>0.4652</c:v>
                </c:pt>
                <c:pt idx="9">
                  <c:v>0.50109999999999999</c:v>
                </c:pt>
                <c:pt idx="10">
                  <c:v>0.53500000000000003</c:v>
                </c:pt>
                <c:pt idx="11">
                  <c:v>0.57130000000000003</c:v>
                </c:pt>
                <c:pt idx="12">
                  <c:v>0.61319999999999997</c:v>
                </c:pt>
                <c:pt idx="13">
                  <c:v>0.65810000000000002</c:v>
                </c:pt>
                <c:pt idx="14">
                  <c:v>0.70379999999999998</c:v>
                </c:pt>
                <c:pt idx="15">
                  <c:v>0.74429999999999996</c:v>
                </c:pt>
                <c:pt idx="16">
                  <c:v>0.77539999999999998</c:v>
                </c:pt>
                <c:pt idx="17">
                  <c:v>0.79300000000000004</c:v>
                </c:pt>
                <c:pt idx="18">
                  <c:v>0.78813496932515348</c:v>
                </c:pt>
                <c:pt idx="19">
                  <c:v>0.78326993865030681</c:v>
                </c:pt>
                <c:pt idx="20">
                  <c:v>0.77840490797546014</c:v>
                </c:pt>
                <c:pt idx="21">
                  <c:v>0.77353987730061347</c:v>
                </c:pt>
                <c:pt idx="22">
                  <c:v>0.76867484662576691</c:v>
                </c:pt>
                <c:pt idx="23">
                  <c:v>0.76380981595092023</c:v>
                </c:pt>
                <c:pt idx="24">
                  <c:v>0.75894478527607367</c:v>
                </c:pt>
                <c:pt idx="25">
                  <c:v>0.754079754601227</c:v>
                </c:pt>
                <c:pt idx="26">
                  <c:v>0.74921472392638033</c:v>
                </c:pt>
                <c:pt idx="27">
                  <c:v>0.74434969325153377</c:v>
                </c:pt>
                <c:pt idx="28">
                  <c:v>0.7394846625766871</c:v>
                </c:pt>
                <c:pt idx="29">
                  <c:v>0.73461963190184054</c:v>
                </c:pt>
                <c:pt idx="30">
                  <c:v>0.72488957055214731</c:v>
                </c:pt>
                <c:pt idx="31">
                  <c:v>0.72002453987730064</c:v>
                </c:pt>
                <c:pt idx="32">
                  <c:v>0.71515950920245408</c:v>
                </c:pt>
                <c:pt idx="33">
                  <c:v>0.71029447852760741</c:v>
                </c:pt>
                <c:pt idx="34">
                  <c:v>0.70542944785276074</c:v>
                </c:pt>
                <c:pt idx="35">
                  <c:v>0.70056441717791418</c:v>
                </c:pt>
                <c:pt idx="36">
                  <c:v>0.69569938650306751</c:v>
                </c:pt>
                <c:pt idx="37">
                  <c:v>0.69083435582822095</c:v>
                </c:pt>
                <c:pt idx="38">
                  <c:v>0.68596932515337428</c:v>
                </c:pt>
                <c:pt idx="39">
                  <c:v>0.68110429447852772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CA-4FC6-B6AB-C96F1681D919}"/>
            </c:ext>
          </c:extLst>
        </c:ser>
        <c:ser>
          <c:idx val="1"/>
          <c:order val="1"/>
          <c:tx>
            <c:v>5kts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'5kts'!$A$4:$A$42</c:f>
              <c:numCache>
                <c:formatCode>General</c:formatCode>
                <c:ptCount val="3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</c:numCache>
            </c:numRef>
          </c:xVal>
          <c:yVal>
            <c:numRef>
              <c:f>'5kts'!$C$4:$C$42</c:f>
              <c:numCache>
                <c:formatCode>General</c:formatCode>
                <c:ptCount val="39"/>
                <c:pt idx="0">
                  <c:v>0</c:v>
                </c:pt>
                <c:pt idx="1">
                  <c:v>7.1599999999999997E-2</c:v>
                </c:pt>
                <c:pt idx="2">
                  <c:v>0.1391</c:v>
                </c:pt>
                <c:pt idx="3">
                  <c:v>0.20649999999999999</c:v>
                </c:pt>
                <c:pt idx="4">
                  <c:v>0.27500000000000002</c:v>
                </c:pt>
                <c:pt idx="5">
                  <c:v>0.33189999999999997</c:v>
                </c:pt>
                <c:pt idx="6">
                  <c:v>0.378</c:v>
                </c:pt>
                <c:pt idx="7">
                  <c:v>0.42380000000000001</c:v>
                </c:pt>
                <c:pt idx="8">
                  <c:v>0.46949999999999997</c:v>
                </c:pt>
                <c:pt idx="9">
                  <c:v>0.5151</c:v>
                </c:pt>
                <c:pt idx="10">
                  <c:v>0.5615</c:v>
                </c:pt>
                <c:pt idx="11">
                  <c:v>0.6079</c:v>
                </c:pt>
                <c:pt idx="12">
                  <c:v>0.65410000000000001</c:v>
                </c:pt>
                <c:pt idx="13">
                  <c:v>0.69940000000000002</c:v>
                </c:pt>
                <c:pt idx="14">
                  <c:v>0.745</c:v>
                </c:pt>
                <c:pt idx="15">
                  <c:v>0.78820000000000001</c:v>
                </c:pt>
                <c:pt idx="16">
                  <c:v>0.83169999999999999</c:v>
                </c:pt>
                <c:pt idx="17">
                  <c:v>0.87260000000000004</c:v>
                </c:pt>
                <c:pt idx="18">
                  <c:v>0.91059999999999997</c:v>
                </c:pt>
                <c:pt idx="19">
                  <c:v>0.94530000000000003</c:v>
                </c:pt>
                <c:pt idx="20">
                  <c:v>0.97260000000000002</c:v>
                </c:pt>
                <c:pt idx="21">
                  <c:v>0.98040000000000005</c:v>
                </c:pt>
                <c:pt idx="22">
                  <c:v>0.97423396226415093</c:v>
                </c:pt>
                <c:pt idx="23">
                  <c:v>0.96806792452830182</c:v>
                </c:pt>
                <c:pt idx="24">
                  <c:v>0.95573584905660391</c:v>
                </c:pt>
                <c:pt idx="25">
                  <c:v>0.9495698113207548</c:v>
                </c:pt>
                <c:pt idx="26">
                  <c:v>0.94340377358490568</c:v>
                </c:pt>
                <c:pt idx="27">
                  <c:v>0.93723773584905667</c:v>
                </c:pt>
                <c:pt idx="28">
                  <c:v>0.93107169811320756</c:v>
                </c:pt>
                <c:pt idx="29">
                  <c:v>0.92490566037735855</c:v>
                </c:pt>
                <c:pt idx="30">
                  <c:v>0.91873962264150943</c:v>
                </c:pt>
                <c:pt idx="31">
                  <c:v>0.91257358490566032</c:v>
                </c:pt>
                <c:pt idx="32">
                  <c:v>0.90640754716981131</c:v>
                </c:pt>
                <c:pt idx="33">
                  <c:v>0.90024150943396242</c:v>
                </c:pt>
                <c:pt idx="34">
                  <c:v>0.88790943396226418</c:v>
                </c:pt>
                <c:pt idx="35">
                  <c:v>0.88174339622641518</c:v>
                </c:pt>
                <c:pt idx="36">
                  <c:v>0.87557735849056606</c:v>
                </c:pt>
                <c:pt idx="37">
                  <c:v>0.86941132075471705</c:v>
                </c:pt>
                <c:pt idx="38">
                  <c:v>0.86324528301886794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CA-4FC6-B6AB-C96F1681D919}"/>
            </c:ext>
          </c:extLst>
        </c:ser>
        <c:ser>
          <c:idx val="2"/>
          <c:order val="2"/>
          <c:tx>
            <c:v>10kts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'10kts'!$A$4:$A$42</c:f>
              <c:numCache>
                <c:formatCode>General</c:formatCode>
                <c:ptCount val="3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</c:numCache>
            </c:numRef>
          </c:xVal>
          <c:yVal>
            <c:numRef>
              <c:f>'10kts'!$C$4:$C$43</c:f>
              <c:numCache>
                <c:formatCode>General</c:formatCode>
                <c:ptCount val="40"/>
                <c:pt idx="0">
                  <c:v>1E-4</c:v>
                </c:pt>
                <c:pt idx="1">
                  <c:v>5.0299999999999997E-2</c:v>
                </c:pt>
                <c:pt idx="2">
                  <c:v>0.1024</c:v>
                </c:pt>
                <c:pt idx="3">
                  <c:v>0.15890000000000001</c:v>
                </c:pt>
                <c:pt idx="4">
                  <c:v>0.21990000000000001</c:v>
                </c:pt>
                <c:pt idx="5">
                  <c:v>0.2833</c:v>
                </c:pt>
                <c:pt idx="6">
                  <c:v>0.34860000000000002</c:v>
                </c:pt>
                <c:pt idx="7">
                  <c:v>0.41539999999999999</c:v>
                </c:pt>
                <c:pt idx="8">
                  <c:v>0.47339999999999999</c:v>
                </c:pt>
                <c:pt idx="9">
                  <c:v>0.52080000000000004</c:v>
                </c:pt>
                <c:pt idx="10">
                  <c:v>0.56850000000000001</c:v>
                </c:pt>
                <c:pt idx="11">
                  <c:v>0.61599999999999999</c:v>
                </c:pt>
                <c:pt idx="12">
                  <c:v>0.66400000000000003</c:v>
                </c:pt>
                <c:pt idx="13">
                  <c:v>0.71179999999999999</c:v>
                </c:pt>
                <c:pt idx="14">
                  <c:v>0.75900000000000001</c:v>
                </c:pt>
                <c:pt idx="15">
                  <c:v>0.80659999999999998</c:v>
                </c:pt>
                <c:pt idx="16">
                  <c:v>0.85199999999999998</c:v>
                </c:pt>
                <c:pt idx="17">
                  <c:v>0.89739999999999998</c:v>
                </c:pt>
                <c:pt idx="18">
                  <c:v>0.94220000000000004</c:v>
                </c:pt>
                <c:pt idx="19">
                  <c:v>0.98299999999999998</c:v>
                </c:pt>
                <c:pt idx="20">
                  <c:v>1.0216000000000001</c:v>
                </c:pt>
                <c:pt idx="21">
                  <c:v>1.0569</c:v>
                </c:pt>
                <c:pt idx="22">
                  <c:v>1.0891999999999999</c:v>
                </c:pt>
                <c:pt idx="23">
                  <c:v>1.1133</c:v>
                </c:pt>
                <c:pt idx="24">
                  <c:v>1.1218999999999999</c:v>
                </c:pt>
                <c:pt idx="25">
                  <c:v>1.1147083333333332</c:v>
                </c:pt>
                <c:pt idx="26">
                  <c:v>1.1075166666666665</c:v>
                </c:pt>
                <c:pt idx="27">
                  <c:v>1.1003249999999998</c:v>
                </c:pt>
                <c:pt idx="28">
                  <c:v>1.0931333333333333</c:v>
                </c:pt>
                <c:pt idx="29">
                  <c:v>1.0859416666666666</c:v>
                </c:pt>
                <c:pt idx="30">
                  <c:v>1.0787499999999999</c:v>
                </c:pt>
                <c:pt idx="31">
                  <c:v>1.0715583333333332</c:v>
                </c:pt>
                <c:pt idx="32">
                  <c:v>1.0643666666666665</c:v>
                </c:pt>
                <c:pt idx="33">
                  <c:v>1.057175</c:v>
                </c:pt>
                <c:pt idx="34">
                  <c:v>1.0499833333333333</c:v>
                </c:pt>
                <c:pt idx="35">
                  <c:v>1.0427916666666666</c:v>
                </c:pt>
                <c:pt idx="36">
                  <c:v>1.0355999999999999</c:v>
                </c:pt>
                <c:pt idx="37">
                  <c:v>1.0284083333333331</c:v>
                </c:pt>
                <c:pt idx="38">
                  <c:v>1.0212166666666667</c:v>
                </c:pt>
                <c:pt idx="39">
                  <c:v>1.0068333333333332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CA-4FC6-B6AB-C96F1681D919}"/>
            </c:ext>
          </c:extLst>
        </c:ser>
        <c:ser>
          <c:idx val="3"/>
          <c:order val="3"/>
          <c:tx>
            <c:v>15kts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'15kts'!$A$4:$A$42</c:f>
              <c:numCache>
                <c:formatCode>General</c:formatCode>
                <c:ptCount val="3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</c:numCache>
            </c:numRef>
          </c:xVal>
          <c:yVal>
            <c:numRef>
              <c:f>'15kts'!$C$4:$C$42</c:f>
              <c:numCache>
                <c:formatCode>General</c:formatCode>
                <c:ptCount val="39"/>
                <c:pt idx="0">
                  <c:v>0</c:v>
                </c:pt>
                <c:pt idx="1">
                  <c:v>5.1400000000000001E-2</c:v>
                </c:pt>
                <c:pt idx="2">
                  <c:v>0.1027</c:v>
                </c:pt>
                <c:pt idx="3">
                  <c:v>0.154</c:v>
                </c:pt>
                <c:pt idx="4">
                  <c:v>0.2074</c:v>
                </c:pt>
                <c:pt idx="5">
                  <c:v>0.26540000000000002</c:v>
                </c:pt>
                <c:pt idx="6">
                  <c:v>0.3266</c:v>
                </c:pt>
                <c:pt idx="7">
                  <c:v>0.3896</c:v>
                </c:pt>
                <c:pt idx="8">
                  <c:v>0.45529999999999998</c:v>
                </c:pt>
                <c:pt idx="9">
                  <c:v>0.52149999999999996</c:v>
                </c:pt>
                <c:pt idx="10">
                  <c:v>0.57320000000000004</c:v>
                </c:pt>
                <c:pt idx="11">
                  <c:v>0.62139999999999995</c:v>
                </c:pt>
                <c:pt idx="12">
                  <c:v>0.66959999999999997</c:v>
                </c:pt>
                <c:pt idx="13">
                  <c:v>0.71779999999999999</c:v>
                </c:pt>
                <c:pt idx="14">
                  <c:v>0.76649999999999996</c:v>
                </c:pt>
                <c:pt idx="15">
                  <c:v>0.81469999999999998</c:v>
                </c:pt>
                <c:pt idx="16">
                  <c:v>0.86299999999999999</c:v>
                </c:pt>
                <c:pt idx="17">
                  <c:v>0.90990000000000004</c:v>
                </c:pt>
                <c:pt idx="18">
                  <c:v>0.95630000000000004</c:v>
                </c:pt>
                <c:pt idx="19">
                  <c:v>1.0017</c:v>
                </c:pt>
                <c:pt idx="20">
                  <c:v>1.0445</c:v>
                </c:pt>
                <c:pt idx="21">
                  <c:v>1.0851</c:v>
                </c:pt>
                <c:pt idx="22">
                  <c:v>1.1238999999999999</c:v>
                </c:pt>
                <c:pt idx="23">
                  <c:v>1.1591</c:v>
                </c:pt>
                <c:pt idx="24">
                  <c:v>1.1897</c:v>
                </c:pt>
                <c:pt idx="25">
                  <c:v>1.2118</c:v>
                </c:pt>
                <c:pt idx="26">
                  <c:v>1.2121</c:v>
                </c:pt>
                <c:pt idx="27">
                  <c:v>1.2042292207792209</c:v>
                </c:pt>
                <c:pt idx="28">
                  <c:v>1.1963584415584414</c:v>
                </c:pt>
                <c:pt idx="29">
                  <c:v>1.1884876623376623</c:v>
                </c:pt>
                <c:pt idx="30">
                  <c:v>1.1806168831168831</c:v>
                </c:pt>
                <c:pt idx="31">
                  <c:v>1.1648753246753245</c:v>
                </c:pt>
                <c:pt idx="32">
                  <c:v>1.1570045454545455</c:v>
                </c:pt>
                <c:pt idx="33">
                  <c:v>1.1491337662337662</c:v>
                </c:pt>
                <c:pt idx="34">
                  <c:v>1.1412629870129871</c:v>
                </c:pt>
                <c:pt idx="35">
                  <c:v>1.1333922077922076</c:v>
                </c:pt>
                <c:pt idx="36">
                  <c:v>1.1255214285714286</c:v>
                </c:pt>
                <c:pt idx="37">
                  <c:v>1.1176506493506493</c:v>
                </c:pt>
                <c:pt idx="38">
                  <c:v>1.10977987012987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CA-4FC6-B6AB-C96F1681D919}"/>
            </c:ext>
          </c:extLst>
        </c:ser>
        <c:ser>
          <c:idx val="4"/>
          <c:order val="4"/>
          <c:tx>
            <c:v>20kts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'20kts'!$A$4:$A$42</c:f>
              <c:numCache>
                <c:formatCode>General</c:formatCode>
                <c:ptCount val="3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</c:numCache>
            </c:numRef>
          </c:xVal>
          <c:yVal>
            <c:numRef>
              <c:f>'20kts'!$C$4:$C$42</c:f>
              <c:numCache>
                <c:formatCode>General</c:formatCode>
                <c:ptCount val="39"/>
                <c:pt idx="0">
                  <c:v>0</c:v>
                </c:pt>
                <c:pt idx="1">
                  <c:v>5.2699999999999997E-2</c:v>
                </c:pt>
                <c:pt idx="2">
                  <c:v>0.1052</c:v>
                </c:pt>
                <c:pt idx="3">
                  <c:v>0.15720000000000001</c:v>
                </c:pt>
                <c:pt idx="4">
                  <c:v>0.2089</c:v>
                </c:pt>
                <c:pt idx="5">
                  <c:v>0.26119999999999999</c:v>
                </c:pt>
                <c:pt idx="6">
                  <c:v>0.31759999999999999</c:v>
                </c:pt>
                <c:pt idx="7">
                  <c:v>0.37759999999999999</c:v>
                </c:pt>
                <c:pt idx="8">
                  <c:v>0.4405</c:v>
                </c:pt>
                <c:pt idx="9">
                  <c:v>0.50560000000000005</c:v>
                </c:pt>
                <c:pt idx="10">
                  <c:v>0.57099999999999995</c:v>
                </c:pt>
                <c:pt idx="11">
                  <c:v>0.62490000000000001</c:v>
                </c:pt>
                <c:pt idx="12">
                  <c:v>0.67320000000000002</c:v>
                </c:pt>
                <c:pt idx="13">
                  <c:v>0.72199999999999998</c:v>
                </c:pt>
                <c:pt idx="14">
                  <c:v>0.77080000000000004</c:v>
                </c:pt>
                <c:pt idx="15">
                  <c:v>0.82</c:v>
                </c:pt>
                <c:pt idx="16">
                  <c:v>0.86870000000000003</c:v>
                </c:pt>
                <c:pt idx="17">
                  <c:v>0.91739999999999999</c:v>
                </c:pt>
                <c:pt idx="18">
                  <c:v>0.96530000000000005</c:v>
                </c:pt>
                <c:pt idx="19">
                  <c:v>1.0111000000000001</c:v>
                </c:pt>
                <c:pt idx="20">
                  <c:v>1.0569</c:v>
                </c:pt>
                <c:pt idx="21">
                  <c:v>1.1015999999999999</c:v>
                </c:pt>
                <c:pt idx="22">
                  <c:v>1.1442000000000001</c:v>
                </c:pt>
                <c:pt idx="23">
                  <c:v>1.1820999999999999</c:v>
                </c:pt>
                <c:pt idx="24">
                  <c:v>1.2168000000000001</c:v>
                </c:pt>
                <c:pt idx="25">
                  <c:v>1.2467999999999999</c:v>
                </c:pt>
                <c:pt idx="26">
                  <c:v>1.2687999999999999</c:v>
                </c:pt>
                <c:pt idx="27">
                  <c:v>1.2605610389610389</c:v>
                </c:pt>
                <c:pt idx="28">
                  <c:v>1.2523220779220778</c:v>
                </c:pt>
                <c:pt idx="29">
                  <c:v>1.2440831168831168</c:v>
                </c:pt>
                <c:pt idx="30">
                  <c:v>1.2358441558441557</c:v>
                </c:pt>
                <c:pt idx="31">
                  <c:v>1.2276051948051947</c:v>
                </c:pt>
                <c:pt idx="32">
                  <c:v>1.2193662337662337</c:v>
                </c:pt>
                <c:pt idx="33">
                  <c:v>1.2028883116883118</c:v>
                </c:pt>
                <c:pt idx="34">
                  <c:v>1.1946493506493507</c:v>
                </c:pt>
                <c:pt idx="35">
                  <c:v>1.1864103896103897</c:v>
                </c:pt>
                <c:pt idx="36">
                  <c:v>1.1781714285714286</c:v>
                </c:pt>
                <c:pt idx="37">
                  <c:v>1.1699324675324676</c:v>
                </c:pt>
                <c:pt idx="38">
                  <c:v>1.1616935064935066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CA-4FC6-B6AB-C96F1681D919}"/>
            </c:ext>
          </c:extLst>
        </c:ser>
        <c:ser>
          <c:idx val="5"/>
          <c:order val="5"/>
          <c:tx>
            <c:v>25kts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'25kts'!$A$4:$A$42</c:f>
              <c:numCache>
                <c:formatCode>General</c:formatCode>
                <c:ptCount val="3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</c:numCache>
            </c:numRef>
          </c:xVal>
          <c:yVal>
            <c:numRef>
              <c:f>'25kts'!$C$4:$C$42</c:f>
              <c:numCache>
                <c:formatCode>General</c:formatCode>
                <c:ptCount val="39"/>
                <c:pt idx="0">
                  <c:v>0</c:v>
                </c:pt>
                <c:pt idx="1">
                  <c:v>5.3600000000000002E-2</c:v>
                </c:pt>
                <c:pt idx="2">
                  <c:v>0.1069</c:v>
                </c:pt>
                <c:pt idx="3">
                  <c:v>0.1598</c:v>
                </c:pt>
                <c:pt idx="4">
                  <c:v>0.21199999999999999</c:v>
                </c:pt>
                <c:pt idx="5">
                  <c:v>0.26369999999999999</c:v>
                </c:pt>
                <c:pt idx="6">
                  <c:v>0.316</c:v>
                </c:pt>
                <c:pt idx="7">
                  <c:v>0.37219999999999998</c:v>
                </c:pt>
                <c:pt idx="8">
                  <c:v>0.43359999999999999</c:v>
                </c:pt>
                <c:pt idx="9">
                  <c:v>0.49630000000000002</c:v>
                </c:pt>
                <c:pt idx="10">
                  <c:v>0.5595</c:v>
                </c:pt>
                <c:pt idx="11">
                  <c:v>0.62490000000000001</c:v>
                </c:pt>
                <c:pt idx="12">
                  <c:v>0.67630000000000001</c:v>
                </c:pt>
                <c:pt idx="13">
                  <c:v>0.72489999999999999</c:v>
                </c:pt>
                <c:pt idx="14">
                  <c:v>0.77410000000000001</c:v>
                </c:pt>
                <c:pt idx="15">
                  <c:v>0.82320000000000004</c:v>
                </c:pt>
                <c:pt idx="16">
                  <c:v>0.873</c:v>
                </c:pt>
                <c:pt idx="17">
                  <c:v>0.92220000000000002</c:v>
                </c:pt>
                <c:pt idx="18">
                  <c:v>0.97019999999999995</c:v>
                </c:pt>
                <c:pt idx="19">
                  <c:v>1.0183</c:v>
                </c:pt>
                <c:pt idx="20">
                  <c:v>1.0657000000000001</c:v>
                </c:pt>
                <c:pt idx="21">
                  <c:v>1.1113999999999999</c:v>
                </c:pt>
                <c:pt idx="22">
                  <c:v>1.1539999999999999</c:v>
                </c:pt>
                <c:pt idx="23">
                  <c:v>1.196</c:v>
                </c:pt>
                <c:pt idx="24">
                  <c:v>1.2351000000000001</c:v>
                </c:pt>
                <c:pt idx="25">
                  <c:v>1.2706999999999999</c:v>
                </c:pt>
                <c:pt idx="26">
                  <c:v>1.3018000000000001</c:v>
                </c:pt>
                <c:pt idx="27">
                  <c:v>1.3263</c:v>
                </c:pt>
                <c:pt idx="28">
                  <c:v>1.3358000000000001</c:v>
                </c:pt>
                <c:pt idx="29">
                  <c:v>1.3270118421052632</c:v>
                </c:pt>
                <c:pt idx="30">
                  <c:v>1.3182236842105264</c:v>
                </c:pt>
                <c:pt idx="31">
                  <c:v>1.3094355263157897</c:v>
                </c:pt>
                <c:pt idx="32">
                  <c:v>1.3006473684210527</c:v>
                </c:pt>
                <c:pt idx="33">
                  <c:v>1.2918592105263158</c:v>
                </c:pt>
                <c:pt idx="34">
                  <c:v>1.2654947368421054</c:v>
                </c:pt>
                <c:pt idx="35">
                  <c:v>1.2567065789473686</c:v>
                </c:pt>
                <c:pt idx="36">
                  <c:v>1.2479184210526317</c:v>
                </c:pt>
                <c:pt idx="37">
                  <c:v>1.2391302631578949</c:v>
                </c:pt>
                <c:pt idx="38">
                  <c:v>1.2303421052631578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CA-4FC6-B6AB-C96F1681D919}"/>
            </c:ext>
          </c:extLst>
        </c:ser>
        <c:ser>
          <c:idx val="6"/>
          <c:order val="6"/>
          <c:tx>
            <c:v>30kts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'30kts'!$A$4:$A$42</c:f>
              <c:numCache>
                <c:formatCode>General</c:formatCode>
                <c:ptCount val="3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</c:numCache>
            </c:numRef>
          </c:xVal>
          <c:yVal>
            <c:numRef>
              <c:f>'30kts'!$C$4:$C$42</c:f>
              <c:numCache>
                <c:formatCode>General</c:formatCode>
                <c:ptCount val="39"/>
                <c:pt idx="0">
                  <c:v>0</c:v>
                </c:pt>
                <c:pt idx="1">
                  <c:v>5.4100000000000002E-2</c:v>
                </c:pt>
                <c:pt idx="2">
                  <c:v>0.108</c:v>
                </c:pt>
                <c:pt idx="3">
                  <c:v>0.16139999999999999</c:v>
                </c:pt>
                <c:pt idx="4">
                  <c:v>0.21429999999999999</c:v>
                </c:pt>
                <c:pt idx="5">
                  <c:v>0.2666</c:v>
                </c:pt>
                <c:pt idx="6">
                  <c:v>0.31840000000000002</c:v>
                </c:pt>
                <c:pt idx="7">
                  <c:v>0.37130000000000002</c:v>
                </c:pt>
                <c:pt idx="8">
                  <c:v>0.42909999999999998</c:v>
                </c:pt>
                <c:pt idx="9">
                  <c:v>0.49049999999999999</c:v>
                </c:pt>
                <c:pt idx="10">
                  <c:v>0.5534</c:v>
                </c:pt>
                <c:pt idx="11">
                  <c:v>0.61680000000000001</c:v>
                </c:pt>
                <c:pt idx="12">
                  <c:v>0.67869999999999997</c:v>
                </c:pt>
                <c:pt idx="13">
                  <c:v>0.72750000000000004</c:v>
                </c:pt>
                <c:pt idx="14">
                  <c:v>0.77659999999999996</c:v>
                </c:pt>
                <c:pt idx="15">
                  <c:v>0.82609999999999995</c:v>
                </c:pt>
                <c:pt idx="16">
                  <c:v>0.876</c:v>
                </c:pt>
                <c:pt idx="17">
                  <c:v>0.92520000000000002</c:v>
                </c:pt>
                <c:pt idx="18">
                  <c:v>0.97460000000000002</c:v>
                </c:pt>
                <c:pt idx="19">
                  <c:v>1.0235000000000001</c:v>
                </c:pt>
                <c:pt idx="20">
                  <c:v>1.0712999999999999</c:v>
                </c:pt>
                <c:pt idx="21">
                  <c:v>1.117</c:v>
                </c:pt>
                <c:pt idx="22">
                  <c:v>1.1625000000000001</c:v>
                </c:pt>
                <c:pt idx="23">
                  <c:v>1.2061999999999999</c:v>
                </c:pt>
                <c:pt idx="24">
                  <c:v>1.2477</c:v>
                </c:pt>
                <c:pt idx="25">
                  <c:v>1.2867999999999999</c:v>
                </c:pt>
                <c:pt idx="26">
                  <c:v>1.3220000000000001</c:v>
                </c:pt>
                <c:pt idx="27">
                  <c:v>1.3507</c:v>
                </c:pt>
                <c:pt idx="28">
                  <c:v>1.3646</c:v>
                </c:pt>
                <c:pt idx="29">
                  <c:v>1.3716999999999999</c:v>
                </c:pt>
                <c:pt idx="30">
                  <c:v>1.362615894039735</c:v>
                </c:pt>
                <c:pt idx="31">
                  <c:v>1.3535317880794702</c:v>
                </c:pt>
                <c:pt idx="32">
                  <c:v>1.3444476821192053</c:v>
                </c:pt>
                <c:pt idx="33">
                  <c:v>1.3353635761589402</c:v>
                </c:pt>
                <c:pt idx="34">
                  <c:v>1.3262794701986753</c:v>
                </c:pt>
                <c:pt idx="35">
                  <c:v>1.3171953642384104</c:v>
                </c:pt>
                <c:pt idx="36">
                  <c:v>1.3081112582781458</c:v>
                </c:pt>
                <c:pt idx="37">
                  <c:v>1.2990271523178807</c:v>
                </c:pt>
                <c:pt idx="38">
                  <c:v>1.2899430463576158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CA-4FC6-B6AB-C96F1681D919}"/>
            </c:ext>
          </c:extLst>
        </c:ser>
        <c:ser>
          <c:idx val="7"/>
          <c:order val="7"/>
          <c:tx>
            <c:v>35kts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'35kts'!$A$4:$A$42</c:f>
              <c:numCache>
                <c:formatCode>General</c:formatCode>
                <c:ptCount val="3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</c:numCache>
            </c:numRef>
          </c:xVal>
          <c:yVal>
            <c:numRef>
              <c:f>'35kts'!$C$4:$C$42</c:f>
              <c:numCache>
                <c:formatCode>General</c:formatCode>
                <c:ptCount val="39"/>
                <c:pt idx="0">
                  <c:v>1E-4</c:v>
                </c:pt>
                <c:pt idx="1">
                  <c:v>5.4399999999999997E-2</c:v>
                </c:pt>
                <c:pt idx="2">
                  <c:v>0.1086</c:v>
                </c:pt>
                <c:pt idx="3">
                  <c:v>0.16250000000000001</c:v>
                </c:pt>
                <c:pt idx="4">
                  <c:v>0.21590000000000001</c:v>
                </c:pt>
                <c:pt idx="5">
                  <c:v>0.26889999999999997</c:v>
                </c:pt>
                <c:pt idx="6">
                  <c:v>0.32129999999999997</c:v>
                </c:pt>
                <c:pt idx="7">
                  <c:v>0.37330000000000002</c:v>
                </c:pt>
                <c:pt idx="8">
                  <c:v>0.42730000000000001</c:v>
                </c:pt>
                <c:pt idx="9">
                  <c:v>0.48649999999999999</c:v>
                </c:pt>
                <c:pt idx="10">
                  <c:v>0.54810000000000003</c:v>
                </c:pt>
                <c:pt idx="11">
                  <c:v>0.61040000000000005</c:v>
                </c:pt>
                <c:pt idx="12">
                  <c:v>0.72960000000000003</c:v>
                </c:pt>
                <c:pt idx="13">
                  <c:v>0.77849999999999997</c:v>
                </c:pt>
                <c:pt idx="14">
                  <c:v>0.82840000000000003</c:v>
                </c:pt>
                <c:pt idx="15">
                  <c:v>0.87829999999999997</c:v>
                </c:pt>
                <c:pt idx="16">
                  <c:v>0.92800000000000005</c:v>
                </c:pt>
                <c:pt idx="17">
                  <c:v>0.97789999999999999</c:v>
                </c:pt>
                <c:pt idx="18">
                  <c:v>1.0270999999999999</c:v>
                </c:pt>
                <c:pt idx="19">
                  <c:v>1.0748</c:v>
                </c:pt>
                <c:pt idx="20">
                  <c:v>1.1224000000000001</c:v>
                </c:pt>
                <c:pt idx="21">
                  <c:v>1.1687000000000001</c:v>
                </c:pt>
                <c:pt idx="22">
                  <c:v>1.2137</c:v>
                </c:pt>
                <c:pt idx="23">
                  <c:v>1.2567999999999999</c:v>
                </c:pt>
                <c:pt idx="24">
                  <c:v>1.2972999999999999</c:v>
                </c:pt>
                <c:pt idx="25">
                  <c:v>1.3329</c:v>
                </c:pt>
                <c:pt idx="26">
                  <c:v>1.3643000000000001</c:v>
                </c:pt>
                <c:pt idx="27">
                  <c:v>1.3925000000000001</c:v>
                </c:pt>
                <c:pt idx="28">
                  <c:v>1.4076</c:v>
                </c:pt>
                <c:pt idx="29">
                  <c:v>1.4118999999999999</c:v>
                </c:pt>
                <c:pt idx="30">
                  <c:v>1.4024873333333332</c:v>
                </c:pt>
                <c:pt idx="31">
                  <c:v>1.3930746666666667</c:v>
                </c:pt>
                <c:pt idx="32">
                  <c:v>1.3836619999999999</c:v>
                </c:pt>
                <c:pt idx="33">
                  <c:v>1.3742493333333332</c:v>
                </c:pt>
                <c:pt idx="34">
                  <c:v>1.3648366666666665</c:v>
                </c:pt>
                <c:pt idx="35">
                  <c:v>1.355424</c:v>
                </c:pt>
                <c:pt idx="36">
                  <c:v>1.3460113333333332</c:v>
                </c:pt>
                <c:pt idx="37">
                  <c:v>1.3365986666666667</c:v>
                </c:pt>
                <c:pt idx="38">
                  <c:v>1.327186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CA-4FC6-B6AB-C96F1681D919}"/>
            </c:ext>
          </c:extLst>
        </c:ser>
        <c:ser>
          <c:idx val="8"/>
          <c:order val="8"/>
          <c:tx>
            <c:v>40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'40kts'!$A$4:$A$42</c:f>
              <c:numCache>
                <c:formatCode>General</c:formatCode>
                <c:ptCount val="3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19</c:v>
                </c:pt>
                <c:pt idx="38">
                  <c:v>19.5</c:v>
                </c:pt>
              </c:numCache>
            </c:numRef>
          </c:xVal>
          <c:yVal>
            <c:numRef>
              <c:f>'40kts'!$C$4:$C$42</c:f>
              <c:numCache>
                <c:formatCode>General</c:formatCode>
                <c:ptCount val="39"/>
                <c:pt idx="0">
                  <c:v>1E-4</c:v>
                </c:pt>
                <c:pt idx="1">
                  <c:v>5.4600000000000003E-2</c:v>
                </c:pt>
                <c:pt idx="2">
                  <c:v>0.1091</c:v>
                </c:pt>
                <c:pt idx="3">
                  <c:v>0.1633</c:v>
                </c:pt>
                <c:pt idx="4">
                  <c:v>0.2172</c:v>
                </c:pt>
                <c:pt idx="5">
                  <c:v>0.27060000000000001</c:v>
                </c:pt>
                <c:pt idx="6">
                  <c:v>0.32350000000000001</c:v>
                </c:pt>
                <c:pt idx="7">
                  <c:v>0.376</c:v>
                </c:pt>
                <c:pt idx="8">
                  <c:v>0.42849999999999999</c:v>
                </c:pt>
                <c:pt idx="9">
                  <c:v>0.4844</c:v>
                </c:pt>
                <c:pt idx="10">
                  <c:v>0.54479999999999995</c:v>
                </c:pt>
                <c:pt idx="11">
                  <c:v>0.60719999999999996</c:v>
                </c:pt>
                <c:pt idx="12">
                  <c:v>0.66959999999999997</c:v>
                </c:pt>
                <c:pt idx="13">
                  <c:v>0.73140000000000005</c:v>
                </c:pt>
                <c:pt idx="14">
                  <c:v>0.78039999999999998</c:v>
                </c:pt>
                <c:pt idx="15">
                  <c:v>0.83020000000000005</c:v>
                </c:pt>
                <c:pt idx="16">
                  <c:v>0.88</c:v>
                </c:pt>
                <c:pt idx="17">
                  <c:v>0.93030000000000002</c:v>
                </c:pt>
                <c:pt idx="18">
                  <c:v>0.98040000000000005</c:v>
                </c:pt>
                <c:pt idx="19">
                  <c:v>1.0298</c:v>
                </c:pt>
                <c:pt idx="20">
                  <c:v>1.0784</c:v>
                </c:pt>
                <c:pt idx="21">
                  <c:v>1.1265000000000001</c:v>
                </c:pt>
                <c:pt idx="22">
                  <c:v>1.1736</c:v>
                </c:pt>
                <c:pt idx="23">
                  <c:v>1.2193000000000001</c:v>
                </c:pt>
                <c:pt idx="24">
                  <c:v>1.2633000000000001</c:v>
                </c:pt>
                <c:pt idx="25">
                  <c:v>1.3038000000000001</c:v>
                </c:pt>
                <c:pt idx="26">
                  <c:v>1.3418000000000001</c:v>
                </c:pt>
                <c:pt idx="27">
                  <c:v>1.3779999999999999</c:v>
                </c:pt>
                <c:pt idx="28">
                  <c:v>1.4097</c:v>
                </c:pt>
                <c:pt idx="29">
                  <c:v>1.4332</c:v>
                </c:pt>
                <c:pt idx="30">
                  <c:v>1.4424999999999999</c:v>
                </c:pt>
                <c:pt idx="31">
                  <c:v>1.444</c:v>
                </c:pt>
                <c:pt idx="32">
                  <c:v>1.4343087248322146</c:v>
                </c:pt>
                <c:pt idx="33">
                  <c:v>1.4246174496644295</c:v>
                </c:pt>
                <c:pt idx="34">
                  <c:v>1.4149261744966442</c:v>
                </c:pt>
                <c:pt idx="35">
                  <c:v>1.405234899328859</c:v>
                </c:pt>
                <c:pt idx="36">
                  <c:v>1.3955436241610737</c:v>
                </c:pt>
                <c:pt idx="37">
                  <c:v>1.3761610738255035</c:v>
                </c:pt>
                <c:pt idx="38">
                  <c:v>1.3664697986577181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CA-4FC6-B6AB-C96F1681D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451760"/>
        <c:axId val="1764838624"/>
      </c:scatterChart>
      <c:valAx>
        <c:axId val="177045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838624"/>
        <c:crosses val="autoZero"/>
        <c:crossBetween val="midCat"/>
      </c:valAx>
      <c:valAx>
        <c:axId val="176483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70451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169545</xdr:colOff>
      <xdr:row>9</xdr:row>
      <xdr:rowOff>168592</xdr:rowOff>
    </xdr:from>
    <xdr:to>
      <xdr:col>18</xdr:col>
      <xdr:colOff>0</xdr:colOff>
      <xdr:row>25</xdr:row>
      <xdr:rowOff>8572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4585FBBC-3C38-4C1C-A8C2-0AF5E2ACCF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18</xdr:col>
      <xdr:colOff>615315</xdr:colOff>
      <xdr:row>43</xdr:row>
      <xdr:rowOff>40005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68C8397-54AB-475F-86D1-4E1781E96D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375163</xdr:colOff>
      <xdr:row>12</xdr:row>
      <xdr:rowOff>104006</xdr:rowOff>
    </xdr:from>
    <xdr:to>
      <xdr:col>19</xdr:col>
      <xdr:colOff>73200</xdr:colOff>
      <xdr:row>27</xdr:row>
      <xdr:rowOff>113206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5B2FDC2-1A0E-42A3-8C12-FB71C14D70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344521</xdr:colOff>
      <xdr:row>28</xdr:row>
      <xdr:rowOff>141862</xdr:rowOff>
    </xdr:from>
    <xdr:to>
      <xdr:col>19</xdr:col>
      <xdr:colOff>56501</xdr:colOff>
      <xdr:row>43</xdr:row>
      <xdr:rowOff>164397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E06F676-A49E-4AB0-A435-CAD07CF6C8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129540</xdr:colOff>
      <xdr:row>29</xdr:row>
      <xdr:rowOff>149542</xdr:rowOff>
    </xdr:from>
    <xdr:to>
      <xdr:col>17</xdr:col>
      <xdr:colOff>752475</xdr:colOff>
      <xdr:row>44</xdr:row>
      <xdr:rowOff>174307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0E2F740-98A7-4551-BA87-7DE05217B1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539115</xdr:colOff>
      <xdr:row>49</xdr:row>
      <xdr:rowOff>63817</xdr:rowOff>
    </xdr:from>
    <xdr:to>
      <xdr:col>18</xdr:col>
      <xdr:colOff>371475</xdr:colOff>
      <xdr:row>64</xdr:row>
      <xdr:rowOff>88582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531A6C2F-9C3C-42D2-AC03-802B25B12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243840</xdr:colOff>
      <xdr:row>10</xdr:row>
      <xdr:rowOff>168592</xdr:rowOff>
    </xdr:from>
    <xdr:to>
      <xdr:col>18</xdr:col>
      <xdr:colOff>76200</xdr:colOff>
      <xdr:row>26</xdr:row>
      <xdr:rowOff>12382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305E85D-7C69-4A56-A510-83175FD1A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771525</xdr:colOff>
      <xdr:row>28</xdr:row>
      <xdr:rowOff>171450</xdr:rowOff>
    </xdr:from>
    <xdr:to>
      <xdr:col>18</xdr:col>
      <xdr:colOff>601980</xdr:colOff>
      <xdr:row>44</xdr:row>
      <xdr:rowOff>30480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5BDF9A36-ACDF-4509-B483-3E9E51B44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697230</xdr:colOff>
      <xdr:row>4</xdr:row>
      <xdr:rowOff>35242</xdr:rowOff>
    </xdr:from>
    <xdr:to>
      <xdr:col>19</xdr:col>
      <xdr:colOff>535305</xdr:colOff>
      <xdr:row>19</xdr:row>
      <xdr:rowOff>56197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2BACD90-9BE3-43E7-B7E3-F662D58A79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491490</xdr:colOff>
      <xdr:row>10</xdr:row>
      <xdr:rowOff>10477</xdr:rowOff>
    </xdr:from>
    <xdr:to>
      <xdr:col>18</xdr:col>
      <xdr:colOff>323850</xdr:colOff>
      <xdr:row>25</xdr:row>
      <xdr:rowOff>46672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00DA2B8-95B9-4978-A935-6360DBAF45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26</xdr:row>
      <xdr:rowOff>104775</xdr:rowOff>
    </xdr:from>
    <xdr:to>
      <xdr:col>18</xdr:col>
      <xdr:colOff>116205</xdr:colOff>
      <xdr:row>41</xdr:row>
      <xdr:rowOff>140970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F71803-9115-438C-9EE1-498A08BEF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300990</xdr:colOff>
      <xdr:row>10</xdr:row>
      <xdr:rowOff>159067</xdr:rowOff>
    </xdr:from>
    <xdr:to>
      <xdr:col>18</xdr:col>
      <xdr:colOff>133350</xdr:colOff>
      <xdr:row>26</xdr:row>
      <xdr:rowOff>2857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CB6929F-097F-490A-A111-57C8314B9E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219075</xdr:colOff>
      <xdr:row>26</xdr:row>
      <xdr:rowOff>133350</xdr:rowOff>
    </xdr:from>
    <xdr:to>
      <xdr:col>18</xdr:col>
      <xdr:colOff>40005</xdr:colOff>
      <xdr:row>41</xdr:row>
      <xdr:rowOff>169545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393442E-F15F-4FD7-803B-4B301332C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62865</xdr:colOff>
      <xdr:row>10</xdr:row>
      <xdr:rowOff>16192</xdr:rowOff>
    </xdr:from>
    <xdr:to>
      <xdr:col>18</xdr:col>
      <xdr:colOff>685800</xdr:colOff>
      <xdr:row>25</xdr:row>
      <xdr:rowOff>40957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8D4F4B7-CC2F-4E94-887F-D8B1B4043B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18</xdr:col>
      <xdr:colOff>611505</xdr:colOff>
      <xdr:row>42</xdr:row>
      <xdr:rowOff>36195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8BBC6C6-D595-40D7-9103-2EEF399A6F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605790</xdr:colOff>
      <xdr:row>9</xdr:row>
      <xdr:rowOff>130492</xdr:rowOff>
    </xdr:from>
    <xdr:to>
      <xdr:col>18</xdr:col>
      <xdr:colOff>438150</xdr:colOff>
      <xdr:row>24</xdr:row>
      <xdr:rowOff>155257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CB226ED-2DB5-4C60-9FDF-0EE70EBFD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714375</xdr:colOff>
      <xdr:row>25</xdr:row>
      <xdr:rowOff>95250</xdr:rowOff>
    </xdr:from>
    <xdr:to>
      <xdr:col>18</xdr:col>
      <xdr:colOff>535305</xdr:colOff>
      <xdr:row>40</xdr:row>
      <xdr:rowOff>131445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8A611B7-8C36-400B-A400-69413F75AB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400049</xdr:colOff>
      <xdr:row>1</xdr:row>
      <xdr:rowOff>42862</xdr:rowOff>
    </xdr:from>
    <xdr:to>
      <xdr:col>16</xdr:col>
      <xdr:colOff>66674</xdr:colOff>
      <xdr:row>19</xdr:row>
      <xdr:rowOff>76200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8A01491-B87F-48F6-9AB5-0CA8849B7F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90486</xdr:colOff>
      <xdr:row>21</xdr:row>
      <xdr:rowOff>119062</xdr:rowOff>
    </xdr:from>
    <xdr:to>
      <xdr:col>13</xdr:col>
      <xdr:colOff>57149</xdr:colOff>
      <xdr:row>43</xdr:row>
      <xdr:rowOff>133350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8422D0B5-DCAB-420C-B295-29017DEA7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D5F04-A368-4541-8601-87D78A99E6ED}">
  <dimension ref="A1:O78"/>
  <sheetViews>
    <sheetView topLeftCell="A8" workbookViewId="0">
      <selection activeCell="M42" sqref="M42"/>
    </sheetView>
  </sheetViews>
  <sheetFormatPr baseColWidth="10" defaultRowHeight="15" x14ac:dyDescent="0.25"/>
  <cols>
    <col min="9" max="9" width="15.140625" customWidth="1"/>
    <col min="10" max="10" width="11.42578125" customWidth="1"/>
    <col min="11" max="11" width="17.5703125" customWidth="1"/>
    <col min="12" max="12" width="16.42578125" customWidth="1"/>
  </cols>
  <sheetData>
    <row r="1" spans="1:15" x14ac:dyDescent="0.25">
      <c r="A1">
        <v>1</v>
      </c>
      <c r="C1">
        <f>ROUND(((A1*0.514)/15.6)*1000000,0)</f>
        <v>32949</v>
      </c>
      <c r="N1" t="s">
        <v>28</v>
      </c>
      <c r="O1" t="s">
        <v>29</v>
      </c>
    </row>
    <row r="2" spans="1:1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22</v>
      </c>
      <c r="J2" t="s">
        <v>23</v>
      </c>
      <c r="K2" t="s">
        <v>25</v>
      </c>
      <c r="L2" t="s">
        <v>24</v>
      </c>
      <c r="N2">
        <f>INDEX(A4:A30,MATCH(MAX(F4:F30),F4:F30,0))</f>
        <v>8.5</v>
      </c>
      <c r="O2">
        <f>(D21-D20)/(A21-A20)</f>
        <v>1.4880000000000004E-2</v>
      </c>
    </row>
    <row r="3" spans="1:15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5" x14ac:dyDescent="0.25">
      <c r="A4">
        <v>0</v>
      </c>
      <c r="B4">
        <f>RADIANS(A4)</f>
        <v>0</v>
      </c>
      <c r="C4">
        <v>0</v>
      </c>
      <c r="D4">
        <v>1.967E-2</v>
      </c>
      <c r="E4">
        <v>0</v>
      </c>
      <c r="F4">
        <f>C4*'Données géométriques'!$B$6/(2+('Données géométriques'!$B$6^2+4)^0.5)</f>
        <v>0</v>
      </c>
      <c r="G4">
        <f>F4^2/(PI()*'Données géométriques'!$B$6)</f>
        <v>0</v>
      </c>
      <c r="H4">
        <f>G4+D4</f>
        <v>1.967E-2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ZCP_3D('Données géométriques'!$B$9,'Données géométriques'!$B$10,'Données géométriques'!$B$12)+0.23</f>
        <v>1.1514536950961625</v>
      </c>
      <c r="L4">
        <f xml:space="preserve"> -(J4+0.26)</f>
        <v>-0.21661959277092063</v>
      </c>
    </row>
    <row r="5" spans="1:15" x14ac:dyDescent="0.25">
      <c r="A5">
        <v>0.5</v>
      </c>
      <c r="B5">
        <f t="shared" ref="B5:B68" si="0">RADIANS(A5)</f>
        <v>8.7266462599716477E-3</v>
      </c>
      <c r="C5">
        <v>2.6599999999999999E-2</v>
      </c>
      <c r="D5">
        <v>1.976E-2</v>
      </c>
      <c r="E5">
        <v>4.0000000000000001E-3</v>
      </c>
      <c r="F5">
        <f>C5*'Données géométriques'!$B$6/(2+('Données géométriques'!$B$6^2+4)^0.5)</f>
        <v>1.4744460282908621E-2</v>
      </c>
      <c r="G5">
        <f>F5^2/(PI()*'Données géométriques'!$B$6)</f>
        <v>2.162101290671177E-5</v>
      </c>
      <c r="H5">
        <f t="shared" ref="H5:H40" si="1">G5+D5</f>
        <v>1.9781621012906713E-2</v>
      </c>
      <c r="I5">
        <f>0.25-E5/(C5*COS(B5)+D5*SIN(B5))</f>
        <v>0.10058695139039522</v>
      </c>
      <c r="J5">
        <f>XCP_3D('Données géométriques'!$B$9,'Données géométriques'!$B$10,'Données géométriques'!$B$12,'Données géométriques'!$B$11,I5)</f>
        <v>-0.11744262505825466</v>
      </c>
      <c r="K5">
        <f>ZCP_3D('Données géométriques'!$B$9,'Données géométriques'!$B$10,'Données géométriques'!$B$12)+0.23</f>
        <v>1.1514536950961625</v>
      </c>
      <c r="L5">
        <f t="shared" ref="L5:L68" si="2" xml:space="preserve"> -(J5+0.26)</f>
        <v>-0.14255737494174536</v>
      </c>
    </row>
    <row r="6" spans="1:15" x14ac:dyDescent="0.25">
      <c r="A6">
        <v>1</v>
      </c>
      <c r="B6">
        <f t="shared" si="0"/>
        <v>1.7453292519943295E-2</v>
      </c>
      <c r="C6">
        <v>5.3999999999999999E-2</v>
      </c>
      <c r="D6">
        <v>2.0049999999999998E-2</v>
      </c>
      <c r="E6">
        <v>7.7000000000000002E-3</v>
      </c>
      <c r="F6">
        <f>C6*'Données géométriques'!$B$6/(2+('Données géométriques'!$B$6^2+4)^0.5)</f>
        <v>2.9932362980340809E-2</v>
      </c>
      <c r="G6">
        <f>F6^2/(PI()*'Données géométriques'!$B$6)</f>
        <v>8.9104632308173885E-5</v>
      </c>
      <c r="H6">
        <f t="shared" si="1"/>
        <v>2.0139104632308173E-2</v>
      </c>
      <c r="I6">
        <f t="shared" ref="I6:I21" si="3">0.25-E6/(C6*COS(B6)+D6*SIN(B6))</f>
        <v>0.10830401834972889</v>
      </c>
      <c r="J6">
        <f>XCP_3D('Données géométriques'!$B$9,'Données géométriques'!$B$10,'Données géométriques'!$B$12,'Données géométriques'!$B$11,I6)</f>
        <v>-0.12312470495275513</v>
      </c>
      <c r="K6">
        <f t="shared" ref="K6:K21" si="4">$K$4</f>
        <v>1.1514536950961625</v>
      </c>
      <c r="L6">
        <f t="shared" si="2"/>
        <v>-0.13687529504724488</v>
      </c>
    </row>
    <row r="7" spans="1:15" x14ac:dyDescent="0.25">
      <c r="A7">
        <v>1.5</v>
      </c>
      <c r="B7">
        <f t="shared" si="0"/>
        <v>2.6179938779914945E-2</v>
      </c>
      <c r="C7">
        <v>8.2299999999999998E-2</v>
      </c>
      <c r="D7">
        <v>2.0559999999999998E-2</v>
      </c>
      <c r="E7">
        <v>1.0699999999999999E-2</v>
      </c>
      <c r="F7">
        <f>C7*'Données géométriques'!$B$6/(2+('Données géométriques'!$B$6^2+4)^0.5)</f>
        <v>4.561913839411201E-2</v>
      </c>
      <c r="G7">
        <f>F7^2/(PI()*'Données géométriques'!$B$6)</f>
        <v>2.069723988225758E-4</v>
      </c>
      <c r="H7">
        <f t="shared" si="1"/>
        <v>2.0766972398822574E-2</v>
      </c>
      <c r="I7">
        <f t="shared" si="3"/>
        <v>0.1207885457140645</v>
      </c>
      <c r="J7">
        <f>XCP_3D('Données géométriques'!$B$9,'Données géométriques'!$B$10,'Données géométriques'!$B$12,'Données géométriques'!$B$11,I7)</f>
        <v>-0.13231706810096386</v>
      </c>
      <c r="K7">
        <f t="shared" si="4"/>
        <v>1.1514536950961625</v>
      </c>
      <c r="L7">
        <f t="shared" si="2"/>
        <v>-0.12768293189903615</v>
      </c>
    </row>
    <row r="8" spans="1:15" x14ac:dyDescent="0.25">
      <c r="A8">
        <v>2</v>
      </c>
      <c r="B8">
        <f t="shared" si="0"/>
        <v>3.4906585039886591E-2</v>
      </c>
      <c r="C8">
        <v>0.18090000000000001</v>
      </c>
      <c r="D8">
        <v>2.129E-2</v>
      </c>
      <c r="E8">
        <v>5.9999999999999995E-4</v>
      </c>
      <c r="F8">
        <f>C8*'Données géométriques'!$B$6/(2+('Données géométriques'!$B$6^2+4)^0.5)</f>
        <v>0.10027341598414172</v>
      </c>
      <c r="G8">
        <f>F8^2/(PI()*'Données géométriques'!$B$6)</f>
        <v>9.9997673607848166E-4</v>
      </c>
      <c r="H8">
        <f t="shared" si="1"/>
        <v>2.2289976736078482E-2</v>
      </c>
      <c r="I8">
        <f t="shared" si="3"/>
        <v>0.24669481237551519</v>
      </c>
      <c r="J8">
        <f>XCP_3D('Données géométriques'!$B$9,'Données géométriques'!$B$10,'Données géométriques'!$B$12,'Données géométriques'!$B$11,I8)</f>
        <v>-0.22502190922242221</v>
      </c>
      <c r="K8">
        <f t="shared" si="4"/>
        <v>1.1514536950961625</v>
      </c>
      <c r="L8">
        <f t="shared" si="2"/>
        <v>-3.4978090777577797E-2</v>
      </c>
    </row>
    <row r="9" spans="1:15" x14ac:dyDescent="0.25">
      <c r="A9">
        <v>2.5</v>
      </c>
      <c r="B9">
        <f t="shared" si="0"/>
        <v>4.3633231299858237E-2</v>
      </c>
      <c r="C9">
        <v>0.2823</v>
      </c>
      <c r="D9">
        <v>2.1659999999999999E-2</v>
      </c>
      <c r="E9">
        <v>-8.2000000000000007E-3</v>
      </c>
      <c r="F9">
        <f>C9*'Données géométriques'!$B$6/(2+('Données géométriques'!$B$6^2+4)^0.5)</f>
        <v>0.15647974202500392</v>
      </c>
      <c r="G9">
        <f>F9^2/(PI()*'Données géométriques'!$B$6)</f>
        <v>2.4351993494096959E-3</v>
      </c>
      <c r="H9">
        <f t="shared" si="1"/>
        <v>2.4095199349409693E-2</v>
      </c>
      <c r="I9">
        <f t="shared" si="3"/>
        <v>0.27897771134238591</v>
      </c>
      <c r="J9">
        <f>XCP_3D('Données géométriques'!$B$9,'Données géométriques'!$B$10,'Données géométriques'!$B$12,'Données géométriques'!$B$11,I9)</f>
        <v>-0.2487918223412913</v>
      </c>
      <c r="K9">
        <f t="shared" si="4"/>
        <v>1.1514536950961625</v>
      </c>
      <c r="L9">
        <f t="shared" si="2"/>
        <v>-1.1208177658708712E-2</v>
      </c>
    </row>
    <row r="10" spans="1:15" x14ac:dyDescent="0.25">
      <c r="A10">
        <v>3</v>
      </c>
      <c r="B10">
        <f t="shared" si="0"/>
        <v>5.235987755982989E-2</v>
      </c>
      <c r="C10">
        <v>0.36259999999999998</v>
      </c>
      <c r="D10">
        <v>2.179E-2</v>
      </c>
      <c r="E10">
        <v>-1.0999999999999999E-2</v>
      </c>
      <c r="F10">
        <f>C10*'Données géométriques'!$B$6/(2+('Données géométriques'!$B$6^2+4)^0.5)</f>
        <v>0.20099027438280698</v>
      </c>
      <c r="G10">
        <f>F10^2/(PI()*'Données géométriques'!$B$6)</f>
        <v>4.0176154204851298E-3</v>
      </c>
      <c r="H10">
        <f t="shared" si="1"/>
        <v>2.5807615420485132E-2</v>
      </c>
      <c r="I10">
        <f t="shared" si="3"/>
        <v>0.28028271920869913</v>
      </c>
      <c r="J10">
        <f>XCP_3D('Données géométriques'!$B$9,'Données géométriques'!$B$10,'Données géométriques'!$B$12,'Données géométriques'!$B$11,I10)</f>
        <v>-0.24975270022383597</v>
      </c>
      <c r="K10">
        <f t="shared" si="4"/>
        <v>1.1514536950961625</v>
      </c>
      <c r="L10">
        <f t="shared" si="2"/>
        <v>-1.0247299776164037E-2</v>
      </c>
    </row>
    <row r="11" spans="1:15" x14ac:dyDescent="0.25">
      <c r="A11">
        <v>3.5</v>
      </c>
      <c r="B11">
        <f t="shared" si="0"/>
        <v>6.1086523819801536E-2</v>
      </c>
      <c r="C11">
        <v>0.4219</v>
      </c>
      <c r="D11">
        <v>2.1999999999999999E-2</v>
      </c>
      <c r="E11">
        <v>-8.6999999999999994E-3</v>
      </c>
      <c r="F11">
        <f>C11*'Données géométriques'!$B$6/(2+('Données géométriques'!$B$6^2+4)^0.5)</f>
        <v>0.23386044335936643</v>
      </c>
      <c r="G11">
        <f>F11^2/(PI()*'Données géométriques'!$B$6)</f>
        <v>5.4391597393855795E-3</v>
      </c>
      <c r="H11">
        <f t="shared" si="1"/>
        <v>2.7439159739385578E-2</v>
      </c>
      <c r="I11">
        <f t="shared" si="3"/>
        <v>0.27059385387065843</v>
      </c>
      <c r="J11">
        <f>XCP_3D('Données géométriques'!$B$9,'Données géométriques'!$B$10,'Données géométriques'!$B$12,'Données géométriques'!$B$11,I11)</f>
        <v>-0.24261878429076045</v>
      </c>
      <c r="K11">
        <f t="shared" si="4"/>
        <v>1.1514536950961625</v>
      </c>
      <c r="L11">
        <f t="shared" si="2"/>
        <v>-1.7381215709239561E-2</v>
      </c>
    </row>
    <row r="12" spans="1:15" x14ac:dyDescent="0.25">
      <c r="A12">
        <v>4</v>
      </c>
      <c r="B12">
        <f t="shared" si="0"/>
        <v>6.9813170079773182E-2</v>
      </c>
      <c r="C12">
        <v>0.4652</v>
      </c>
      <c r="D12">
        <v>2.264E-2</v>
      </c>
      <c r="E12">
        <v>-3.3999999999999998E-3</v>
      </c>
      <c r="F12">
        <f>C12*'Données géométriques'!$B$6/(2+('Données géométriques'!$B$6^2+4)^0.5)</f>
        <v>0.25786176404545458</v>
      </c>
      <c r="G12">
        <f>F12^2/(PI()*'Données géométriques'!$B$6)</f>
        <v>6.612903342465541E-3</v>
      </c>
      <c r="H12">
        <f t="shared" si="1"/>
        <v>2.9252903342465542E-2</v>
      </c>
      <c r="I12">
        <f t="shared" si="3"/>
        <v>0.25730168281443794</v>
      </c>
      <c r="J12">
        <f>XCP_3D('Données géométriques'!$B$9,'Données géométriques'!$B$10,'Données géométriques'!$B$12,'Données géométriques'!$B$11,I12)</f>
        <v>-0.23283175272671836</v>
      </c>
      <c r="K12">
        <f t="shared" si="4"/>
        <v>1.1514536950961625</v>
      </c>
      <c r="L12">
        <f t="shared" si="2"/>
        <v>-2.7168247273281654E-2</v>
      </c>
    </row>
    <row r="13" spans="1:15" x14ac:dyDescent="0.25">
      <c r="A13">
        <v>4.5</v>
      </c>
      <c r="B13">
        <f t="shared" si="0"/>
        <v>7.8539816339744828E-2</v>
      </c>
      <c r="C13">
        <v>0.50109999999999999</v>
      </c>
      <c r="D13">
        <v>2.393E-2</v>
      </c>
      <c r="E13">
        <v>2E-3</v>
      </c>
      <c r="F13">
        <f>C13*'Données géométriques'!$B$6/(2+('Données géométriques'!$B$6^2+4)^0.5)</f>
        <v>0.27776124239719963</v>
      </c>
      <c r="G13">
        <f>F13^2/(PI()*'Données géométriques'!$B$6)</f>
        <v>7.6729358673482701E-3</v>
      </c>
      <c r="H13">
        <f t="shared" si="1"/>
        <v>3.1602935867348268E-2</v>
      </c>
      <c r="I13">
        <f t="shared" si="3"/>
        <v>0.24601142966386286</v>
      </c>
      <c r="J13">
        <f>XCP_3D('Données géométriques'!$B$9,'Données géométriques'!$B$10,'Données géométriques'!$B$12,'Données géométriques'!$B$11,I13)</f>
        <v>-0.2245187342225691</v>
      </c>
      <c r="K13">
        <f t="shared" si="4"/>
        <v>1.1514536950961625</v>
      </c>
      <c r="L13">
        <f t="shared" si="2"/>
        <v>-3.5481265777430909E-2</v>
      </c>
    </row>
    <row r="14" spans="1:15" x14ac:dyDescent="0.25">
      <c r="A14">
        <v>5</v>
      </c>
      <c r="B14">
        <f t="shared" si="0"/>
        <v>8.7266462599716474E-2</v>
      </c>
      <c r="C14">
        <v>0.53500000000000003</v>
      </c>
      <c r="D14">
        <v>2.606E-2</v>
      </c>
      <c r="E14">
        <v>5.8999999999999999E-3</v>
      </c>
      <c r="F14">
        <f>C14*'Données géométriques'!$B$6/(2+('Données géométriques'!$B$6^2+4)^0.5)</f>
        <v>0.29655211471263582</v>
      </c>
      <c r="G14">
        <f>F14^2/(PI()*'Données géométriques'!$B$6)</f>
        <v>8.7462185810723847E-3</v>
      </c>
      <c r="H14">
        <f t="shared" si="1"/>
        <v>3.4806218581072385E-2</v>
      </c>
      <c r="I14">
        <f t="shared" si="3"/>
        <v>0.23897681368695517</v>
      </c>
      <c r="J14">
        <f>XCP_3D('Données géométriques'!$B$9,'Données géométriques'!$B$10,'Données géométriques'!$B$12,'Données géométriques'!$B$11,I14)</f>
        <v>-0.21933914329527054</v>
      </c>
      <c r="K14">
        <f t="shared" si="4"/>
        <v>1.1514536950961625</v>
      </c>
      <c r="L14">
        <f t="shared" si="2"/>
        <v>-4.0660856704729464E-2</v>
      </c>
    </row>
    <row r="15" spans="1:15" x14ac:dyDescent="0.25">
      <c r="A15">
        <v>5.5</v>
      </c>
      <c r="B15">
        <f t="shared" si="0"/>
        <v>9.599310885968812E-2</v>
      </c>
      <c r="C15">
        <v>0.57130000000000003</v>
      </c>
      <c r="D15">
        <v>2.887E-2</v>
      </c>
      <c r="E15">
        <v>8.3999999999999995E-3</v>
      </c>
      <c r="F15">
        <f>C15*'Données géométriques'!$B$6/(2+('Données géométriques'!$B$6^2+4)^0.5)</f>
        <v>0.31667331427164269</v>
      </c>
      <c r="G15">
        <f>F15^2/(PI()*'Données géométriques'!$B$6)</f>
        <v>9.9733534598199641E-3</v>
      </c>
      <c r="H15">
        <f t="shared" si="1"/>
        <v>3.8843353459819964E-2</v>
      </c>
      <c r="I15">
        <f t="shared" si="3"/>
        <v>0.23530021463530351</v>
      </c>
      <c r="J15">
        <f>XCP_3D('Données géométriques'!$B$9,'Données géométriques'!$B$10,'Données géométriques'!$B$12,'Données géométriques'!$B$11,I15)</f>
        <v>-0.2166320617497014</v>
      </c>
      <c r="K15">
        <f t="shared" si="4"/>
        <v>1.1514536950961625</v>
      </c>
      <c r="L15">
        <f t="shared" si="2"/>
        <v>-4.336793825029861E-2</v>
      </c>
    </row>
    <row r="16" spans="1:15" x14ac:dyDescent="0.25">
      <c r="A16">
        <v>6</v>
      </c>
      <c r="B16">
        <f t="shared" si="0"/>
        <v>0.10471975511965978</v>
      </c>
      <c r="C16">
        <v>0.61319999999999997</v>
      </c>
      <c r="D16">
        <v>3.1960000000000002E-2</v>
      </c>
      <c r="E16">
        <v>1.01E-2</v>
      </c>
      <c r="F16">
        <f>C16*'Données géométriques'!$B$6/(2+('Données géométriques'!$B$6^2+4)^0.5)</f>
        <v>0.33989861073231453</v>
      </c>
      <c r="G16">
        <f>F16^2/(PI()*'Données géométriques'!$B$6)</f>
        <v>1.1489921329848234E-2</v>
      </c>
      <c r="H16">
        <f t="shared" si="1"/>
        <v>4.3449921329848235E-2</v>
      </c>
      <c r="I16">
        <f t="shared" si="3"/>
        <v>0.23352853261421125</v>
      </c>
      <c r="J16">
        <f>XCP_3D('Données géométriques'!$B$9,'Données géométriques'!$B$10,'Données géométriques'!$B$12,'Données géométriques'!$B$11,I16)</f>
        <v>-0.21532757147580031</v>
      </c>
      <c r="K16">
        <f t="shared" si="4"/>
        <v>1.1514536950961625</v>
      </c>
      <c r="L16">
        <f t="shared" si="2"/>
        <v>-4.4672428524199698E-2</v>
      </c>
    </row>
    <row r="17" spans="1:12" x14ac:dyDescent="0.25">
      <c r="A17">
        <v>6.5</v>
      </c>
      <c r="B17">
        <f t="shared" si="0"/>
        <v>0.11344640137963143</v>
      </c>
      <c r="C17">
        <v>0.65810000000000002</v>
      </c>
      <c r="D17">
        <v>3.5349999999999999E-2</v>
      </c>
      <c r="E17">
        <v>1.15E-2</v>
      </c>
      <c r="F17">
        <f>C17*'Données géométriques'!$B$6/(2+('Données géométriques'!$B$6^2+4)^0.5)</f>
        <v>0.3647868162474498</v>
      </c>
      <c r="G17">
        <f>F17^2/(PI()*'Données géométriques'!$B$6)</f>
        <v>1.3234164980567314E-2</v>
      </c>
      <c r="H17">
        <f t="shared" si="1"/>
        <v>4.8584164980567314E-2</v>
      </c>
      <c r="I17">
        <f t="shared" si="3"/>
        <v>0.23251937917885848</v>
      </c>
      <c r="J17">
        <f>XCP_3D('Données géométriques'!$B$9,'Données géométriques'!$B$10,'Données géométriques'!$B$12,'Données géométriques'!$B$11,I17)</f>
        <v>-0.2145845313446598</v>
      </c>
      <c r="K17">
        <f t="shared" si="4"/>
        <v>1.1514536950961625</v>
      </c>
      <c r="L17">
        <f t="shared" si="2"/>
        <v>-4.5415468655340213E-2</v>
      </c>
    </row>
    <row r="18" spans="1:12" x14ac:dyDescent="0.25">
      <c r="A18">
        <v>7</v>
      </c>
      <c r="B18">
        <f t="shared" si="0"/>
        <v>0.12217304763960307</v>
      </c>
      <c r="C18">
        <v>0.70379999999999998</v>
      </c>
      <c r="D18">
        <v>3.9399999999999998E-2</v>
      </c>
      <c r="E18">
        <v>1.2800000000000001E-2</v>
      </c>
      <c r="F18">
        <f>C18*'Données géométriques'!$B$6/(2+('Données géométriques'!$B$6^2+4)^0.5)</f>
        <v>0.39011846417710855</v>
      </c>
      <c r="G18">
        <f>F18^2/(PI()*'Données géométriques'!$B$6)</f>
        <v>1.513600587989548E-2</v>
      </c>
      <c r="H18">
        <f t="shared" si="1"/>
        <v>5.4536005879895474E-2</v>
      </c>
      <c r="I18">
        <f t="shared" si="3"/>
        <v>0.23180152487941463</v>
      </c>
      <c r="J18">
        <f>XCP_3D('Données géométriques'!$B$9,'Données géométriques'!$B$10,'Données géométriques'!$B$12,'Données géométriques'!$B$11,I18)</f>
        <v>-0.21405597489911582</v>
      </c>
      <c r="K18">
        <f t="shared" si="4"/>
        <v>1.1514536950961625</v>
      </c>
      <c r="L18">
        <f t="shared" si="2"/>
        <v>-4.5944025100884189E-2</v>
      </c>
    </row>
    <row r="19" spans="1:12" x14ac:dyDescent="0.25">
      <c r="A19">
        <v>7.5</v>
      </c>
      <c r="B19">
        <f t="shared" si="0"/>
        <v>0.1308996938995747</v>
      </c>
      <c r="C19">
        <v>0.74429999999999996</v>
      </c>
      <c r="D19">
        <v>4.4310000000000002E-2</v>
      </c>
      <c r="E19">
        <v>1.43E-2</v>
      </c>
      <c r="F19">
        <f>C19*'Données géométriques'!$B$6/(2+('Données géométriques'!$B$6^2+4)^0.5)</f>
        <v>0.41256773641236416</v>
      </c>
      <c r="G19">
        <f>F19^2/(PI()*'Données géométriques'!$B$6)</f>
        <v>1.6928122797193627E-2</v>
      </c>
      <c r="H19">
        <f t="shared" si="1"/>
        <v>6.123812279719363E-2</v>
      </c>
      <c r="I19">
        <f t="shared" si="3"/>
        <v>0.2307722309294904</v>
      </c>
      <c r="J19">
        <f>XCP_3D('Données géométriques'!$B$9,'Données géométriques'!$B$10,'Données géométriques'!$B$12,'Données géométriques'!$B$11,I19)</f>
        <v>-0.21329810529798254</v>
      </c>
      <c r="K19">
        <f t="shared" si="4"/>
        <v>1.1514536950961625</v>
      </c>
      <c r="L19">
        <f t="shared" si="2"/>
        <v>-4.6701894702017466E-2</v>
      </c>
    </row>
    <row r="20" spans="1:12" x14ac:dyDescent="0.25">
      <c r="A20">
        <v>8</v>
      </c>
      <c r="B20">
        <f t="shared" si="0"/>
        <v>0.13962634015954636</v>
      </c>
      <c r="C20">
        <v>0.77539999999999998</v>
      </c>
      <c r="D20">
        <v>5.0040000000000001E-2</v>
      </c>
      <c r="E20">
        <v>1.5900000000000001E-2</v>
      </c>
      <c r="F20">
        <f>C20*'Données géométriques'!$B$6/(2+('Données géométriques'!$B$6^2+4)^0.5)</f>
        <v>0.4298065602769679</v>
      </c>
      <c r="G20">
        <f>F20^2/(PI()*'Données géométriques'!$B$6)</f>
        <v>1.8372335016758983E-2</v>
      </c>
      <c r="H20">
        <f t="shared" si="1"/>
        <v>6.8412335016758988E-2</v>
      </c>
      <c r="I20">
        <f t="shared" si="3"/>
        <v>0.22947905403907723</v>
      </c>
      <c r="J20">
        <f>XCP_3D('Données géométriques'!$B$9,'Données géométriques'!$B$10,'Données géométriques'!$B$12,'Données géométriques'!$B$11,I20)</f>
        <v>-0.21234593856834594</v>
      </c>
      <c r="K20">
        <f t="shared" si="4"/>
        <v>1.1514536950961625</v>
      </c>
      <c r="L20">
        <f t="shared" si="2"/>
        <v>-4.7654061431654071E-2</v>
      </c>
    </row>
    <row r="21" spans="1:12" x14ac:dyDescent="0.25">
      <c r="A21" s="3">
        <v>8.5</v>
      </c>
      <c r="B21">
        <f t="shared" si="0"/>
        <v>0.14835298641951802</v>
      </c>
      <c r="C21">
        <v>0.79300000000000004</v>
      </c>
      <c r="D21">
        <v>5.7480000000000003E-2</v>
      </c>
      <c r="E21">
        <v>1.7299999999999999E-2</v>
      </c>
      <c r="F21">
        <f>C21*'Données géométriques'!$B$6/(2+('Données géométriques'!$B$6^2+4)^0.5)</f>
        <v>0.43956229339648639</v>
      </c>
      <c r="G21">
        <f>F21^2/(PI()*'Données géométriques'!$B$6)</f>
        <v>1.9215829534417989E-2</v>
      </c>
      <c r="H21">
        <f t="shared" si="1"/>
        <v>7.6695829534417989E-2</v>
      </c>
      <c r="I21">
        <f t="shared" si="3"/>
        <v>0.22817821288585199</v>
      </c>
      <c r="J21">
        <f>XCP_3D('Données géométriques'!$B$9,'Données géométriques'!$B$10,'Données géométriques'!$B$12,'Données géométriques'!$B$11,I21)</f>
        <v>-0.21138812863853323</v>
      </c>
      <c r="K21">
        <f t="shared" si="4"/>
        <v>1.1514536950961625</v>
      </c>
      <c r="L21">
        <f t="shared" si="2"/>
        <v>-4.8611871361466774E-2</v>
      </c>
    </row>
    <row r="22" spans="1:12" x14ac:dyDescent="0.25">
      <c r="A22">
        <v>9</v>
      </c>
      <c r="B22">
        <f t="shared" si="0"/>
        <v>0.15707963267948966</v>
      </c>
      <c r="C22">
        <f>-$C$21*(A22-90)/(90-$A$21)</f>
        <v>0.78813496932515348</v>
      </c>
      <c r="D22">
        <f t="shared" ref="D22:D53" si="5">$O$2*(A22-$A$21)+$D$21</f>
        <v>6.4920000000000005E-2</v>
      </c>
      <c r="E22" s="4" t="s">
        <v>30</v>
      </c>
      <c r="F22">
        <f>C22*'Données géométriques'!$B$6/(2+('Données géométriques'!$B$6^2+4)^0.5)</f>
        <v>0.43686559221000493</v>
      </c>
      <c r="G22">
        <f>F22^2/(PI()*'Données géométriques'!$B$6)</f>
        <v>1.898077572739907E-2</v>
      </c>
      <c r="H22">
        <f t="shared" si="1"/>
        <v>8.3900775727399068E-2</v>
      </c>
      <c r="I22" s="4" t="s">
        <v>30</v>
      </c>
      <c r="J22" s="4">
        <f>('Données géométriques'!B14*'Données géométriques'!B19+'Données géométriques'!B15*'Données géométriques'!B20+'Données géométriques'!B16*'Données géométriques'!B21)/'Données géométriques'!B17</f>
        <v>-0.41152228571428573</v>
      </c>
      <c r="K22">
        <f>('Données géométriques'!B14*'Données géométriques'!B23+'Données géométriques'!B15*'Données géométriques'!B24+'Données géométriques'!B16*'Données géométriques'!B25)/'Données géométriques'!B17</f>
        <v>0.92155428571428555</v>
      </c>
      <c r="L22">
        <f t="shared" si="2"/>
        <v>0.15152228571428572</v>
      </c>
    </row>
    <row r="23" spans="1:12" x14ac:dyDescent="0.25">
      <c r="A23">
        <v>9.5</v>
      </c>
      <c r="B23">
        <f t="shared" si="0"/>
        <v>0.16580627893946132</v>
      </c>
      <c r="C23">
        <f t="shared" ref="C23:C78" si="6">-$C$21*(A23-90)/(90-$A$21)</f>
        <v>0.78326993865030681</v>
      </c>
      <c r="D23">
        <f t="shared" si="5"/>
        <v>7.2360000000000008E-2</v>
      </c>
      <c r="E23" s="4" t="s">
        <v>30</v>
      </c>
      <c r="F23">
        <f>C23*'Données géométriques'!$B$6/(2+('Données géométriques'!$B$6^2+4)^0.5)</f>
        <v>0.43416889102352335</v>
      </c>
      <c r="G23">
        <f>F23^2/(PI()*'Données géométriques'!$B$6)</f>
        <v>1.8747168405346404E-2</v>
      </c>
      <c r="H23">
        <f t="shared" si="1"/>
        <v>9.1107168405346411E-2</v>
      </c>
      <c r="I23" s="4" t="s">
        <v>30</v>
      </c>
      <c r="J23" s="4">
        <f>J22</f>
        <v>-0.41152228571428573</v>
      </c>
      <c r="K23">
        <f>K22</f>
        <v>0.92155428571428555</v>
      </c>
      <c r="L23">
        <f t="shared" si="2"/>
        <v>0.15152228571428572</v>
      </c>
    </row>
    <row r="24" spans="1:12" x14ac:dyDescent="0.25">
      <c r="A24">
        <v>10</v>
      </c>
      <c r="B24">
        <f t="shared" si="0"/>
        <v>0.17453292519943295</v>
      </c>
      <c r="C24">
        <f t="shared" si="6"/>
        <v>0.77840490797546014</v>
      </c>
      <c r="D24">
        <f t="shared" si="5"/>
        <v>7.980000000000001E-2</v>
      </c>
      <c r="E24" s="4" t="s">
        <v>30</v>
      </c>
      <c r="F24">
        <f>C24*'Données géométriques'!$B$6/(2+('Données géométriques'!$B$6^2+4)^0.5)</f>
        <v>0.43147218983704189</v>
      </c>
      <c r="G24">
        <f>F24^2/(PI()*'Données géométriques'!$B$6)</f>
        <v>1.8515007568260026E-2</v>
      </c>
      <c r="H24">
        <f t="shared" si="1"/>
        <v>9.8315007568260032E-2</v>
      </c>
      <c r="I24" s="4" t="s">
        <v>30</v>
      </c>
      <c r="J24" s="4">
        <f t="shared" ref="J24:J78" si="7">J23</f>
        <v>-0.41152228571428573</v>
      </c>
      <c r="K24">
        <f t="shared" ref="K24:K78" si="8">K23</f>
        <v>0.92155428571428555</v>
      </c>
      <c r="L24">
        <f t="shared" si="2"/>
        <v>0.15152228571428572</v>
      </c>
    </row>
    <row r="25" spans="1:12" x14ac:dyDescent="0.25">
      <c r="A25">
        <v>10.5</v>
      </c>
      <c r="B25">
        <f t="shared" si="0"/>
        <v>0.18325957145940461</v>
      </c>
      <c r="C25">
        <f t="shared" si="6"/>
        <v>0.77353987730061347</v>
      </c>
      <c r="D25">
        <f t="shared" si="5"/>
        <v>8.7240000000000012E-2</v>
      </c>
      <c r="E25" s="4" t="s">
        <v>30</v>
      </c>
      <c r="F25">
        <f>C25*'Données géométriques'!$B$6/(2+('Données géométriques'!$B$6^2+4)^0.5)</f>
        <v>0.42877548865056025</v>
      </c>
      <c r="G25">
        <f>F25^2/(PI()*'Données géométriques'!$B$6)</f>
        <v>1.8284293216139898E-2</v>
      </c>
      <c r="H25">
        <f t="shared" si="1"/>
        <v>0.1055242932161399</v>
      </c>
      <c r="I25" s="4" t="s">
        <v>30</v>
      </c>
      <c r="J25" s="4">
        <f t="shared" si="7"/>
        <v>-0.41152228571428573</v>
      </c>
      <c r="K25">
        <f t="shared" si="8"/>
        <v>0.92155428571428555</v>
      </c>
      <c r="L25">
        <f t="shared" si="2"/>
        <v>0.15152228571428572</v>
      </c>
    </row>
    <row r="26" spans="1:12" x14ac:dyDescent="0.25">
      <c r="A26">
        <v>11</v>
      </c>
      <c r="B26">
        <f t="shared" si="0"/>
        <v>0.19198621771937624</v>
      </c>
      <c r="C26">
        <f t="shared" si="6"/>
        <v>0.76867484662576691</v>
      </c>
      <c r="D26">
        <f t="shared" si="5"/>
        <v>9.4680000000000014E-2</v>
      </c>
      <c r="E26" s="4" t="s">
        <v>30</v>
      </c>
      <c r="F26">
        <f>C26*'Données géométriques'!$B$6/(2+('Données géométriques'!$B$6^2+4)^0.5)</f>
        <v>0.42607878746407885</v>
      </c>
      <c r="G26">
        <f>F26^2/(PI()*'Données géométriques'!$B$6)</f>
        <v>1.8055025348986065E-2</v>
      </c>
      <c r="H26">
        <f t="shared" si="1"/>
        <v>0.11273502534898608</v>
      </c>
      <c r="I26" s="4" t="s">
        <v>30</v>
      </c>
      <c r="J26" s="4">
        <f t="shared" si="7"/>
        <v>-0.41152228571428573</v>
      </c>
      <c r="K26">
        <f t="shared" si="8"/>
        <v>0.92155428571428555</v>
      </c>
      <c r="L26">
        <f t="shared" si="2"/>
        <v>0.15152228571428572</v>
      </c>
    </row>
    <row r="27" spans="1:12" x14ac:dyDescent="0.25">
      <c r="A27">
        <v>11.5</v>
      </c>
      <c r="B27">
        <f t="shared" si="0"/>
        <v>0.2007128639793479</v>
      </c>
      <c r="C27">
        <f t="shared" si="6"/>
        <v>0.76380981595092023</v>
      </c>
      <c r="D27">
        <f t="shared" si="5"/>
        <v>0.10212000000000002</v>
      </c>
      <c r="E27" s="4" t="s">
        <v>30</v>
      </c>
      <c r="F27">
        <f>C27*'Données géométriques'!$B$6/(2+('Données géométriques'!$B$6^2+4)^0.5)</f>
        <v>0.42338208627759727</v>
      </c>
      <c r="G27">
        <f>F27^2/(PI()*'Données géométriques'!$B$6)</f>
        <v>1.7827203966798481E-2</v>
      </c>
      <c r="H27">
        <f t="shared" si="1"/>
        <v>0.1199472039667985</v>
      </c>
      <c r="I27" s="4" t="s">
        <v>30</v>
      </c>
      <c r="J27" s="4">
        <f t="shared" si="7"/>
        <v>-0.41152228571428573</v>
      </c>
      <c r="K27">
        <f t="shared" si="8"/>
        <v>0.92155428571428555</v>
      </c>
      <c r="L27">
        <f t="shared" si="2"/>
        <v>0.15152228571428572</v>
      </c>
    </row>
    <row r="28" spans="1:12" x14ac:dyDescent="0.25">
      <c r="A28">
        <v>12</v>
      </c>
      <c r="B28">
        <f t="shared" si="0"/>
        <v>0.20943951023931956</v>
      </c>
      <c r="C28">
        <f t="shared" si="6"/>
        <v>0.75894478527607367</v>
      </c>
      <c r="D28">
        <f t="shared" si="5"/>
        <v>0.10956000000000002</v>
      </c>
      <c r="E28" s="4" t="s">
        <v>30</v>
      </c>
      <c r="F28">
        <f>C28*'Données géométriques'!$B$6/(2+('Données géométriques'!$B$6^2+4)^0.5)</f>
        <v>0.42068538509111586</v>
      </c>
      <c r="G28">
        <f>F28^2/(PI()*'Données géométriques'!$B$6)</f>
        <v>1.7600829069577186E-2</v>
      </c>
      <c r="H28">
        <f t="shared" si="1"/>
        <v>0.12716082906957721</v>
      </c>
      <c r="I28" s="4" t="s">
        <v>30</v>
      </c>
      <c r="J28" s="4">
        <f t="shared" si="7"/>
        <v>-0.41152228571428573</v>
      </c>
      <c r="K28">
        <f t="shared" si="8"/>
        <v>0.92155428571428555</v>
      </c>
      <c r="L28">
        <f t="shared" si="2"/>
        <v>0.15152228571428572</v>
      </c>
    </row>
    <row r="29" spans="1:12" x14ac:dyDescent="0.25">
      <c r="A29">
        <v>12.5</v>
      </c>
      <c r="B29">
        <f t="shared" si="0"/>
        <v>0.21816615649929119</v>
      </c>
      <c r="C29">
        <f t="shared" si="6"/>
        <v>0.754079754601227</v>
      </c>
      <c r="D29">
        <f t="shared" si="5"/>
        <v>0.11700000000000002</v>
      </c>
      <c r="E29" s="4" t="s">
        <v>30</v>
      </c>
      <c r="F29">
        <f>C29*'Données géométriques'!$B$6/(2+('Données géométriques'!$B$6^2+4)^0.5)</f>
        <v>0.41798868390463428</v>
      </c>
      <c r="G29">
        <f>F29^2/(PI()*'Données géométriques'!$B$6)</f>
        <v>1.7375900657322148E-2</v>
      </c>
      <c r="H29">
        <f t="shared" si="1"/>
        <v>0.13437590065732216</v>
      </c>
      <c r="I29" s="4" t="s">
        <v>30</v>
      </c>
      <c r="J29" s="4">
        <f t="shared" si="7"/>
        <v>-0.41152228571428573</v>
      </c>
      <c r="K29">
        <f t="shared" si="8"/>
        <v>0.92155428571428555</v>
      </c>
      <c r="L29">
        <f t="shared" si="2"/>
        <v>0.15152228571428572</v>
      </c>
    </row>
    <row r="30" spans="1:12" x14ac:dyDescent="0.25">
      <c r="A30">
        <v>13</v>
      </c>
      <c r="B30">
        <f t="shared" si="0"/>
        <v>0.22689280275926285</v>
      </c>
      <c r="C30">
        <f t="shared" si="6"/>
        <v>0.74921472392638033</v>
      </c>
      <c r="D30">
        <f t="shared" si="5"/>
        <v>0.12444000000000002</v>
      </c>
      <c r="E30" s="4" t="s">
        <v>30</v>
      </c>
      <c r="F30">
        <f>C30*'Données géométriques'!$B$6/(2+('Données géométriques'!$B$6^2+4)^0.5)</f>
        <v>0.41529198271815276</v>
      </c>
      <c r="G30">
        <f>F30^2/(PI()*'Données géométriques'!$B$6)</f>
        <v>1.7152418730033384E-2</v>
      </c>
      <c r="H30">
        <f t="shared" si="1"/>
        <v>0.14159241873003342</v>
      </c>
      <c r="I30" s="4" t="s">
        <v>30</v>
      </c>
      <c r="J30" s="4">
        <f t="shared" si="7"/>
        <v>-0.41152228571428573</v>
      </c>
      <c r="K30">
        <f t="shared" si="8"/>
        <v>0.92155428571428555</v>
      </c>
      <c r="L30">
        <f t="shared" si="2"/>
        <v>0.15152228571428572</v>
      </c>
    </row>
    <row r="31" spans="1:12" x14ac:dyDescent="0.25">
      <c r="A31">
        <v>13.5</v>
      </c>
      <c r="B31">
        <f t="shared" si="0"/>
        <v>0.23561944901923448</v>
      </c>
      <c r="C31">
        <f t="shared" si="6"/>
        <v>0.74434969325153377</v>
      </c>
      <c r="D31">
        <f t="shared" si="5"/>
        <v>0.13188000000000002</v>
      </c>
      <c r="E31" s="4" t="s">
        <v>30</v>
      </c>
      <c r="F31">
        <f>C31*'Données géométriques'!$B$6/(2+('Données géométriques'!$B$6^2+4)^0.5)</f>
        <v>0.41259528153167124</v>
      </c>
      <c r="G31">
        <f>F31^2/(PI()*'Données géométriques'!$B$6)</f>
        <v>1.693038328771089E-2</v>
      </c>
      <c r="H31">
        <f t="shared" si="1"/>
        <v>0.1488103832877109</v>
      </c>
      <c r="I31" s="4" t="s">
        <v>30</v>
      </c>
      <c r="J31" s="4">
        <f t="shared" si="7"/>
        <v>-0.41152228571428573</v>
      </c>
      <c r="K31">
        <f t="shared" si="8"/>
        <v>0.92155428571428555</v>
      </c>
      <c r="L31">
        <f t="shared" si="2"/>
        <v>0.15152228571428572</v>
      </c>
    </row>
    <row r="32" spans="1:12" x14ac:dyDescent="0.25">
      <c r="A32">
        <v>14</v>
      </c>
      <c r="B32">
        <f t="shared" si="0"/>
        <v>0.24434609527920614</v>
      </c>
      <c r="C32">
        <f t="shared" si="6"/>
        <v>0.7394846625766871</v>
      </c>
      <c r="D32">
        <f t="shared" si="5"/>
        <v>0.13932000000000003</v>
      </c>
      <c r="E32" s="4" t="s">
        <v>30</v>
      </c>
      <c r="F32">
        <f>C32*'Données géométriques'!$B$6/(2+('Données géométriques'!$B$6^2+4)^0.5)</f>
        <v>0.40989858034518972</v>
      </c>
      <c r="G32">
        <f>F32^2/(PI()*'Données géométriques'!$B$6)</f>
        <v>1.6709794330354667E-2</v>
      </c>
      <c r="H32">
        <f t="shared" si="1"/>
        <v>0.15602979433035469</v>
      </c>
      <c r="I32" s="4" t="s">
        <v>30</v>
      </c>
      <c r="J32" s="4">
        <f t="shared" si="7"/>
        <v>-0.41152228571428573</v>
      </c>
      <c r="K32">
        <f t="shared" si="8"/>
        <v>0.92155428571428555</v>
      </c>
      <c r="L32">
        <f t="shared" si="2"/>
        <v>0.15152228571428572</v>
      </c>
    </row>
    <row r="33" spans="1:12" x14ac:dyDescent="0.25">
      <c r="A33">
        <v>14.5</v>
      </c>
      <c r="B33">
        <f t="shared" si="0"/>
        <v>0.2530727415391778</v>
      </c>
      <c r="C33">
        <f t="shared" si="6"/>
        <v>0.73461963190184054</v>
      </c>
      <c r="D33">
        <f t="shared" si="5"/>
        <v>0.14676000000000003</v>
      </c>
      <c r="E33" s="4" t="s">
        <v>30</v>
      </c>
      <c r="F33">
        <f>C33*'Données géométriques'!$B$6/(2+('Données géométriques'!$B$6^2+4)^0.5)</f>
        <v>0.40720187915870826</v>
      </c>
      <c r="G33">
        <f>F33^2/(PI()*'Données géométriques'!$B$6)</f>
        <v>1.6490651857964719E-2</v>
      </c>
      <c r="H33">
        <f t="shared" si="1"/>
        <v>0.16325065185796475</v>
      </c>
      <c r="I33" s="4" t="s">
        <v>30</v>
      </c>
      <c r="J33" s="4">
        <f t="shared" si="7"/>
        <v>-0.41152228571428573</v>
      </c>
      <c r="K33">
        <f t="shared" si="8"/>
        <v>0.92155428571428555</v>
      </c>
      <c r="L33">
        <f t="shared" si="2"/>
        <v>0.15152228571428572</v>
      </c>
    </row>
    <row r="34" spans="1:12" x14ac:dyDescent="0.25">
      <c r="A34">
        <v>15.5</v>
      </c>
      <c r="B34">
        <f t="shared" si="0"/>
        <v>0.27052603405912107</v>
      </c>
      <c r="C34">
        <f t="shared" si="6"/>
        <v>0.72488957055214731</v>
      </c>
      <c r="D34">
        <f t="shared" si="5"/>
        <v>0.16164000000000003</v>
      </c>
      <c r="E34" s="4" t="s">
        <v>30</v>
      </c>
      <c r="F34">
        <f>C34*'Données géométriques'!$B$6/(2+('Données géométriques'!$B$6^2+4)^0.5)</f>
        <v>0.40180847678574522</v>
      </c>
      <c r="G34">
        <f>F34^2/(PI()*'Données géométriques'!$B$6)</f>
        <v>1.6056706368083623E-2</v>
      </c>
      <c r="H34">
        <f t="shared" si="1"/>
        <v>0.17769670636808366</v>
      </c>
      <c r="I34" s="4" t="s">
        <v>30</v>
      </c>
      <c r="J34" s="4">
        <f t="shared" si="7"/>
        <v>-0.41152228571428573</v>
      </c>
      <c r="K34">
        <f t="shared" si="8"/>
        <v>0.92155428571428555</v>
      </c>
      <c r="L34">
        <f t="shared" si="2"/>
        <v>0.15152228571428572</v>
      </c>
    </row>
    <row r="35" spans="1:12" x14ac:dyDescent="0.25">
      <c r="A35">
        <v>16</v>
      </c>
      <c r="B35">
        <f t="shared" si="0"/>
        <v>0.27925268031909273</v>
      </c>
      <c r="C35">
        <f t="shared" si="6"/>
        <v>0.72002453987730064</v>
      </c>
      <c r="D35">
        <f t="shared" si="5"/>
        <v>0.16908000000000004</v>
      </c>
      <c r="E35" s="4" t="s">
        <v>30</v>
      </c>
      <c r="F35">
        <f>C35*'Données géométriques'!$B$6/(2+('Données géométriques'!$B$6^2+4)^0.5)</f>
        <v>0.39911177559926375</v>
      </c>
      <c r="G35">
        <f>F35^2/(PI()*'Données géométriques'!$B$6)</f>
        <v>1.5841903350592483E-2</v>
      </c>
      <c r="H35">
        <f t="shared" si="1"/>
        <v>0.18492190335059253</v>
      </c>
      <c r="I35" s="4" t="s">
        <v>30</v>
      </c>
      <c r="J35" s="4">
        <f t="shared" si="7"/>
        <v>-0.41152228571428573</v>
      </c>
      <c r="K35">
        <f t="shared" si="8"/>
        <v>0.92155428571428555</v>
      </c>
      <c r="L35">
        <f t="shared" si="2"/>
        <v>0.15152228571428572</v>
      </c>
    </row>
    <row r="36" spans="1:12" x14ac:dyDescent="0.25">
      <c r="A36">
        <v>16.5</v>
      </c>
      <c r="B36">
        <f t="shared" si="0"/>
        <v>0.28797932657906439</v>
      </c>
      <c r="C36">
        <f t="shared" si="6"/>
        <v>0.71515950920245408</v>
      </c>
      <c r="D36">
        <f t="shared" si="5"/>
        <v>0.17652000000000004</v>
      </c>
      <c r="E36" s="4" t="s">
        <v>30</v>
      </c>
      <c r="F36">
        <f>C36*'Données géométriques'!$B$6/(2+('Données géométriques'!$B$6^2+4)^0.5)</f>
        <v>0.39641507441278223</v>
      </c>
      <c r="G36">
        <f>F36^2/(PI()*'Données géométriques'!$B$6)</f>
        <v>1.562854681806761E-2</v>
      </c>
      <c r="H36">
        <f t="shared" si="1"/>
        <v>0.19214854681806764</v>
      </c>
      <c r="I36" s="4" t="s">
        <v>30</v>
      </c>
      <c r="J36" s="4">
        <f t="shared" si="7"/>
        <v>-0.41152228571428573</v>
      </c>
      <c r="K36">
        <f t="shared" si="8"/>
        <v>0.92155428571428555</v>
      </c>
      <c r="L36">
        <f t="shared" si="2"/>
        <v>0.15152228571428572</v>
      </c>
    </row>
    <row r="37" spans="1:12" x14ac:dyDescent="0.25">
      <c r="A37">
        <v>17</v>
      </c>
      <c r="B37">
        <f t="shared" si="0"/>
        <v>0.29670597283903605</v>
      </c>
      <c r="C37">
        <f t="shared" si="6"/>
        <v>0.71029447852760741</v>
      </c>
      <c r="D37">
        <f t="shared" si="5"/>
        <v>0.18396000000000004</v>
      </c>
      <c r="E37" s="4" t="s">
        <v>30</v>
      </c>
      <c r="F37">
        <f>C37*'Données géométriques'!$B$6/(2+('Données géométriques'!$B$6^2+4)^0.5)</f>
        <v>0.39371837322630071</v>
      </c>
      <c r="G37">
        <f>F37^2/(PI()*'Données géométriques'!$B$6)</f>
        <v>1.5416636770509012E-2</v>
      </c>
      <c r="H37">
        <f t="shared" si="1"/>
        <v>0.19937663677050904</v>
      </c>
      <c r="I37" s="4" t="s">
        <v>30</v>
      </c>
      <c r="J37" s="4">
        <f t="shared" si="7"/>
        <v>-0.41152228571428573</v>
      </c>
      <c r="K37">
        <f t="shared" si="8"/>
        <v>0.92155428571428555</v>
      </c>
      <c r="L37">
        <f t="shared" si="2"/>
        <v>0.15152228571428572</v>
      </c>
    </row>
    <row r="38" spans="1:12" x14ac:dyDescent="0.25">
      <c r="A38">
        <v>17.5</v>
      </c>
      <c r="B38">
        <f t="shared" si="0"/>
        <v>0.30543261909900765</v>
      </c>
      <c r="C38">
        <f t="shared" si="6"/>
        <v>0.70542944785276074</v>
      </c>
      <c r="D38">
        <f t="shared" si="5"/>
        <v>0.19140000000000004</v>
      </c>
      <c r="E38" s="4" t="s">
        <v>30</v>
      </c>
      <c r="F38">
        <f>C38*'Données géométriques'!$B$6/(2+('Données géométriques'!$B$6^2+4)^0.5)</f>
        <v>0.39102167203981913</v>
      </c>
      <c r="G38">
        <f>F38^2/(PI()*'Données géométriques'!$B$6)</f>
        <v>1.5206173207916675E-2</v>
      </c>
      <c r="H38">
        <f t="shared" si="1"/>
        <v>0.20660617320791672</v>
      </c>
      <c r="I38" s="4" t="s">
        <v>30</v>
      </c>
      <c r="J38" s="4">
        <f t="shared" si="7"/>
        <v>-0.41152228571428573</v>
      </c>
      <c r="K38">
        <f t="shared" si="8"/>
        <v>0.92155428571428555</v>
      </c>
      <c r="L38">
        <f t="shared" si="2"/>
        <v>0.15152228571428572</v>
      </c>
    </row>
    <row r="39" spans="1:12" x14ac:dyDescent="0.25">
      <c r="A39">
        <v>18</v>
      </c>
      <c r="B39">
        <f t="shared" si="0"/>
        <v>0.31415926535897931</v>
      </c>
      <c r="C39">
        <f t="shared" si="6"/>
        <v>0.70056441717791418</v>
      </c>
      <c r="D39">
        <f t="shared" si="5"/>
        <v>0.19884000000000004</v>
      </c>
      <c r="E39" s="4" t="s">
        <v>30</v>
      </c>
      <c r="F39">
        <f>C39*'Données géométriques'!$B$6/(2+('Données géométriques'!$B$6^2+4)^0.5)</f>
        <v>0.38832497085333773</v>
      </c>
      <c r="G39">
        <f>F39^2/(PI()*'Données géométriques'!$B$6)</f>
        <v>1.4997156130290623E-2</v>
      </c>
      <c r="H39">
        <f t="shared" si="1"/>
        <v>0.21383715613029067</v>
      </c>
      <c r="I39" s="4" t="s">
        <v>30</v>
      </c>
      <c r="J39" s="4">
        <f t="shared" si="7"/>
        <v>-0.41152228571428573</v>
      </c>
      <c r="K39">
        <f t="shared" si="8"/>
        <v>0.92155428571428555</v>
      </c>
      <c r="L39">
        <f t="shared" si="2"/>
        <v>0.15152228571428572</v>
      </c>
    </row>
    <row r="40" spans="1:12" x14ac:dyDescent="0.25">
      <c r="A40">
        <v>18.5</v>
      </c>
      <c r="B40">
        <f t="shared" si="0"/>
        <v>0.32288591161895097</v>
      </c>
      <c r="C40">
        <f t="shared" si="6"/>
        <v>0.69569938650306751</v>
      </c>
      <c r="D40">
        <f t="shared" si="5"/>
        <v>0.20628000000000005</v>
      </c>
      <c r="E40" s="4" t="s">
        <v>30</v>
      </c>
      <c r="F40">
        <f>C40*'Données géométriques'!$B$6/(2+('Données géométriques'!$B$6^2+4)^0.5)</f>
        <v>0.38562826966685615</v>
      </c>
      <c r="G40">
        <f>F40^2/(PI()*'Données géométriques'!$B$6)</f>
        <v>1.4789585537630828E-2</v>
      </c>
      <c r="H40">
        <f t="shared" si="1"/>
        <v>0.22106958553763087</v>
      </c>
      <c r="I40" s="4" t="s">
        <v>30</v>
      </c>
      <c r="J40" s="4">
        <f t="shared" si="7"/>
        <v>-0.41152228571428573</v>
      </c>
      <c r="K40">
        <f t="shared" si="8"/>
        <v>0.92155428571428555</v>
      </c>
      <c r="L40">
        <f t="shared" si="2"/>
        <v>0.15152228571428572</v>
      </c>
    </row>
    <row r="41" spans="1:12" x14ac:dyDescent="0.25">
      <c r="A41">
        <v>19</v>
      </c>
      <c r="B41">
        <f t="shared" si="0"/>
        <v>0.33161255787892263</v>
      </c>
      <c r="C41">
        <f t="shared" si="6"/>
        <v>0.69083435582822095</v>
      </c>
      <c r="D41">
        <f t="shared" si="5"/>
        <v>0.21372000000000005</v>
      </c>
      <c r="E41" s="4" t="s">
        <v>30</v>
      </c>
      <c r="F41">
        <f>C41*'Données géométriques'!$B$6/(2+('Données géométriques'!$B$6^2+4)^0.5)</f>
        <v>0.38293156848037468</v>
      </c>
      <c r="G41">
        <f>F41^2/(PI()*'Données géométriques'!$B$6)</f>
        <v>1.4583461429937312E-2</v>
      </c>
      <c r="H41">
        <f>G41+D41</f>
        <v>0.22830346142993735</v>
      </c>
      <c r="I41" s="4" t="s">
        <v>30</v>
      </c>
      <c r="J41" s="4">
        <f t="shared" si="7"/>
        <v>-0.41152228571428573</v>
      </c>
      <c r="K41">
        <f t="shared" si="8"/>
        <v>0.92155428571428555</v>
      </c>
      <c r="L41">
        <f t="shared" si="2"/>
        <v>0.15152228571428572</v>
      </c>
    </row>
    <row r="42" spans="1:12" x14ac:dyDescent="0.25">
      <c r="A42">
        <v>19.5</v>
      </c>
      <c r="B42">
        <f t="shared" si="0"/>
        <v>0.34033920413889424</v>
      </c>
      <c r="C42">
        <f t="shared" si="6"/>
        <v>0.68596932515337428</v>
      </c>
      <c r="D42">
        <f t="shared" si="5"/>
        <v>0.22116000000000005</v>
      </c>
      <c r="E42" s="4" t="s">
        <v>30</v>
      </c>
      <c r="F42">
        <f>C42*'Données géométriques'!$B$6/(2+('Données géométriques'!$B$6^2+4)^0.5)</f>
        <v>0.38023486729389311</v>
      </c>
      <c r="G42">
        <f>F42^2/(PI()*'Données géométriques'!$B$6)</f>
        <v>1.4378783807210057E-2</v>
      </c>
      <c r="H42">
        <f t="shared" ref="H42:H77" si="9">G42+D42</f>
        <v>0.23553878380721011</v>
      </c>
      <c r="I42" s="4" t="s">
        <v>30</v>
      </c>
      <c r="J42" s="4">
        <f t="shared" si="7"/>
        <v>-0.41152228571428573</v>
      </c>
      <c r="K42">
        <f t="shared" si="8"/>
        <v>0.92155428571428555</v>
      </c>
      <c r="L42">
        <f t="shared" si="2"/>
        <v>0.15152228571428572</v>
      </c>
    </row>
    <row r="43" spans="1:12" x14ac:dyDescent="0.25">
      <c r="A43">
        <v>20</v>
      </c>
      <c r="B43">
        <f t="shared" si="0"/>
        <v>0.3490658503988659</v>
      </c>
      <c r="C43">
        <f t="shared" si="6"/>
        <v>0.68110429447852772</v>
      </c>
      <c r="D43">
        <f t="shared" si="5"/>
        <v>0.22860000000000005</v>
      </c>
      <c r="E43" s="4" t="s">
        <v>30</v>
      </c>
      <c r="F43">
        <f>C43*'Données géométriques'!$B$6/(2+('Données géométriques'!$B$6^2+4)^0.5)</f>
        <v>0.3775381661074117</v>
      </c>
      <c r="G43">
        <f>F43^2/(PI()*'Données géométriques'!$B$6)</f>
        <v>1.4175552669449084E-2</v>
      </c>
      <c r="H43">
        <f t="shared" si="9"/>
        <v>0.24277555266944914</v>
      </c>
      <c r="I43" s="4" t="s">
        <v>30</v>
      </c>
      <c r="J43" s="4">
        <f t="shared" si="7"/>
        <v>-0.41152228571428573</v>
      </c>
      <c r="K43">
        <f t="shared" si="8"/>
        <v>0.92155428571428555</v>
      </c>
      <c r="L43">
        <f t="shared" si="2"/>
        <v>0.15152228571428572</v>
      </c>
    </row>
    <row r="44" spans="1:12" x14ac:dyDescent="0.25">
      <c r="A44">
        <v>22</v>
      </c>
      <c r="B44">
        <f t="shared" si="0"/>
        <v>0.38397243543875248</v>
      </c>
      <c r="C44">
        <f t="shared" si="6"/>
        <v>0.66164417177914114</v>
      </c>
      <c r="D44">
        <f t="shared" si="5"/>
        <v>0.25836000000000003</v>
      </c>
      <c r="E44" s="4" t="s">
        <v>30</v>
      </c>
      <c r="F44">
        <f>C44*'Données géométriques'!$B$6/(2+('Données géométriques'!$B$6^2+4)^0.5)</f>
        <v>0.36675136136148562</v>
      </c>
      <c r="G44">
        <f>F44^2/(PI()*'Données géométriques'!$B$6)</f>
        <v>1.3377092968067869E-2</v>
      </c>
      <c r="H44">
        <f t="shared" si="9"/>
        <v>0.27173709296806792</v>
      </c>
      <c r="I44" s="4" t="s">
        <v>30</v>
      </c>
      <c r="J44" s="4">
        <f t="shared" si="7"/>
        <v>-0.41152228571428573</v>
      </c>
      <c r="K44">
        <f t="shared" si="8"/>
        <v>0.92155428571428555</v>
      </c>
      <c r="L44">
        <f t="shared" si="2"/>
        <v>0.15152228571428572</v>
      </c>
    </row>
    <row r="45" spans="1:12" x14ac:dyDescent="0.25">
      <c r="A45">
        <f>A44+2</f>
        <v>24</v>
      </c>
      <c r="B45">
        <f t="shared" si="0"/>
        <v>0.41887902047863912</v>
      </c>
      <c r="C45">
        <f t="shared" si="6"/>
        <v>0.64218404907975457</v>
      </c>
      <c r="D45">
        <f t="shared" si="5"/>
        <v>0.28812000000000004</v>
      </c>
      <c r="E45" s="4" t="s">
        <v>30</v>
      </c>
      <c r="F45">
        <f>C45*'Données géométriques'!$B$6/(2+('Données géométriques'!$B$6^2+4)^0.5)</f>
        <v>0.35596455661555948</v>
      </c>
      <c r="G45">
        <f>F45^2/(PI()*'Données géométriques'!$B$6)</f>
        <v>1.2601777026146973E-2</v>
      </c>
      <c r="H45">
        <f t="shared" si="9"/>
        <v>0.300721777026147</v>
      </c>
      <c r="I45" s="4" t="s">
        <v>30</v>
      </c>
      <c r="J45" s="4">
        <f t="shared" si="7"/>
        <v>-0.41152228571428573</v>
      </c>
      <c r="K45">
        <f t="shared" si="8"/>
        <v>0.92155428571428555</v>
      </c>
      <c r="L45">
        <f t="shared" si="2"/>
        <v>0.15152228571428572</v>
      </c>
    </row>
    <row r="46" spans="1:12" x14ac:dyDescent="0.25">
      <c r="A46">
        <f t="shared" ref="A46:A78" si="10">A45+2</f>
        <v>26</v>
      </c>
      <c r="B46">
        <f t="shared" si="0"/>
        <v>0.4537856055185257</v>
      </c>
      <c r="C46">
        <f t="shared" si="6"/>
        <v>0.62272392638036811</v>
      </c>
      <c r="D46">
        <f t="shared" si="5"/>
        <v>0.31788000000000005</v>
      </c>
      <c r="E46" s="4" t="s">
        <v>30</v>
      </c>
      <c r="F46">
        <f>C46*'Données géométriques'!$B$6/(2+('Données géométriques'!$B$6^2+4)^0.5)</f>
        <v>0.34517775186963351</v>
      </c>
      <c r="G46">
        <f>F46^2/(PI()*'Données géométriques'!$B$6)</f>
        <v>1.1849604843686416E-2</v>
      </c>
      <c r="H46">
        <f t="shared" si="9"/>
        <v>0.32972960484368646</v>
      </c>
      <c r="I46" s="4" t="s">
        <v>30</v>
      </c>
      <c r="J46" s="4">
        <f t="shared" si="7"/>
        <v>-0.41152228571428573</v>
      </c>
      <c r="K46">
        <f t="shared" si="8"/>
        <v>0.92155428571428555</v>
      </c>
      <c r="L46">
        <f t="shared" si="2"/>
        <v>0.15152228571428572</v>
      </c>
    </row>
    <row r="47" spans="1:12" x14ac:dyDescent="0.25">
      <c r="A47">
        <f t="shared" si="10"/>
        <v>28</v>
      </c>
      <c r="B47">
        <f t="shared" si="0"/>
        <v>0.48869219055841229</v>
      </c>
      <c r="C47">
        <f t="shared" si="6"/>
        <v>0.60326380368098165</v>
      </c>
      <c r="D47">
        <f t="shared" si="5"/>
        <v>0.34764000000000006</v>
      </c>
      <c r="E47" s="4" t="s">
        <v>30</v>
      </c>
      <c r="F47">
        <f>C47*'Données géométriques'!$B$6/(2+('Données géométriques'!$B$6^2+4)^0.5)</f>
        <v>0.33439094712370743</v>
      </c>
      <c r="G47">
        <f>F47^2/(PI()*'Données géométriques'!$B$6)</f>
        <v>1.1120576420686175E-2</v>
      </c>
      <c r="H47">
        <f t="shared" si="9"/>
        <v>0.35876057642068626</v>
      </c>
      <c r="I47" s="4" t="s">
        <v>30</v>
      </c>
      <c r="J47" s="4">
        <f t="shared" si="7"/>
        <v>-0.41152228571428573</v>
      </c>
      <c r="K47">
        <f t="shared" si="8"/>
        <v>0.92155428571428555</v>
      </c>
      <c r="L47">
        <f t="shared" si="2"/>
        <v>0.15152228571428572</v>
      </c>
    </row>
    <row r="48" spans="1:12" x14ac:dyDescent="0.25">
      <c r="A48">
        <f t="shared" si="10"/>
        <v>30</v>
      </c>
      <c r="B48">
        <f t="shared" si="0"/>
        <v>0.52359877559829882</v>
      </c>
      <c r="C48">
        <f t="shared" si="6"/>
        <v>0.58380368098159519</v>
      </c>
      <c r="D48">
        <f t="shared" si="5"/>
        <v>0.37740000000000007</v>
      </c>
      <c r="E48" s="4" t="s">
        <v>30</v>
      </c>
      <c r="F48">
        <f>C48*'Données géométriques'!$B$6/(2+('Données géométriques'!$B$6^2+4)^0.5)</f>
        <v>0.3236041423777814</v>
      </c>
      <c r="G48">
        <f>F48^2/(PI()*'Données géométriques'!$B$6)</f>
        <v>1.0414691757146263E-2</v>
      </c>
      <c r="H48">
        <f t="shared" si="9"/>
        <v>0.38781469175714633</v>
      </c>
      <c r="I48" s="4" t="s">
        <v>30</v>
      </c>
      <c r="J48" s="4">
        <f t="shared" si="7"/>
        <v>-0.41152228571428573</v>
      </c>
      <c r="K48">
        <f t="shared" si="8"/>
        <v>0.92155428571428555</v>
      </c>
      <c r="L48">
        <f t="shared" si="2"/>
        <v>0.15152228571428572</v>
      </c>
    </row>
    <row r="49" spans="1:12" x14ac:dyDescent="0.25">
      <c r="A49">
        <f t="shared" si="10"/>
        <v>32</v>
      </c>
      <c r="B49">
        <f t="shared" si="0"/>
        <v>0.55850536063818546</v>
      </c>
      <c r="C49">
        <f t="shared" si="6"/>
        <v>0.56434355828220861</v>
      </c>
      <c r="D49">
        <f t="shared" si="5"/>
        <v>0.40716000000000008</v>
      </c>
      <c r="E49" s="4" t="s">
        <v>30</v>
      </c>
      <c r="F49">
        <f>C49*'Données géométriques'!$B$6/(2+('Données géométriques'!$B$6^2+4)^0.5)</f>
        <v>0.31281733763185537</v>
      </c>
      <c r="G49">
        <f>F49^2/(PI()*'Données géométriques'!$B$6)</f>
        <v>9.731950853066676E-3</v>
      </c>
      <c r="H49">
        <f t="shared" si="9"/>
        <v>0.41689195085306674</v>
      </c>
      <c r="I49" s="4" t="s">
        <v>30</v>
      </c>
      <c r="J49" s="4">
        <f t="shared" si="7"/>
        <v>-0.41152228571428573</v>
      </c>
      <c r="K49">
        <f t="shared" si="8"/>
        <v>0.92155428571428555</v>
      </c>
      <c r="L49">
        <f t="shared" si="2"/>
        <v>0.15152228571428572</v>
      </c>
    </row>
    <row r="50" spans="1:12" x14ac:dyDescent="0.25">
      <c r="A50">
        <f t="shared" si="10"/>
        <v>34</v>
      </c>
      <c r="B50">
        <f t="shared" si="0"/>
        <v>0.59341194567807209</v>
      </c>
      <c r="C50">
        <f t="shared" si="6"/>
        <v>0.54488343558282215</v>
      </c>
      <c r="D50">
        <f t="shared" si="5"/>
        <v>0.43692000000000009</v>
      </c>
      <c r="E50" s="4" t="s">
        <v>30</v>
      </c>
      <c r="F50">
        <f>C50*'Données géométriques'!$B$6/(2+('Données géométriques'!$B$6^2+4)^0.5)</f>
        <v>0.30203053288592929</v>
      </c>
      <c r="G50">
        <f>F50^2/(PI()*'Données géométriques'!$B$6)</f>
        <v>9.0723537084474101E-3</v>
      </c>
      <c r="H50">
        <f t="shared" si="9"/>
        <v>0.44599235370844748</v>
      </c>
      <c r="I50" s="4" t="s">
        <v>30</v>
      </c>
      <c r="J50" s="4">
        <f t="shared" si="7"/>
        <v>-0.41152228571428573</v>
      </c>
      <c r="K50">
        <f t="shared" si="8"/>
        <v>0.92155428571428555</v>
      </c>
      <c r="L50">
        <f t="shared" si="2"/>
        <v>0.15152228571428572</v>
      </c>
    </row>
    <row r="51" spans="1:12" x14ac:dyDescent="0.25">
      <c r="A51">
        <f t="shared" si="10"/>
        <v>36</v>
      </c>
      <c r="B51">
        <f t="shared" si="0"/>
        <v>0.62831853071795862</v>
      </c>
      <c r="C51">
        <f t="shared" si="6"/>
        <v>0.52542331288343558</v>
      </c>
      <c r="D51">
        <f t="shared" si="5"/>
        <v>0.46668000000000009</v>
      </c>
      <c r="E51" s="4" t="s">
        <v>30</v>
      </c>
      <c r="F51">
        <f>C51*'Données géométriques'!$B$6/(2+('Données géométriques'!$B$6^2+4)^0.5)</f>
        <v>0.29124372814000327</v>
      </c>
      <c r="G51">
        <f>F51^2/(PI()*'Données géométriques'!$B$6)</f>
        <v>8.435900323288472E-3</v>
      </c>
      <c r="H51">
        <f t="shared" si="9"/>
        <v>0.47511590032328854</v>
      </c>
      <c r="I51" s="4" t="s">
        <v>30</v>
      </c>
      <c r="J51" s="4">
        <f t="shared" si="7"/>
        <v>-0.41152228571428573</v>
      </c>
      <c r="K51">
        <f t="shared" si="8"/>
        <v>0.92155428571428555</v>
      </c>
      <c r="L51">
        <f t="shared" si="2"/>
        <v>0.15152228571428572</v>
      </c>
    </row>
    <row r="52" spans="1:12" x14ac:dyDescent="0.25">
      <c r="A52">
        <f t="shared" si="10"/>
        <v>38</v>
      </c>
      <c r="B52">
        <f t="shared" si="0"/>
        <v>0.66322511575784526</v>
      </c>
      <c r="C52">
        <f t="shared" si="6"/>
        <v>0.50596319018404912</v>
      </c>
      <c r="D52">
        <f t="shared" si="5"/>
        <v>0.4964400000000001</v>
      </c>
      <c r="E52" s="4" t="s">
        <v>30</v>
      </c>
      <c r="F52">
        <f>C52*'Données géométriques'!$B$6/(2+('Données géométriques'!$B$6^2+4)^0.5)</f>
        <v>0.28045692339407724</v>
      </c>
      <c r="G52">
        <f>F52^2/(PI()*'Données géométriques'!$B$6)</f>
        <v>7.8225906975898617E-3</v>
      </c>
      <c r="H52">
        <f t="shared" si="9"/>
        <v>0.50426259069758994</v>
      </c>
      <c r="I52" s="4" t="s">
        <v>30</v>
      </c>
      <c r="J52" s="4">
        <f t="shared" si="7"/>
        <v>-0.41152228571428573</v>
      </c>
      <c r="K52">
        <f t="shared" si="8"/>
        <v>0.92155428571428555</v>
      </c>
      <c r="L52">
        <f t="shared" si="2"/>
        <v>0.15152228571428572</v>
      </c>
    </row>
    <row r="53" spans="1:12" x14ac:dyDescent="0.25">
      <c r="A53">
        <f t="shared" si="10"/>
        <v>40</v>
      </c>
      <c r="B53">
        <f t="shared" si="0"/>
        <v>0.69813170079773179</v>
      </c>
      <c r="C53">
        <f t="shared" si="6"/>
        <v>0.48650306748466254</v>
      </c>
      <c r="D53">
        <f t="shared" si="5"/>
        <v>0.52620000000000011</v>
      </c>
      <c r="E53" s="4" t="s">
        <v>30</v>
      </c>
      <c r="F53">
        <f>C53*'Données géométriques'!$B$6/(2+('Données géométriques'!$B$6^2+4)^0.5)</f>
        <v>0.26967011864815116</v>
      </c>
      <c r="G53">
        <f>F53^2/(PI()*'Données géométriques'!$B$6)</f>
        <v>7.2324248313515712E-3</v>
      </c>
      <c r="H53">
        <f t="shared" si="9"/>
        <v>0.53343242483135167</v>
      </c>
      <c r="I53" s="4" t="s">
        <v>30</v>
      </c>
      <c r="J53" s="4">
        <f t="shared" si="7"/>
        <v>-0.41152228571428573</v>
      </c>
      <c r="K53">
        <f t="shared" si="8"/>
        <v>0.92155428571428555</v>
      </c>
      <c r="L53">
        <f t="shared" si="2"/>
        <v>0.15152228571428572</v>
      </c>
    </row>
    <row r="54" spans="1:12" x14ac:dyDescent="0.25">
      <c r="A54">
        <f t="shared" si="10"/>
        <v>42</v>
      </c>
      <c r="B54">
        <f t="shared" si="0"/>
        <v>0.73303828583761843</v>
      </c>
      <c r="C54">
        <f t="shared" si="6"/>
        <v>0.46704294478527608</v>
      </c>
      <c r="D54">
        <f t="shared" ref="D54:D78" si="11">$O$2*(A54-$A$21)+$D$21</f>
        <v>0.55596000000000012</v>
      </c>
      <c r="E54" s="4" t="s">
        <v>30</v>
      </c>
      <c r="F54">
        <f>C54*'Données géométriques'!$B$6/(2+('Données géométriques'!$B$6^2+4)^0.5)</f>
        <v>0.25888331390222513</v>
      </c>
      <c r="G54">
        <f>F54^2/(PI()*'Données géométriques'!$B$6)</f>
        <v>6.6654027245736085E-3</v>
      </c>
      <c r="H54">
        <f t="shared" si="9"/>
        <v>0.56262540272457373</v>
      </c>
      <c r="I54" s="4" t="s">
        <v>30</v>
      </c>
      <c r="J54" s="4">
        <f t="shared" si="7"/>
        <v>-0.41152228571428573</v>
      </c>
      <c r="K54">
        <f t="shared" si="8"/>
        <v>0.92155428571428555</v>
      </c>
      <c r="L54">
        <f t="shared" si="2"/>
        <v>0.15152228571428572</v>
      </c>
    </row>
    <row r="55" spans="1:12" x14ac:dyDescent="0.25">
      <c r="A55">
        <f t="shared" si="10"/>
        <v>44</v>
      </c>
      <c r="B55">
        <f t="shared" si="0"/>
        <v>0.76794487087750496</v>
      </c>
      <c r="C55">
        <f t="shared" si="6"/>
        <v>0.44758282208588956</v>
      </c>
      <c r="D55">
        <f t="shared" si="11"/>
        <v>0.58572000000000013</v>
      </c>
      <c r="E55" s="4" t="s">
        <v>30</v>
      </c>
      <c r="F55">
        <f>C55*'Données géométriques'!$B$6/(2+('Données géométriques'!$B$6^2+4)^0.5)</f>
        <v>0.24809650915629905</v>
      </c>
      <c r="G55">
        <f>F55^2/(PI()*'Données géométriques'!$B$6)</f>
        <v>6.1215243772559692E-3</v>
      </c>
      <c r="H55">
        <f t="shared" si="9"/>
        <v>0.59184152437725612</v>
      </c>
      <c r="I55" s="4" t="s">
        <v>30</v>
      </c>
      <c r="J55" s="4">
        <f t="shared" si="7"/>
        <v>-0.41152228571428573</v>
      </c>
      <c r="K55">
        <f t="shared" si="8"/>
        <v>0.92155428571428555</v>
      </c>
      <c r="L55">
        <f t="shared" si="2"/>
        <v>0.15152228571428572</v>
      </c>
    </row>
    <row r="56" spans="1:12" x14ac:dyDescent="0.25">
      <c r="A56">
        <f t="shared" si="10"/>
        <v>46</v>
      </c>
      <c r="B56">
        <f t="shared" si="0"/>
        <v>0.8028514559173916</v>
      </c>
      <c r="C56">
        <f t="shared" si="6"/>
        <v>0.4281226993865031</v>
      </c>
      <c r="D56">
        <f t="shared" si="11"/>
        <v>0.61548000000000014</v>
      </c>
      <c r="E56" s="4" t="s">
        <v>30</v>
      </c>
      <c r="F56">
        <f>C56*'Données géométriques'!$B$6/(2+('Données géométriques'!$B$6^2+4)^0.5)</f>
        <v>0.23730970441037305</v>
      </c>
      <c r="G56">
        <f>F56^2/(PI()*'Données géométriques'!$B$6)</f>
        <v>5.6007897893986577E-3</v>
      </c>
      <c r="H56">
        <f t="shared" si="9"/>
        <v>0.62108078978939885</v>
      </c>
      <c r="I56" s="4" t="s">
        <v>30</v>
      </c>
      <c r="J56" s="4">
        <f t="shared" si="7"/>
        <v>-0.41152228571428573</v>
      </c>
      <c r="K56">
        <f t="shared" si="8"/>
        <v>0.92155428571428555</v>
      </c>
      <c r="L56">
        <f t="shared" si="2"/>
        <v>0.15152228571428572</v>
      </c>
    </row>
    <row r="57" spans="1:12" x14ac:dyDescent="0.25">
      <c r="A57">
        <f t="shared" si="10"/>
        <v>48</v>
      </c>
      <c r="B57">
        <f t="shared" si="0"/>
        <v>0.83775804095727824</v>
      </c>
      <c r="C57">
        <f t="shared" si="6"/>
        <v>0.40866257668711664</v>
      </c>
      <c r="D57">
        <f t="shared" si="11"/>
        <v>0.64524000000000015</v>
      </c>
      <c r="E57" s="4" t="s">
        <v>30</v>
      </c>
      <c r="F57">
        <f>C57*'Données géométriques'!$B$6/(2+('Données géométriques'!$B$6^2+4)^0.5)</f>
        <v>0.226522899664447</v>
      </c>
      <c r="G57">
        <f>F57^2/(PI()*'Données géométriques'!$B$6)</f>
        <v>5.1031989610016695E-3</v>
      </c>
      <c r="H57">
        <f t="shared" si="9"/>
        <v>0.65034319896100179</v>
      </c>
      <c r="I57" s="4" t="s">
        <v>30</v>
      </c>
      <c r="J57" s="4">
        <f t="shared" si="7"/>
        <v>-0.41152228571428573</v>
      </c>
      <c r="K57">
        <f t="shared" si="8"/>
        <v>0.92155428571428555</v>
      </c>
      <c r="L57">
        <f t="shared" si="2"/>
        <v>0.15152228571428572</v>
      </c>
    </row>
    <row r="58" spans="1:12" x14ac:dyDescent="0.25">
      <c r="A58">
        <f t="shared" si="10"/>
        <v>50</v>
      </c>
      <c r="B58">
        <f t="shared" si="0"/>
        <v>0.87266462599716477</v>
      </c>
      <c r="C58">
        <f t="shared" si="6"/>
        <v>0.38920245398773007</v>
      </c>
      <c r="D58">
        <f t="shared" si="11"/>
        <v>0.67500000000000016</v>
      </c>
      <c r="E58" s="4" t="s">
        <v>30</v>
      </c>
      <c r="F58">
        <f>C58*'Données géométriques'!$B$6/(2+('Données géométriques'!$B$6^2+4)^0.5)</f>
        <v>0.21573609491852094</v>
      </c>
      <c r="G58">
        <f>F58^2/(PI()*'Données géométriques'!$B$6)</f>
        <v>4.6287518920650065E-3</v>
      </c>
      <c r="H58">
        <f t="shared" si="9"/>
        <v>0.67962875189206517</v>
      </c>
      <c r="I58" s="4" t="s">
        <v>30</v>
      </c>
      <c r="J58" s="4">
        <f t="shared" si="7"/>
        <v>-0.41152228571428573</v>
      </c>
      <c r="K58">
        <f t="shared" si="8"/>
        <v>0.92155428571428555</v>
      </c>
      <c r="L58">
        <f t="shared" si="2"/>
        <v>0.15152228571428572</v>
      </c>
    </row>
    <row r="59" spans="1:12" x14ac:dyDescent="0.25">
      <c r="A59">
        <f t="shared" si="10"/>
        <v>52</v>
      </c>
      <c r="B59">
        <f t="shared" si="0"/>
        <v>0.90757121103705141</v>
      </c>
      <c r="C59">
        <f t="shared" si="6"/>
        <v>0.36974233128834355</v>
      </c>
      <c r="D59">
        <f t="shared" si="11"/>
        <v>0.70476000000000016</v>
      </c>
      <c r="E59" s="4" t="s">
        <v>30</v>
      </c>
      <c r="F59">
        <f>C59*'Données géométriques'!$B$6/(2+('Données géométriques'!$B$6^2+4)^0.5)</f>
        <v>0.20494929017259486</v>
      </c>
      <c r="G59">
        <f>F59^2/(PI()*'Données géométriques'!$B$6)</f>
        <v>4.1774485825886668E-3</v>
      </c>
      <c r="H59">
        <f t="shared" si="9"/>
        <v>0.70893744858258878</v>
      </c>
      <c r="I59" s="4" t="s">
        <v>30</v>
      </c>
      <c r="J59" s="4">
        <f t="shared" si="7"/>
        <v>-0.41152228571428573</v>
      </c>
      <c r="K59">
        <f t="shared" si="8"/>
        <v>0.92155428571428555</v>
      </c>
      <c r="L59">
        <f t="shared" si="2"/>
        <v>0.15152228571428572</v>
      </c>
    </row>
    <row r="60" spans="1:12" x14ac:dyDescent="0.25">
      <c r="A60">
        <f t="shared" si="10"/>
        <v>54</v>
      </c>
      <c r="B60">
        <f t="shared" si="0"/>
        <v>0.94247779607693793</v>
      </c>
      <c r="C60">
        <f t="shared" si="6"/>
        <v>0.35028220858895709</v>
      </c>
      <c r="D60">
        <f t="shared" si="11"/>
        <v>0.73452000000000017</v>
      </c>
      <c r="E60" s="4" t="s">
        <v>30</v>
      </c>
      <c r="F60">
        <f>C60*'Données géométriques'!$B$6/(2+('Données géométriques'!$B$6^2+4)^0.5)</f>
        <v>0.19416248542666886</v>
      </c>
      <c r="G60">
        <f>F60^2/(PI()*'Données géométriques'!$B$6)</f>
        <v>3.7492890325726558E-3</v>
      </c>
      <c r="H60">
        <f t="shared" si="9"/>
        <v>0.73826928903257283</v>
      </c>
      <c r="I60" s="4" t="s">
        <v>30</v>
      </c>
      <c r="J60" s="4">
        <f t="shared" si="7"/>
        <v>-0.41152228571428573</v>
      </c>
      <c r="K60">
        <f t="shared" si="8"/>
        <v>0.92155428571428555</v>
      </c>
      <c r="L60">
        <f t="shared" si="2"/>
        <v>0.15152228571428572</v>
      </c>
    </row>
    <row r="61" spans="1:12" x14ac:dyDescent="0.25">
      <c r="A61">
        <f t="shared" si="10"/>
        <v>56</v>
      </c>
      <c r="B61">
        <f t="shared" si="0"/>
        <v>0.97738438111682457</v>
      </c>
      <c r="C61">
        <f t="shared" si="6"/>
        <v>0.33082208588957057</v>
      </c>
      <c r="D61">
        <f t="shared" si="11"/>
        <v>0.76428000000000018</v>
      </c>
      <c r="E61" s="4" t="s">
        <v>30</v>
      </c>
      <c r="F61">
        <f>C61*'Données géométriques'!$B$6/(2+('Données géométriques'!$B$6^2+4)^0.5)</f>
        <v>0.18337568068074281</v>
      </c>
      <c r="G61">
        <f>F61^2/(PI()*'Données géométriques'!$B$6)</f>
        <v>3.3442732420169673E-3</v>
      </c>
      <c r="H61">
        <f t="shared" si="9"/>
        <v>0.7676242732420171</v>
      </c>
      <c r="I61" s="4" t="s">
        <v>30</v>
      </c>
      <c r="J61" s="4">
        <f t="shared" si="7"/>
        <v>-0.41152228571428573</v>
      </c>
      <c r="K61">
        <f t="shared" si="8"/>
        <v>0.92155428571428555</v>
      </c>
      <c r="L61">
        <f t="shared" si="2"/>
        <v>0.15152228571428572</v>
      </c>
    </row>
    <row r="62" spans="1:12" x14ac:dyDescent="0.25">
      <c r="A62">
        <f t="shared" si="10"/>
        <v>58</v>
      </c>
      <c r="B62">
        <f t="shared" si="0"/>
        <v>1.0122909661567112</v>
      </c>
      <c r="C62">
        <f t="shared" si="6"/>
        <v>0.31136196319018405</v>
      </c>
      <c r="D62">
        <f t="shared" si="11"/>
        <v>0.79404000000000019</v>
      </c>
      <c r="E62" s="4" t="s">
        <v>30</v>
      </c>
      <c r="F62">
        <f>C62*'Données géométriques'!$B$6/(2+('Données géométriques'!$B$6^2+4)^0.5)</f>
        <v>0.17258887593481675</v>
      </c>
      <c r="G62">
        <f>F62^2/(PI()*'Données géométriques'!$B$6)</f>
        <v>2.9624012109216039E-3</v>
      </c>
      <c r="H62">
        <f t="shared" si="9"/>
        <v>0.79700240121092181</v>
      </c>
      <c r="I62" s="4" t="s">
        <v>30</v>
      </c>
      <c r="J62" s="4">
        <f t="shared" si="7"/>
        <v>-0.41152228571428573</v>
      </c>
      <c r="K62">
        <f t="shared" si="8"/>
        <v>0.92155428571428555</v>
      </c>
      <c r="L62">
        <f t="shared" si="2"/>
        <v>0.15152228571428572</v>
      </c>
    </row>
    <row r="63" spans="1:12" x14ac:dyDescent="0.25">
      <c r="A63">
        <f t="shared" si="10"/>
        <v>60</v>
      </c>
      <c r="B63">
        <f t="shared" si="0"/>
        <v>1.0471975511965976</v>
      </c>
      <c r="C63">
        <f t="shared" si="6"/>
        <v>0.29190184049079759</v>
      </c>
      <c r="D63">
        <f t="shared" si="11"/>
        <v>0.8238000000000002</v>
      </c>
      <c r="E63" s="4" t="s">
        <v>30</v>
      </c>
      <c r="F63">
        <f>C63*'Données géométriques'!$B$6/(2+('Données géométriques'!$B$6^2+4)^0.5)</f>
        <v>0.1618020711888907</v>
      </c>
      <c r="G63">
        <f>F63^2/(PI()*'Données géométriques'!$B$6)</f>
        <v>2.6036729392865656E-3</v>
      </c>
      <c r="H63">
        <f t="shared" si="9"/>
        <v>0.82640367293928674</v>
      </c>
      <c r="I63" s="4" t="s">
        <v>30</v>
      </c>
      <c r="J63" s="4">
        <f t="shared" si="7"/>
        <v>-0.41152228571428573</v>
      </c>
      <c r="K63">
        <f t="shared" si="8"/>
        <v>0.92155428571428555</v>
      </c>
      <c r="L63">
        <f t="shared" si="2"/>
        <v>0.15152228571428572</v>
      </c>
    </row>
    <row r="64" spans="1:12" x14ac:dyDescent="0.25">
      <c r="A64">
        <f t="shared" si="10"/>
        <v>62</v>
      </c>
      <c r="B64">
        <f t="shared" si="0"/>
        <v>1.0821041362364843</v>
      </c>
      <c r="C64">
        <f t="shared" si="6"/>
        <v>0.27244171779141108</v>
      </c>
      <c r="D64">
        <f t="shared" si="11"/>
        <v>0.85356000000000021</v>
      </c>
      <c r="E64" s="4" t="s">
        <v>30</v>
      </c>
      <c r="F64">
        <f>C64*'Données géométriques'!$B$6/(2+('Données géométriques'!$B$6^2+4)^0.5)</f>
        <v>0.15101526644296465</v>
      </c>
      <c r="G64">
        <f>F64^2/(PI()*'Données géométriques'!$B$6)</f>
        <v>2.2680884271118525E-3</v>
      </c>
      <c r="H64">
        <f t="shared" si="9"/>
        <v>0.85582808842711211</v>
      </c>
      <c r="I64" s="4" t="s">
        <v>30</v>
      </c>
      <c r="J64" s="4">
        <f t="shared" si="7"/>
        <v>-0.41152228571428573</v>
      </c>
      <c r="K64">
        <f t="shared" si="8"/>
        <v>0.92155428571428555</v>
      </c>
      <c r="L64">
        <f t="shared" si="2"/>
        <v>0.15152228571428572</v>
      </c>
    </row>
    <row r="65" spans="1:12" x14ac:dyDescent="0.25">
      <c r="A65">
        <f t="shared" si="10"/>
        <v>64</v>
      </c>
      <c r="B65">
        <f t="shared" si="0"/>
        <v>1.1170107212763709</v>
      </c>
      <c r="C65">
        <f t="shared" si="6"/>
        <v>0.25298159509202456</v>
      </c>
      <c r="D65">
        <f t="shared" si="11"/>
        <v>0.88332000000000022</v>
      </c>
      <c r="E65" s="4" t="s">
        <v>30</v>
      </c>
      <c r="F65">
        <f>C65*'Données géométriques'!$B$6/(2+('Données géométriques'!$B$6^2+4)^0.5)</f>
        <v>0.14022846169703862</v>
      </c>
      <c r="G65">
        <f>F65^2/(PI()*'Données géométriques'!$B$6)</f>
        <v>1.9556476743974654E-3</v>
      </c>
      <c r="H65">
        <f t="shared" si="9"/>
        <v>0.8852756476743977</v>
      </c>
      <c r="I65" s="4" t="s">
        <v>30</v>
      </c>
      <c r="J65" s="4">
        <f t="shared" si="7"/>
        <v>-0.41152228571428573</v>
      </c>
      <c r="K65">
        <f t="shared" si="8"/>
        <v>0.92155428571428555</v>
      </c>
      <c r="L65">
        <f t="shared" si="2"/>
        <v>0.15152228571428572</v>
      </c>
    </row>
    <row r="66" spans="1:12" x14ac:dyDescent="0.25">
      <c r="A66">
        <f t="shared" si="10"/>
        <v>66</v>
      </c>
      <c r="B66">
        <f t="shared" si="0"/>
        <v>1.1519173063162575</v>
      </c>
      <c r="C66">
        <f t="shared" si="6"/>
        <v>0.23352147239263804</v>
      </c>
      <c r="D66">
        <f t="shared" si="11"/>
        <v>0.91308000000000022</v>
      </c>
      <c r="E66" s="4" t="s">
        <v>30</v>
      </c>
      <c r="F66">
        <f>C66*'Données géométriques'!$B$6/(2+('Données géométriques'!$B$6^2+4)^0.5)</f>
        <v>0.12944165695111257</v>
      </c>
      <c r="G66">
        <f>F66^2/(PI()*'Données géométriques'!$B$6)</f>
        <v>1.6663506811434021E-3</v>
      </c>
      <c r="H66">
        <f t="shared" si="9"/>
        <v>0.91474635068114363</v>
      </c>
      <c r="I66" s="4" t="s">
        <v>30</v>
      </c>
      <c r="J66" s="4">
        <f t="shared" si="7"/>
        <v>-0.41152228571428573</v>
      </c>
      <c r="K66">
        <f t="shared" si="8"/>
        <v>0.92155428571428555</v>
      </c>
      <c r="L66">
        <f t="shared" si="2"/>
        <v>0.15152228571428572</v>
      </c>
    </row>
    <row r="67" spans="1:12" x14ac:dyDescent="0.25">
      <c r="A67">
        <f t="shared" si="10"/>
        <v>68</v>
      </c>
      <c r="B67">
        <f t="shared" si="0"/>
        <v>1.1868238913561442</v>
      </c>
      <c r="C67">
        <f t="shared" si="6"/>
        <v>0.21406134969325155</v>
      </c>
      <c r="D67">
        <f t="shared" si="11"/>
        <v>0.94284000000000023</v>
      </c>
      <c r="E67" s="4" t="s">
        <v>30</v>
      </c>
      <c r="F67">
        <f>C67*'Données géométriques'!$B$6/(2+('Données géométriques'!$B$6^2+4)^0.5)</f>
        <v>0.11865485220518653</v>
      </c>
      <c r="G67">
        <f>F67^2/(PI()*'Données géométriques'!$B$6)</f>
        <v>1.4001974473496644E-3</v>
      </c>
      <c r="H67">
        <f t="shared" si="9"/>
        <v>0.94424019744734988</v>
      </c>
      <c r="I67" s="4" t="s">
        <v>30</v>
      </c>
      <c r="J67" s="4">
        <f t="shared" si="7"/>
        <v>-0.41152228571428573</v>
      </c>
      <c r="K67">
        <f t="shared" si="8"/>
        <v>0.92155428571428555</v>
      </c>
      <c r="L67">
        <f t="shared" si="2"/>
        <v>0.15152228571428572</v>
      </c>
    </row>
    <row r="68" spans="1:12" x14ac:dyDescent="0.25">
      <c r="A68">
        <f t="shared" si="10"/>
        <v>70</v>
      </c>
      <c r="B68">
        <f t="shared" si="0"/>
        <v>1.2217304763960306</v>
      </c>
      <c r="C68">
        <f t="shared" si="6"/>
        <v>0.19460122699386503</v>
      </c>
      <c r="D68">
        <f t="shared" si="11"/>
        <v>0.97260000000000024</v>
      </c>
      <c r="E68" s="4" t="s">
        <v>30</v>
      </c>
      <c r="F68">
        <f>C68*'Données géométriques'!$B$6/(2+('Données géométriques'!$B$6^2+4)^0.5)</f>
        <v>0.10786804745926047</v>
      </c>
      <c r="G68">
        <f>F68^2/(PI()*'Données géométriques'!$B$6)</f>
        <v>1.1571879730162516E-3</v>
      </c>
      <c r="H68">
        <f t="shared" si="9"/>
        <v>0.97375718797301647</v>
      </c>
      <c r="I68" s="4" t="s">
        <v>30</v>
      </c>
      <c r="J68" s="4">
        <f t="shared" si="7"/>
        <v>-0.41152228571428573</v>
      </c>
      <c r="K68">
        <f t="shared" si="8"/>
        <v>0.92155428571428555</v>
      </c>
      <c r="L68">
        <f t="shared" si="2"/>
        <v>0.15152228571428572</v>
      </c>
    </row>
    <row r="69" spans="1:12" x14ac:dyDescent="0.25">
      <c r="A69">
        <f t="shared" si="10"/>
        <v>72</v>
      </c>
      <c r="B69">
        <f t="shared" ref="B69:B78" si="12">RADIANS(A69)</f>
        <v>1.2566370614359172</v>
      </c>
      <c r="C69">
        <f t="shared" si="6"/>
        <v>0.17514110429447854</v>
      </c>
      <c r="D69">
        <f t="shared" si="11"/>
        <v>1.0023600000000004</v>
      </c>
      <c r="E69" s="4" t="s">
        <v>30</v>
      </c>
      <c r="F69">
        <f>C69*'Données géométriques'!$B$6/(2+('Données géométriques'!$B$6^2+4)^0.5)</f>
        <v>9.7081242713334431E-2</v>
      </c>
      <c r="G69">
        <f>F69^2/(PI()*'Données géométriques'!$B$6)</f>
        <v>9.3732225814316394E-4</v>
      </c>
      <c r="H69">
        <f t="shared" si="9"/>
        <v>1.0032973222581436</v>
      </c>
      <c r="I69" s="4" t="s">
        <v>30</v>
      </c>
      <c r="J69" s="4">
        <f t="shared" si="7"/>
        <v>-0.41152228571428573</v>
      </c>
      <c r="K69">
        <f t="shared" si="8"/>
        <v>0.92155428571428555</v>
      </c>
      <c r="L69">
        <f t="shared" ref="L69:L78" si="13" xml:space="preserve"> -(J69+0.26)</f>
        <v>0.15152228571428572</v>
      </c>
    </row>
    <row r="70" spans="1:12" x14ac:dyDescent="0.25">
      <c r="A70">
        <f t="shared" si="10"/>
        <v>74</v>
      </c>
      <c r="B70">
        <f t="shared" si="12"/>
        <v>1.2915436464758039</v>
      </c>
      <c r="C70">
        <f t="shared" si="6"/>
        <v>0.15568098159509203</v>
      </c>
      <c r="D70">
        <f t="shared" si="11"/>
        <v>1.0321200000000004</v>
      </c>
      <c r="E70" s="4" t="s">
        <v>30</v>
      </c>
      <c r="F70">
        <f>C70*'Données géométriques'!$B$6/(2+('Données géométriques'!$B$6^2+4)^0.5)</f>
        <v>8.6294437967408377E-2</v>
      </c>
      <c r="G70">
        <f>F70^2/(PI()*'Données géométriques'!$B$6)</f>
        <v>7.4060030273040097E-4</v>
      </c>
      <c r="H70">
        <f t="shared" si="9"/>
        <v>1.0328606003027307</v>
      </c>
      <c r="I70" s="4" t="s">
        <v>30</v>
      </c>
      <c r="J70" s="4">
        <f t="shared" si="7"/>
        <v>-0.41152228571428573</v>
      </c>
      <c r="K70">
        <f t="shared" si="8"/>
        <v>0.92155428571428555</v>
      </c>
      <c r="L70">
        <f t="shared" si="13"/>
        <v>0.15152228571428572</v>
      </c>
    </row>
    <row r="71" spans="1:12" x14ac:dyDescent="0.25">
      <c r="A71">
        <f t="shared" si="10"/>
        <v>76</v>
      </c>
      <c r="B71">
        <f t="shared" si="12"/>
        <v>1.3264502315156905</v>
      </c>
      <c r="C71">
        <f t="shared" si="6"/>
        <v>0.13622085889570554</v>
      </c>
      <c r="D71">
        <f t="shared" si="11"/>
        <v>1.0618800000000004</v>
      </c>
      <c r="E71" s="4" t="s">
        <v>30</v>
      </c>
      <c r="F71">
        <f>C71*'Données géométriques'!$B$6/(2+('Données géométriques'!$B$6^2+4)^0.5)</f>
        <v>7.5507633221482323E-2</v>
      </c>
      <c r="G71">
        <f>F71^2/(PI()*'Données géométriques'!$B$6)</f>
        <v>5.6702210677796313E-4</v>
      </c>
      <c r="H71">
        <f t="shared" si="9"/>
        <v>1.0624470221067783</v>
      </c>
      <c r="I71" s="4" t="s">
        <v>30</v>
      </c>
      <c r="J71" s="4">
        <f t="shared" si="7"/>
        <v>-0.41152228571428573</v>
      </c>
      <c r="K71">
        <f t="shared" si="8"/>
        <v>0.92155428571428555</v>
      </c>
      <c r="L71">
        <f t="shared" si="13"/>
        <v>0.15152228571428572</v>
      </c>
    </row>
    <row r="72" spans="1:12" x14ac:dyDescent="0.25">
      <c r="A72">
        <f t="shared" si="10"/>
        <v>78</v>
      </c>
      <c r="B72">
        <f t="shared" si="12"/>
        <v>1.3613568165555769</v>
      </c>
      <c r="C72">
        <f t="shared" si="6"/>
        <v>0.11676073619631902</v>
      </c>
      <c r="D72">
        <f t="shared" si="11"/>
        <v>1.0916400000000004</v>
      </c>
      <c r="E72" s="4" t="s">
        <v>30</v>
      </c>
      <c r="F72">
        <f>C72*'Données géométriques'!$B$6/(2+('Données géométriques'!$B$6^2+4)^0.5)</f>
        <v>6.4720828475556283E-2</v>
      </c>
      <c r="G72">
        <f>F72^2/(PI()*'Données géométriques'!$B$6)</f>
        <v>4.1658767028585053E-4</v>
      </c>
      <c r="H72">
        <f t="shared" si="9"/>
        <v>1.0920565876702861</v>
      </c>
      <c r="I72" s="4" t="s">
        <v>30</v>
      </c>
      <c r="J72" s="4">
        <f t="shared" si="7"/>
        <v>-0.41152228571428573</v>
      </c>
      <c r="K72">
        <f t="shared" si="8"/>
        <v>0.92155428571428555</v>
      </c>
      <c r="L72">
        <f t="shared" si="13"/>
        <v>0.15152228571428572</v>
      </c>
    </row>
    <row r="73" spans="1:12" x14ac:dyDescent="0.25">
      <c r="A73">
        <f t="shared" si="10"/>
        <v>80</v>
      </c>
      <c r="B73">
        <f t="shared" si="12"/>
        <v>1.3962634015954636</v>
      </c>
      <c r="C73">
        <f t="shared" si="6"/>
        <v>9.7300613496932517E-2</v>
      </c>
      <c r="D73">
        <f t="shared" si="11"/>
        <v>1.1214000000000004</v>
      </c>
      <c r="E73" s="4" t="s">
        <v>30</v>
      </c>
      <c r="F73">
        <f>C73*'Données géométriques'!$B$6/(2+('Données géométriques'!$B$6^2+4)^0.5)</f>
        <v>5.3934023729630236E-2</v>
      </c>
      <c r="G73">
        <f>F73^2/(PI()*'Données géométriques'!$B$6)</f>
        <v>2.892969932540629E-4</v>
      </c>
      <c r="H73">
        <f t="shared" si="9"/>
        <v>1.1216892969932544</v>
      </c>
      <c r="I73" s="4" t="s">
        <v>30</v>
      </c>
      <c r="J73" s="4">
        <f t="shared" si="7"/>
        <v>-0.41152228571428573</v>
      </c>
      <c r="K73">
        <f t="shared" si="8"/>
        <v>0.92155428571428555</v>
      </c>
      <c r="L73">
        <f t="shared" si="13"/>
        <v>0.15152228571428572</v>
      </c>
    </row>
    <row r="74" spans="1:12" x14ac:dyDescent="0.25">
      <c r="A74">
        <f t="shared" si="10"/>
        <v>82</v>
      </c>
      <c r="B74">
        <f t="shared" si="12"/>
        <v>1.4311699866353502</v>
      </c>
      <c r="C74">
        <f t="shared" si="6"/>
        <v>7.7840490797546014E-2</v>
      </c>
      <c r="D74">
        <f t="shared" si="11"/>
        <v>1.1511600000000004</v>
      </c>
      <c r="E74" s="4" t="s">
        <v>30</v>
      </c>
      <c r="F74">
        <f>C74*'Données géométriques'!$B$6/(2+('Données géométriques'!$B$6^2+4)^0.5)</f>
        <v>4.3147218983704189E-2</v>
      </c>
      <c r="G74">
        <f>F74^2/(PI()*'Données géométriques'!$B$6)</f>
        <v>1.8515007568260024E-4</v>
      </c>
      <c r="H74">
        <f t="shared" si="9"/>
        <v>1.1513451500756831</v>
      </c>
      <c r="I74" s="4" t="s">
        <v>30</v>
      </c>
      <c r="J74" s="4">
        <f t="shared" si="7"/>
        <v>-0.41152228571428573</v>
      </c>
      <c r="K74">
        <f t="shared" si="8"/>
        <v>0.92155428571428555</v>
      </c>
      <c r="L74">
        <f t="shared" si="13"/>
        <v>0.15152228571428572</v>
      </c>
    </row>
    <row r="75" spans="1:12" x14ac:dyDescent="0.25">
      <c r="A75">
        <f t="shared" si="10"/>
        <v>84</v>
      </c>
      <c r="B75">
        <f t="shared" si="12"/>
        <v>1.4660765716752369</v>
      </c>
      <c r="C75">
        <f t="shared" si="6"/>
        <v>5.838036809815951E-2</v>
      </c>
      <c r="D75">
        <f t="shared" si="11"/>
        <v>1.1809200000000004</v>
      </c>
      <c r="E75" s="4" t="s">
        <v>30</v>
      </c>
      <c r="F75">
        <f>C75*'Données géométriques'!$B$6/(2+('Données géométriques'!$B$6^2+4)^0.5)</f>
        <v>3.2360414237778141E-2</v>
      </c>
      <c r="G75">
        <f>F75^2/(PI()*'Données géométriques'!$B$6)</f>
        <v>1.0414691757146263E-4</v>
      </c>
      <c r="H75">
        <f t="shared" si="9"/>
        <v>1.181024146917572</v>
      </c>
      <c r="I75" s="4" t="s">
        <v>30</v>
      </c>
      <c r="J75" s="4">
        <f t="shared" si="7"/>
        <v>-0.41152228571428573</v>
      </c>
      <c r="K75">
        <f t="shared" si="8"/>
        <v>0.92155428571428555</v>
      </c>
      <c r="L75">
        <f t="shared" si="13"/>
        <v>0.15152228571428572</v>
      </c>
    </row>
    <row r="76" spans="1:12" x14ac:dyDescent="0.25">
      <c r="A76">
        <f t="shared" si="10"/>
        <v>86</v>
      </c>
      <c r="B76">
        <f t="shared" si="12"/>
        <v>1.5009831567151235</v>
      </c>
      <c r="C76">
        <f t="shared" si="6"/>
        <v>3.8920245398773007E-2</v>
      </c>
      <c r="D76">
        <f t="shared" si="11"/>
        <v>1.2106800000000004</v>
      </c>
      <c r="E76" s="4" t="s">
        <v>30</v>
      </c>
      <c r="F76">
        <f>C76*'Données géométriques'!$B$6/(2+('Données géométriques'!$B$6^2+4)^0.5)</f>
        <v>2.1573609491852094E-2</v>
      </c>
      <c r="G76">
        <f>F76^2/(PI()*'Données géométriques'!$B$6)</f>
        <v>4.6287518920650061E-5</v>
      </c>
      <c r="H76">
        <f t="shared" si="9"/>
        <v>1.2107262875189211</v>
      </c>
      <c r="I76" s="4" t="s">
        <v>30</v>
      </c>
      <c r="J76" s="4">
        <f t="shared" si="7"/>
        <v>-0.41152228571428573</v>
      </c>
      <c r="K76">
        <f t="shared" si="8"/>
        <v>0.92155428571428555</v>
      </c>
      <c r="L76">
        <f t="shared" si="13"/>
        <v>0.15152228571428572</v>
      </c>
    </row>
    <row r="77" spans="1:12" x14ac:dyDescent="0.25">
      <c r="A77">
        <f t="shared" si="10"/>
        <v>88</v>
      </c>
      <c r="B77">
        <f t="shared" si="12"/>
        <v>1.5358897417550099</v>
      </c>
      <c r="C77">
        <f t="shared" si="6"/>
        <v>1.9460122699386503E-2</v>
      </c>
      <c r="D77">
        <f t="shared" si="11"/>
        <v>1.2404400000000004</v>
      </c>
      <c r="E77" s="4" t="s">
        <v>30</v>
      </c>
      <c r="F77">
        <f>C77*'Données géométriques'!$B$6/(2+('Données géométriques'!$B$6^2+4)^0.5)</f>
        <v>1.0786804745926047E-2</v>
      </c>
      <c r="G77">
        <f>F77^2/(PI()*'Données géométriques'!$B$6)</f>
        <v>1.1571879730162515E-5</v>
      </c>
      <c r="H77">
        <f t="shared" si="9"/>
        <v>1.2404515718797307</v>
      </c>
      <c r="I77" s="4" t="s">
        <v>30</v>
      </c>
      <c r="J77" s="4">
        <f t="shared" si="7"/>
        <v>-0.41152228571428573</v>
      </c>
      <c r="K77">
        <f t="shared" si="8"/>
        <v>0.92155428571428555</v>
      </c>
      <c r="L77">
        <f t="shared" si="13"/>
        <v>0.15152228571428572</v>
      </c>
    </row>
    <row r="78" spans="1:12" x14ac:dyDescent="0.25">
      <c r="A78">
        <f t="shared" si="10"/>
        <v>90</v>
      </c>
      <c r="B78">
        <f t="shared" si="12"/>
        <v>1.5707963267948966</v>
      </c>
      <c r="C78">
        <f t="shared" si="6"/>
        <v>0</v>
      </c>
      <c r="D78">
        <f t="shared" si="11"/>
        <v>1.2702000000000004</v>
      </c>
      <c r="E78" s="4" t="s">
        <v>30</v>
      </c>
      <c r="F78">
        <f>C78*'Données géométriques'!$B$6/(2+('Données géométriques'!$B$6^2+4)^0.5)</f>
        <v>0</v>
      </c>
      <c r="G78">
        <f>F78^2/(PI()*'Données géométriques'!$B$6)</f>
        <v>0</v>
      </c>
      <c r="H78">
        <f>G78+D78</f>
        <v>1.2702000000000004</v>
      </c>
      <c r="I78" s="4" t="s">
        <v>30</v>
      </c>
      <c r="J78" s="4">
        <f t="shared" si="7"/>
        <v>-0.41152228571428573</v>
      </c>
      <c r="K78">
        <f t="shared" si="8"/>
        <v>0.92155428571428555</v>
      </c>
      <c r="L78">
        <f t="shared" si="13"/>
        <v>0.15152228571428572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77"/>
  <sheetViews>
    <sheetView topLeftCell="A4" zoomScale="94" workbookViewId="0">
      <selection activeCell="H78" sqref="H78"/>
    </sheetView>
  </sheetViews>
  <sheetFormatPr baseColWidth="10" defaultColWidth="8.85546875" defaultRowHeight="15" x14ac:dyDescent="0.25"/>
  <cols>
    <col min="1" max="8" width="11.42578125" customWidth="1"/>
    <col min="9" max="9" width="13.42578125" customWidth="1"/>
    <col min="10" max="10" width="14.7109375" bestFit="1" customWidth="1"/>
    <col min="11" max="11" width="11.42578125" customWidth="1"/>
    <col min="12" max="12" width="15.28515625" customWidth="1"/>
    <col min="14" max="14" width="11.7109375" customWidth="1"/>
    <col min="15" max="15" width="14.85546875" customWidth="1"/>
  </cols>
  <sheetData>
    <row r="1" spans="1:15" x14ac:dyDescent="0.25">
      <c r="A1">
        <v>5</v>
      </c>
      <c r="C1">
        <f>ROUND(((A1*0.514)/15.6)*1000000,0)</f>
        <v>164744</v>
      </c>
      <c r="N1" t="s">
        <v>28</v>
      </c>
      <c r="O1" t="s">
        <v>29</v>
      </c>
    </row>
    <row r="2" spans="1:1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22</v>
      </c>
      <c r="J2" t="s">
        <v>23</v>
      </c>
      <c r="K2" t="s">
        <v>25</v>
      </c>
      <c r="L2" t="s">
        <v>24</v>
      </c>
      <c r="N2">
        <f>INDEX(A4:A43,MATCH(MAX(F4:F43),F4:F43,0))</f>
        <v>10.5</v>
      </c>
      <c r="O2">
        <f>(D25-D24)/(A25-A24)</f>
        <v>1.2499999999999997E-2</v>
      </c>
    </row>
    <row r="3" spans="1:15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5" x14ac:dyDescent="0.25">
      <c r="A4">
        <v>0</v>
      </c>
      <c r="B4">
        <v>0</v>
      </c>
      <c r="C4">
        <v>0</v>
      </c>
      <c r="D4">
        <v>9.1000000000000004E-3</v>
      </c>
      <c r="E4">
        <v>0</v>
      </c>
      <c r="F4">
        <f>C4*'Données géométriques'!$B$6/(2+('Données géométriques'!$B$6^2+4)^0.5)</f>
        <v>0</v>
      </c>
      <c r="G4">
        <f>F4^2/(PI()*'Données géométriques'!$B$6)</f>
        <v>0</v>
      </c>
      <c r="H4">
        <f>G4+D4</f>
        <v>9.1000000000000004E-3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ZCP_3D('Données géométriques'!$B$9,'Données géométriques'!$B$10,'Données géométriques'!$B$12)+0.23</f>
        <v>1.1514536950961625</v>
      </c>
      <c r="L4">
        <f xml:space="preserve"> -(J4+0.26)</f>
        <v>-0.21661959277092063</v>
      </c>
    </row>
    <row r="5" spans="1:15" x14ac:dyDescent="0.25">
      <c r="A5">
        <v>0.5</v>
      </c>
      <c r="B5">
        <f>RADIANS(A5)</f>
        <v>8.7266462599716477E-3</v>
      </c>
      <c r="C5">
        <v>7.1599999999999997E-2</v>
      </c>
      <c r="D5">
        <v>9.11E-3</v>
      </c>
      <c r="E5">
        <v>-2.3E-3</v>
      </c>
      <c r="F5">
        <f>C5*'Données géométriques'!$B$6/(2+('Données géométriques'!$B$6^2+4)^0.5)</f>
        <v>3.9688096099859294E-2</v>
      </c>
      <c r="G5">
        <f>F5^2/(PI()*'Données géométriques'!$B$6)</f>
        <v>1.5665303285520982E-4</v>
      </c>
      <c r="H5">
        <f t="shared" ref="H5:H40" si="0">G5+D5</f>
        <v>9.2666530328552096E-3</v>
      </c>
      <c r="I5">
        <f>0.25-E5/(C5*COS(B5)+D5*SIN(B5))</f>
        <v>0.28208849843585104</v>
      </c>
      <c r="J5">
        <f>XCP_3D('Données géométriques'!$B$9,'Données géométriques'!$B$10,'Données géométriques'!$B$12,'Données géométriques'!$B$11,I5)</f>
        <v>-0.25108229628598999</v>
      </c>
      <c r="K5">
        <f>ZCP_3D('Données géométriques'!$B$9,'Données géométriques'!$B$10,'Données géométriques'!$B$12)+0.23</f>
        <v>1.1514536950961625</v>
      </c>
      <c r="L5">
        <f t="shared" ref="L5:L25" si="1" xml:space="preserve"> -(J5+0.26)</f>
        <v>-8.9177037140100168E-3</v>
      </c>
    </row>
    <row r="6" spans="1:15" x14ac:dyDescent="0.25">
      <c r="A6">
        <v>1</v>
      </c>
      <c r="B6">
        <f t="shared" ref="B6:B69" si="2">RADIANS(A6)</f>
        <v>1.7453292519943295E-2</v>
      </c>
      <c r="C6">
        <v>0.1391</v>
      </c>
      <c r="D6">
        <v>9.2099999999999994E-3</v>
      </c>
      <c r="E6">
        <v>-3.8E-3</v>
      </c>
      <c r="F6">
        <f>C6*'Données géométriques'!$B$6/(2+('Données géométriques'!$B$6^2+4)^0.5)</f>
        <v>7.710354982528532E-2</v>
      </c>
      <c r="G6">
        <f>F6^2/(PI()*'Données géométriques'!$B$6)</f>
        <v>5.9124437608049335E-4</v>
      </c>
      <c r="H6">
        <f t="shared" si="0"/>
        <v>9.801244376080492E-3</v>
      </c>
      <c r="I6">
        <f t="shared" ref="I6:I25" si="3">0.25-E6/(C6*COS(B6)+D6*SIN(B6))</f>
        <v>0.27729109632345089</v>
      </c>
      <c r="J6">
        <f>XCP_3D('Données géométriques'!$B$9,'Données géométriques'!$B$10,'Données géométriques'!$B$12,'Données géométriques'!$B$11,I6)</f>
        <v>-0.24754996693957512</v>
      </c>
      <c r="K6">
        <f t="shared" ref="K6:K25" si="4">$K$4</f>
        <v>1.1514536950961625</v>
      </c>
      <c r="L6">
        <f t="shared" si="1"/>
        <v>-1.2450033060424887E-2</v>
      </c>
    </row>
    <row r="7" spans="1:15" x14ac:dyDescent="0.25">
      <c r="A7">
        <v>1.5</v>
      </c>
      <c r="B7">
        <f t="shared" si="2"/>
        <v>2.6179938779914945E-2</v>
      </c>
      <c r="C7">
        <v>0.20649999999999999</v>
      </c>
      <c r="D7">
        <v>9.4599999999999997E-3</v>
      </c>
      <c r="E7">
        <v>-5.5999999999999999E-3</v>
      </c>
      <c r="F7">
        <f>C7*'Données géométriques'!$B$6/(2+('Données géométriques'!$B$6^2+4)^0.5)</f>
        <v>0.11446357324889588</v>
      </c>
      <c r="G7">
        <f>F7^2/(PI()*'Données géométriques'!$B$6)</f>
        <v>1.3030253796444541E-3</v>
      </c>
      <c r="H7">
        <f t="shared" si="0"/>
        <v>1.0763025379644454E-2</v>
      </c>
      <c r="I7">
        <f t="shared" si="3"/>
        <v>0.27709543626393779</v>
      </c>
      <c r="J7">
        <f>XCP_3D('Données géométriques'!$B$9,'Données géométriques'!$B$10,'Données géométriques'!$B$12,'Données géométriques'!$B$11,I7)</f>
        <v>-0.24740590234920928</v>
      </c>
      <c r="K7">
        <f t="shared" si="4"/>
        <v>1.1514536950961625</v>
      </c>
      <c r="L7">
        <f t="shared" si="1"/>
        <v>-1.2594097650790725E-2</v>
      </c>
    </row>
    <row r="8" spans="1:15" x14ac:dyDescent="0.25">
      <c r="A8">
        <v>2</v>
      </c>
      <c r="B8">
        <f t="shared" si="2"/>
        <v>3.4906585039886591E-2</v>
      </c>
      <c r="C8">
        <v>0.27500000000000002</v>
      </c>
      <c r="D8">
        <v>9.8899999999999995E-3</v>
      </c>
      <c r="E8">
        <v>-8.0000000000000002E-3</v>
      </c>
      <c r="F8">
        <f>C8*'Données géométriques'!$B$6/(2+('Données géométriques'!$B$6^2+4)^0.5)</f>
        <v>0.15243332999247636</v>
      </c>
      <c r="G8">
        <f>F8^2/(PI()*'Données géométriques'!$B$6)</f>
        <v>2.3108840254820479E-3</v>
      </c>
      <c r="H8">
        <f t="shared" si="0"/>
        <v>1.2200884025482047E-2</v>
      </c>
      <c r="I8">
        <f t="shared" si="3"/>
        <v>0.27907213024410604</v>
      </c>
      <c r="J8">
        <f>XCP_3D('Données géométriques'!$B$9,'Données géométriques'!$B$10,'Données géométriques'!$B$12,'Données géométriques'!$B$11,I8)</f>
        <v>-0.2488613430213574</v>
      </c>
      <c r="K8">
        <f t="shared" si="4"/>
        <v>1.1514536950961625</v>
      </c>
      <c r="L8">
        <f t="shared" si="1"/>
        <v>-1.1138656978642608E-2</v>
      </c>
    </row>
    <row r="9" spans="1:15" x14ac:dyDescent="0.25">
      <c r="A9">
        <v>2.5</v>
      </c>
      <c r="B9">
        <f t="shared" si="2"/>
        <v>4.3633231299858237E-2</v>
      </c>
      <c r="C9">
        <v>0.33189999999999997</v>
      </c>
      <c r="D9">
        <v>1.043E-2</v>
      </c>
      <c r="E9">
        <v>-8.3999999999999995E-3</v>
      </c>
      <c r="F9">
        <f>C9*'Données géométriques'!$B$6/(2+('Données géométriques'!$B$6^2+4)^0.5)</f>
        <v>0.1839731717254651</v>
      </c>
      <c r="G9">
        <f>F9^2/(PI()*'Données géométriques'!$B$6)</f>
        <v>3.3661019667343005E-3</v>
      </c>
      <c r="H9">
        <f t="shared" si="0"/>
        <v>1.37961019667343E-2</v>
      </c>
      <c r="I9">
        <f t="shared" si="3"/>
        <v>0.27529822885197336</v>
      </c>
      <c r="J9">
        <f>XCP_3D('Données géométriques'!$B$9,'Données géométriques'!$B$10,'Données géométriques'!$B$12,'Données géométriques'!$B$11,I9)</f>
        <v>-0.24608261771845893</v>
      </c>
      <c r="K9">
        <f t="shared" si="4"/>
        <v>1.1514536950961625</v>
      </c>
      <c r="L9">
        <f t="shared" si="1"/>
        <v>-1.3917382281541074E-2</v>
      </c>
    </row>
    <row r="10" spans="1:15" x14ac:dyDescent="0.25">
      <c r="A10">
        <v>3</v>
      </c>
      <c r="B10">
        <f t="shared" si="2"/>
        <v>5.235987755982989E-2</v>
      </c>
      <c r="C10">
        <v>0.378</v>
      </c>
      <c r="D10">
        <v>1.11E-2</v>
      </c>
      <c r="E10">
        <v>-6.7000000000000002E-3</v>
      </c>
      <c r="F10">
        <f>C10*'Données géométriques'!$B$6/(2+('Données géométriques'!$B$6^2+4)^0.5)</f>
        <v>0.20952654086238567</v>
      </c>
      <c r="G10">
        <f>F10^2/(PI()*'Données géométriques'!$B$6)</f>
        <v>4.3661269831005208E-3</v>
      </c>
      <c r="H10">
        <f t="shared" si="0"/>
        <v>1.5466126983100521E-2</v>
      </c>
      <c r="I10">
        <f t="shared" si="3"/>
        <v>0.26772191907641801</v>
      </c>
      <c r="J10">
        <f>XCP_3D('Données géométriques'!$B$9,'Données géométriques'!$B$10,'Données géométriques'!$B$12,'Données géométriques'!$B$11,I10)</f>
        <v>-0.24050417740207275</v>
      </c>
      <c r="K10">
        <f t="shared" si="4"/>
        <v>1.1514536950961625</v>
      </c>
      <c r="L10">
        <f t="shared" si="1"/>
        <v>-1.9495822597927259E-2</v>
      </c>
    </row>
    <row r="11" spans="1:15" x14ac:dyDescent="0.25">
      <c r="A11">
        <v>3.5</v>
      </c>
      <c r="B11">
        <f t="shared" si="2"/>
        <v>6.1086523819801536E-2</v>
      </c>
      <c r="C11">
        <v>0.42380000000000001</v>
      </c>
      <c r="D11">
        <v>1.191E-2</v>
      </c>
      <c r="E11">
        <v>-5.1000000000000004E-3</v>
      </c>
      <c r="F11">
        <f>C11*'Données géométriques'!$B$6/(2+('Données géométriques'!$B$6^2+4)^0.5)</f>
        <v>0.23491361909385994</v>
      </c>
      <c r="G11">
        <f>F11^2/(PI()*'Données géométriques'!$B$6)</f>
        <v>5.4882598753018168E-3</v>
      </c>
      <c r="H11">
        <f t="shared" si="0"/>
        <v>1.7398259875301816E-2</v>
      </c>
      <c r="I11">
        <f t="shared" si="3"/>
        <v>0.26203577838523867</v>
      </c>
      <c r="J11">
        <f>XCP_3D('Données géométriques'!$B$9,'Données géométriques'!$B$10,'Données géométriques'!$B$12,'Données géométriques'!$B$11,I11)</f>
        <v>-0.23631746943790477</v>
      </c>
      <c r="K11">
        <f t="shared" si="4"/>
        <v>1.1514536950961625</v>
      </c>
      <c r="L11">
        <f t="shared" si="1"/>
        <v>-2.3682530562095239E-2</v>
      </c>
    </row>
    <row r="12" spans="1:15" x14ac:dyDescent="0.25">
      <c r="A12">
        <v>4</v>
      </c>
      <c r="B12">
        <f t="shared" si="2"/>
        <v>6.9813170079773182E-2</v>
      </c>
      <c r="C12">
        <v>0.46949999999999997</v>
      </c>
      <c r="D12">
        <v>1.286E-2</v>
      </c>
      <c r="E12">
        <v>-3.7000000000000002E-3</v>
      </c>
      <c r="F12">
        <f>C12*'Données géométriques'!$B$6/(2+('Données géométriques'!$B$6^2+4)^0.5)</f>
        <v>0.26024526702351869</v>
      </c>
      <c r="G12">
        <f>F12^2/(PI()*'Données géométriques'!$B$6)</f>
        <v>6.7357189217588627E-3</v>
      </c>
      <c r="H12">
        <f t="shared" si="0"/>
        <v>1.9595718921758862E-2</v>
      </c>
      <c r="I12">
        <f t="shared" si="3"/>
        <v>0.25788486578900999</v>
      </c>
      <c r="J12">
        <f>XCP_3D('Données géométriques'!$B$9,'Données géométriques'!$B$10,'Données géométriques'!$B$12,'Données géométriques'!$B$11,I12)</f>
        <v>-0.233261150614815</v>
      </c>
      <c r="K12">
        <f t="shared" si="4"/>
        <v>1.1514536950961625</v>
      </c>
      <c r="L12">
        <f t="shared" si="1"/>
        <v>-2.6738849385185004E-2</v>
      </c>
    </row>
    <row r="13" spans="1:15" x14ac:dyDescent="0.25">
      <c r="A13">
        <v>4.5</v>
      </c>
      <c r="B13">
        <f t="shared" si="2"/>
        <v>7.8539816339744828E-2</v>
      </c>
      <c r="C13">
        <v>0.5151</v>
      </c>
      <c r="D13">
        <v>1.3860000000000001E-2</v>
      </c>
      <c r="E13">
        <v>-2.0999999999999999E-3</v>
      </c>
      <c r="F13">
        <f>C13*'Données géométriques'!$B$6/(2+('Données géométriques'!$B$6^2+4)^0.5)</f>
        <v>0.28552148465136207</v>
      </c>
      <c r="G13">
        <f>F13^2/(PI()*'Données géométriques'!$B$6)</f>
        <v>8.1076662455793862E-3</v>
      </c>
      <c r="H13">
        <f t="shared" si="0"/>
        <v>2.1967666245579387E-2</v>
      </c>
      <c r="I13">
        <f t="shared" si="3"/>
        <v>0.25408084296297084</v>
      </c>
      <c r="J13">
        <f>XCP_3D('Données géométriques'!$B$9,'Données géométriques'!$B$10,'Données géométriques'!$B$12,'Données géométriques'!$B$11,I13)</f>
        <v>-0.23046024688649788</v>
      </c>
      <c r="K13">
        <f t="shared" si="4"/>
        <v>1.1514536950961625</v>
      </c>
      <c r="L13">
        <f t="shared" si="1"/>
        <v>-2.9539753113502126E-2</v>
      </c>
    </row>
    <row r="14" spans="1:15" x14ac:dyDescent="0.25">
      <c r="A14">
        <v>5</v>
      </c>
      <c r="B14">
        <f t="shared" si="2"/>
        <v>8.7266462599716474E-2</v>
      </c>
      <c r="C14">
        <v>0.5615</v>
      </c>
      <c r="D14">
        <v>1.482E-2</v>
      </c>
      <c r="E14">
        <v>-5.9999999999999995E-4</v>
      </c>
      <c r="F14">
        <f>C14*'Données géométriques'!$B$6/(2+('Données géométriques'!$B$6^2+4)^0.5)</f>
        <v>0.31124114469372899</v>
      </c>
      <c r="G14">
        <f>F14^2/(PI()*'Données géométriques'!$B$6)</f>
        <v>9.6341251575938827E-3</v>
      </c>
      <c r="H14">
        <f t="shared" si="0"/>
        <v>2.4454125157593883E-2</v>
      </c>
      <c r="I14">
        <f t="shared" si="3"/>
        <v>0.2510701769019148</v>
      </c>
      <c r="J14">
        <f>XCP_3D('Données géométriques'!$B$9,'Données géométriques'!$B$10,'Données géométriques'!$B$12,'Données géométriques'!$B$11,I14)</f>
        <v>-0.22824349210327277</v>
      </c>
      <c r="K14">
        <f t="shared" si="4"/>
        <v>1.1514536950961625</v>
      </c>
      <c r="L14">
        <f t="shared" si="1"/>
        <v>-3.1756507896727237E-2</v>
      </c>
    </row>
    <row r="15" spans="1:15" x14ac:dyDescent="0.25">
      <c r="A15">
        <v>5.5</v>
      </c>
      <c r="B15">
        <f t="shared" si="2"/>
        <v>9.599310885968812E-2</v>
      </c>
      <c r="C15">
        <v>0.6079</v>
      </c>
      <c r="D15">
        <v>1.5869999999999999E-2</v>
      </c>
      <c r="E15">
        <v>8.9999999999999998E-4</v>
      </c>
      <c r="F15">
        <f>C15*'Données géométriques'!$B$6/(2+('Données géométriques'!$B$6^2+4)^0.5)</f>
        <v>0.33696080473609591</v>
      </c>
      <c r="G15">
        <f>F15^2/(PI()*'Données géométriques'!$B$6)</f>
        <v>1.1292160687697684E-2</v>
      </c>
      <c r="H15">
        <f t="shared" si="0"/>
        <v>2.7162160687697681E-2</v>
      </c>
      <c r="I15">
        <f t="shared" si="3"/>
        <v>0.24851637531234366</v>
      </c>
      <c r="J15">
        <f>XCP_3D('Données géométriques'!$B$9,'Données géométriques'!$B$10,'Données géométriques'!$B$12,'Données géométriques'!$B$11,I15)</f>
        <v>-0.22636312683715454</v>
      </c>
      <c r="K15">
        <f t="shared" si="4"/>
        <v>1.1514536950961625</v>
      </c>
      <c r="L15">
        <f t="shared" si="1"/>
        <v>-3.3636873162845471E-2</v>
      </c>
    </row>
    <row r="16" spans="1:15" x14ac:dyDescent="0.25">
      <c r="A16">
        <v>6</v>
      </c>
      <c r="B16">
        <f t="shared" si="2"/>
        <v>0.10471975511965978</v>
      </c>
      <c r="C16">
        <v>0.65410000000000001</v>
      </c>
      <c r="D16">
        <v>1.704E-2</v>
      </c>
      <c r="E16">
        <v>2.5000000000000001E-3</v>
      </c>
      <c r="F16">
        <f>C16*'Données géométriques'!$B$6/(2+('Données géométriques'!$B$6^2+4)^0.5)</f>
        <v>0.36256960417483192</v>
      </c>
      <c r="G16">
        <f>F16^2/(PI()*'Données géométriques'!$B$6)</f>
        <v>1.3073776642412598E-2</v>
      </c>
      <c r="H16">
        <f t="shared" si="0"/>
        <v>3.0113776642412597E-2</v>
      </c>
      <c r="I16">
        <f t="shared" si="3"/>
        <v>0.24616739551199229</v>
      </c>
      <c r="J16">
        <f>XCP_3D('Données géométriques'!$B$9,'Données géométriques'!$B$10,'Données géométriques'!$B$12,'Données géométriques'!$B$11,I16)</f>
        <v>-0.22463357194712971</v>
      </c>
      <c r="K16">
        <f t="shared" si="4"/>
        <v>1.1514536950961625</v>
      </c>
      <c r="L16">
        <f t="shared" si="1"/>
        <v>-3.5366428052870297E-2</v>
      </c>
    </row>
    <row r="17" spans="1:12" x14ac:dyDescent="0.25">
      <c r="A17">
        <v>6.5</v>
      </c>
      <c r="B17">
        <f t="shared" si="2"/>
        <v>0.11344640137963143</v>
      </c>
      <c r="C17">
        <v>0.69940000000000002</v>
      </c>
      <c r="D17">
        <v>1.8429999999999998E-2</v>
      </c>
      <c r="E17">
        <v>4.1000000000000003E-3</v>
      </c>
      <c r="F17">
        <f>C17*'Données géométriques'!$B$6/(2+('Données géométriques'!$B$6^2+4)^0.5)</f>
        <v>0.38767953089722901</v>
      </c>
      <c r="G17">
        <f>F17^2/(PI()*'Données géométriques'!$B$6)</f>
        <v>1.4947343627412206E-2</v>
      </c>
      <c r="H17">
        <f t="shared" si="0"/>
        <v>3.3377343627412202E-2</v>
      </c>
      <c r="I17">
        <f t="shared" si="3"/>
        <v>0.24411756680698979</v>
      </c>
      <c r="J17">
        <f>XCP_3D('Données géométriques'!$B$9,'Données géométriques'!$B$10,'Données géométriques'!$B$12,'Données géométriques'!$B$11,I17)</f>
        <v>-0.22312428214398916</v>
      </c>
      <c r="K17">
        <f t="shared" si="4"/>
        <v>1.1514536950961625</v>
      </c>
      <c r="L17">
        <f t="shared" si="1"/>
        <v>-3.6875717856010848E-2</v>
      </c>
    </row>
    <row r="18" spans="1:12" x14ac:dyDescent="0.25">
      <c r="A18">
        <v>7</v>
      </c>
      <c r="B18">
        <f t="shared" si="2"/>
        <v>0.12217304763960307</v>
      </c>
      <c r="C18">
        <v>0.745</v>
      </c>
      <c r="D18">
        <v>1.9810000000000001E-2</v>
      </c>
      <c r="E18">
        <v>5.5999999999999999E-3</v>
      </c>
      <c r="F18">
        <f>C18*'Données géométriques'!$B$6/(2+('Données géométriques'!$B$6^2+4)^0.5)</f>
        <v>0.41295574852507233</v>
      </c>
      <c r="G18">
        <f>F18^2/(PI()*'Données géométriques'!$B$6)</f>
        <v>1.6959978925529567E-2</v>
      </c>
      <c r="H18">
        <f t="shared" si="0"/>
        <v>3.6769978925529564E-2</v>
      </c>
      <c r="I18">
        <f t="shared" si="3"/>
        <v>0.2424514172676055</v>
      </c>
      <c r="J18">
        <f>XCP_3D('Données géométriques'!$B$9,'Données géométriques'!$B$10,'Données géométriques'!$B$12,'Données géométriques'!$B$11,I18)</f>
        <v>-0.22189749548412854</v>
      </c>
      <c r="K18">
        <f t="shared" si="4"/>
        <v>1.1514536950961625</v>
      </c>
      <c r="L18">
        <f t="shared" si="1"/>
        <v>-3.8102504515871466E-2</v>
      </c>
    </row>
    <row r="19" spans="1:12" x14ac:dyDescent="0.25">
      <c r="A19">
        <v>7.5</v>
      </c>
      <c r="B19">
        <f t="shared" si="2"/>
        <v>0.1308996938995747</v>
      </c>
      <c r="C19">
        <v>0.78820000000000001</v>
      </c>
      <c r="D19">
        <v>2.1739999999999999E-2</v>
      </c>
      <c r="E19">
        <v>7.3000000000000001E-3</v>
      </c>
      <c r="F19">
        <f>C19*'Données géométriques'!$B$6/(2+('Données géométriques'!$B$6^2+4)^0.5)</f>
        <v>0.43690163890934491</v>
      </c>
      <c r="G19">
        <f>F19^2/(PI()*'Données géométriques'!$B$6)</f>
        <v>1.898390814412056E-2</v>
      </c>
      <c r="H19">
        <f t="shared" si="0"/>
        <v>4.0723908144120559E-2</v>
      </c>
      <c r="I19">
        <f t="shared" si="3"/>
        <v>0.24069227159691711</v>
      </c>
      <c r="J19">
        <f>XCP_3D('Données géométriques'!$B$9,'Données géométriques'!$B$10,'Données géométriques'!$B$12,'Données géométriques'!$B$11,I19)</f>
        <v>-0.22060223573070389</v>
      </c>
      <c r="K19">
        <f t="shared" si="4"/>
        <v>1.1514536950961625</v>
      </c>
      <c r="L19">
        <f t="shared" si="1"/>
        <v>-3.9397764269296115E-2</v>
      </c>
    </row>
    <row r="20" spans="1:12" x14ac:dyDescent="0.25">
      <c r="A20">
        <v>8</v>
      </c>
      <c r="B20">
        <f t="shared" si="2"/>
        <v>0.13962634015954636</v>
      </c>
      <c r="C20">
        <v>0.83169999999999999</v>
      </c>
      <c r="D20">
        <v>2.3630000000000002E-2</v>
      </c>
      <c r="E20">
        <v>8.8999999999999999E-3</v>
      </c>
      <c r="F20">
        <f>C20*'Données géométriques'!$B$6/(2+('Données géométriques'!$B$6^2+4)^0.5)</f>
        <v>0.46101382019906395</v>
      </c>
      <c r="G20">
        <f>F20^2/(PI()*'Données géométriques'!$B$6)</f>
        <v>2.1137137167991097E-2</v>
      </c>
      <c r="H20">
        <f t="shared" si="0"/>
        <v>4.4767137167991099E-2</v>
      </c>
      <c r="I20">
        <f t="shared" si="3"/>
        <v>0.2392368388202252</v>
      </c>
      <c r="J20">
        <f>XCP_3D('Données géométriques'!$B$9,'Données géométriques'!$B$10,'Données géométriques'!$B$12,'Données géométriques'!$B$11,I20)</f>
        <v>-0.21953059991857166</v>
      </c>
      <c r="K20">
        <f t="shared" si="4"/>
        <v>1.1514536950961625</v>
      </c>
      <c r="L20">
        <f t="shared" si="1"/>
        <v>-4.0469400081428353E-2</v>
      </c>
    </row>
    <row r="21" spans="1:12" x14ac:dyDescent="0.25">
      <c r="A21">
        <v>8.5</v>
      </c>
      <c r="B21">
        <f t="shared" si="2"/>
        <v>0.14835298641951802</v>
      </c>
      <c r="C21">
        <v>0.87260000000000004</v>
      </c>
      <c r="D21">
        <v>2.6040000000000001E-2</v>
      </c>
      <c r="E21">
        <v>1.06E-2</v>
      </c>
      <c r="F21">
        <f>C21*'Données géométriques'!$B$6/(2+('Données géométriques'!$B$6^2+4)^0.5)</f>
        <v>0.48368481364158133</v>
      </c>
      <c r="G21">
        <f>F21^2/(PI()*'Données géométriques'!$B$6)</f>
        <v>2.3267149484887999E-2</v>
      </c>
      <c r="H21">
        <f t="shared" si="0"/>
        <v>4.9307149484887999E-2</v>
      </c>
      <c r="I21">
        <f t="shared" si="3"/>
        <v>0.23777201780059248</v>
      </c>
      <c r="J21">
        <f>XCP_3D('Données géométriques'!$B$9,'Données géométriques'!$B$10,'Données géométriques'!$B$12,'Données géométriques'!$B$11,I21)</f>
        <v>-0.21845205153891359</v>
      </c>
      <c r="K21">
        <f t="shared" si="4"/>
        <v>1.1514536950961625</v>
      </c>
      <c r="L21">
        <f t="shared" si="1"/>
        <v>-4.154794846108642E-2</v>
      </c>
    </row>
    <row r="22" spans="1:12" x14ac:dyDescent="0.25">
      <c r="A22">
        <v>9</v>
      </c>
      <c r="B22">
        <f t="shared" si="2"/>
        <v>0.15707963267948966</v>
      </c>
      <c r="C22">
        <v>0.91059999999999997</v>
      </c>
      <c r="D22">
        <v>2.9219999999999999E-2</v>
      </c>
      <c r="E22">
        <v>1.2699999999999999E-2</v>
      </c>
      <c r="F22">
        <f>C22*'Données géométriques'!$B$6/(2+('Données géométriques'!$B$6^2+4)^0.5)</f>
        <v>0.50474832833145078</v>
      </c>
      <c r="G22">
        <f>F22^2/(PI()*'Données géométriques'!$B$6)</f>
        <v>2.5337750463150531E-2</v>
      </c>
      <c r="H22">
        <f t="shared" si="0"/>
        <v>5.4557750463150534E-2</v>
      </c>
      <c r="I22">
        <f t="shared" si="3"/>
        <v>0.23595070606342064</v>
      </c>
      <c r="J22">
        <f>XCP_3D('Données géométriques'!$B$9,'Données géométriques'!$B$10,'Données géométriques'!$B$12,'Données géométriques'!$B$11,I22)</f>
        <v>-0.21711101888260287</v>
      </c>
      <c r="K22">
        <f t="shared" si="4"/>
        <v>1.1514536950961625</v>
      </c>
      <c r="L22">
        <f t="shared" si="1"/>
        <v>-4.288898111739714E-2</v>
      </c>
    </row>
    <row r="23" spans="1:12" x14ac:dyDescent="0.25">
      <c r="A23">
        <v>9.5</v>
      </c>
      <c r="B23">
        <f t="shared" si="2"/>
        <v>0.16580627893946132</v>
      </c>
      <c r="C23">
        <v>0.94530000000000003</v>
      </c>
      <c r="D23">
        <v>3.2250000000000001E-2</v>
      </c>
      <c r="E23">
        <v>1.46E-2</v>
      </c>
      <c r="F23">
        <f>C23*'Données géométriques'!$B$6/(2+('Données géométriques'!$B$6^2+4)^0.5)</f>
        <v>0.52398264306141051</v>
      </c>
      <c r="G23">
        <f>F23^2/(PI()*'Données géométriques'!$B$6)</f>
        <v>2.7305622295247817E-2</v>
      </c>
      <c r="H23">
        <f t="shared" si="0"/>
        <v>5.9555622295247815E-2</v>
      </c>
      <c r="I23">
        <f t="shared" si="3"/>
        <v>0.23442930022294683</v>
      </c>
      <c r="J23">
        <f>XCP_3D('Données géométriques'!$B$9,'Données géométriques'!$B$10,'Données géométriques'!$B$12,'Données géométriques'!$B$11,I23)</f>
        <v>-0.21599080707375332</v>
      </c>
      <c r="K23">
        <f t="shared" si="4"/>
        <v>1.1514536950961625</v>
      </c>
      <c r="L23">
        <f t="shared" si="1"/>
        <v>-4.4009192926246693E-2</v>
      </c>
    </row>
    <row r="24" spans="1:12" x14ac:dyDescent="0.25">
      <c r="A24">
        <v>10</v>
      </c>
      <c r="B24">
        <f t="shared" si="2"/>
        <v>0.17453292519943295</v>
      </c>
      <c r="C24">
        <v>0.97260000000000002</v>
      </c>
      <c r="D24">
        <v>3.5990000000000001E-2</v>
      </c>
      <c r="E24">
        <v>1.6799999999999999E-2</v>
      </c>
      <c r="F24">
        <f>C24*'Données géométriques'!$B$6/(2+('Données géométriques'!$B$6^2+4)^0.5)</f>
        <v>0.53911511545702728</v>
      </c>
      <c r="G24">
        <f>F24^2/(PI()*'Données géométriques'!$B$6)</f>
        <v>2.8905553721343503E-2</v>
      </c>
      <c r="H24">
        <f t="shared" si="0"/>
        <v>6.4895553721343507E-2</v>
      </c>
      <c r="I24">
        <f t="shared" si="3"/>
        <v>0.23257394489619448</v>
      </c>
      <c r="J24">
        <f>XCP_3D('Données géométriques'!$B$9,'Données géométriques'!$B$10,'Données géométriques'!$B$12,'Données géométriques'!$B$11,I24)</f>
        <v>-0.21462470810702822</v>
      </c>
      <c r="K24">
        <f t="shared" si="4"/>
        <v>1.1514536950961625</v>
      </c>
      <c r="L24">
        <f t="shared" si="1"/>
        <v>-4.5375291892971792E-2</v>
      </c>
    </row>
    <row r="25" spans="1:12" x14ac:dyDescent="0.25">
      <c r="A25" s="3">
        <v>10.5</v>
      </c>
      <c r="B25">
        <f t="shared" si="2"/>
        <v>0.18325957145940461</v>
      </c>
      <c r="C25">
        <v>0.98040000000000005</v>
      </c>
      <c r="D25">
        <v>4.224E-2</v>
      </c>
      <c r="E25">
        <v>1.9900000000000001E-2</v>
      </c>
      <c r="F25">
        <f>C25*'Données géométriques'!$B$6/(2+('Données géométriques'!$B$6^2+4)^0.5)</f>
        <v>0.54343867899863207</v>
      </c>
      <c r="G25">
        <f>F25^2/(PI()*'Données géométriques'!$B$6)</f>
        <v>2.9371042920864537E-2</v>
      </c>
      <c r="H25">
        <f t="shared" si="0"/>
        <v>7.1611042920864537E-2</v>
      </c>
      <c r="I25">
        <f t="shared" si="3"/>
        <v>0.22952002218283815</v>
      </c>
      <c r="J25">
        <f>XCP_3D('Données géométriques'!$B$9,'Données géométriques'!$B$10,'Données géométriques'!$B$12,'Données géométriques'!$B$11,I25)</f>
        <v>-0.2123761034311363</v>
      </c>
      <c r="K25">
        <f t="shared" si="4"/>
        <v>1.1514536950961625</v>
      </c>
      <c r="L25">
        <f t="shared" si="1"/>
        <v>-4.7623896568863705E-2</v>
      </c>
    </row>
    <row r="26" spans="1:12" x14ac:dyDescent="0.25">
      <c r="A26">
        <v>11</v>
      </c>
      <c r="B26">
        <f t="shared" si="2"/>
        <v>0.19198621771937624</v>
      </c>
      <c r="C26">
        <f>-$C$25*(A26-90)/(90-$A$25)</f>
        <v>0.97423396226415093</v>
      </c>
      <c r="D26">
        <f>$O$2*(A26-$A$25)+$D$25</f>
        <v>4.8489999999999998E-2</v>
      </c>
      <c r="E26" s="4" t="s">
        <v>30</v>
      </c>
      <c r="F26">
        <f>C26*'Données géométriques'!$B$6/(2+('Données géométriques'!$B$6^2+4)^0.5)</f>
        <v>0.54002082567159659</v>
      </c>
      <c r="G26">
        <f>F26^2/(PI()*'Données géométriques'!$B$6)</f>
        <v>2.9002757623371789E-2</v>
      </c>
      <c r="H26">
        <f t="shared" si="0"/>
        <v>7.7492757623371794E-2</v>
      </c>
      <c r="I26" s="4" t="s">
        <v>30</v>
      </c>
      <c r="J26" s="4">
        <f>'1kts'!J$22</f>
        <v>-0.41152228571428573</v>
      </c>
      <c r="K26" s="4">
        <f>'1kts'!K$22</f>
        <v>0.92155428571428555</v>
      </c>
      <c r="L26" s="4">
        <f>'1kts'!L$22</f>
        <v>0.15152228571428572</v>
      </c>
    </row>
    <row r="27" spans="1:12" x14ac:dyDescent="0.25">
      <c r="A27">
        <v>11.5</v>
      </c>
      <c r="B27">
        <f t="shared" si="2"/>
        <v>0.2007128639793479</v>
      </c>
      <c r="C27">
        <f t="shared" ref="C27:C77" si="5">-$C$25*(A27-90)/(90-$A$25)</f>
        <v>0.96806792452830182</v>
      </c>
      <c r="D27">
        <f t="shared" ref="D27:D77" si="6">$O$2*(A27-$A$25)+$D$25</f>
        <v>5.4739999999999997E-2</v>
      </c>
      <c r="E27" s="4" t="s">
        <v>30</v>
      </c>
      <c r="F27">
        <f>C27*'Données géométriques'!$B$6/(2+('Données géométriques'!$B$6^2+4)^0.5)</f>
        <v>0.53660297234456122</v>
      </c>
      <c r="G27">
        <f>F27^2/(PI()*'Données géométriques'!$B$6)</f>
        <v>2.8636795892424741E-2</v>
      </c>
      <c r="H27">
        <f t="shared" si="0"/>
        <v>8.3376795892424735E-2</v>
      </c>
      <c r="I27" s="4" t="s">
        <v>30</v>
      </c>
      <c r="J27" s="4">
        <f>'1kts'!J$22</f>
        <v>-0.41152228571428573</v>
      </c>
      <c r="K27" s="4">
        <f>'1kts'!K$22</f>
        <v>0.92155428571428555</v>
      </c>
      <c r="L27" s="4">
        <f>'1kts'!L$22</f>
        <v>0.15152228571428572</v>
      </c>
    </row>
    <row r="28" spans="1:12" x14ac:dyDescent="0.25">
      <c r="A28">
        <v>12.5</v>
      </c>
      <c r="B28">
        <f t="shared" si="2"/>
        <v>0.21816615649929119</v>
      </c>
      <c r="C28">
        <f t="shared" si="5"/>
        <v>0.95573584905660391</v>
      </c>
      <c r="D28">
        <f t="shared" si="6"/>
        <v>6.7239999999999994E-2</v>
      </c>
      <c r="E28" s="4" t="s">
        <v>30</v>
      </c>
      <c r="F28">
        <f>C28*'Données géométriques'!$B$6/(2+('Données géométriques'!$B$6^2+4)^0.5)</f>
        <v>0.52976726569049049</v>
      </c>
      <c r="G28">
        <f>F28^2/(PI()*'Données géométriques'!$B$6)</f>
        <v>2.791184313016775E-2</v>
      </c>
      <c r="H28">
        <f t="shared" si="0"/>
        <v>9.5151843130167751E-2</v>
      </c>
      <c r="I28" s="4" t="s">
        <v>30</v>
      </c>
      <c r="J28" s="4">
        <f>'1kts'!J$22</f>
        <v>-0.41152228571428573</v>
      </c>
      <c r="K28" s="4">
        <f>'1kts'!K$22</f>
        <v>0.92155428571428555</v>
      </c>
      <c r="L28" s="4">
        <f>'1kts'!L$22</f>
        <v>0.15152228571428572</v>
      </c>
    </row>
    <row r="29" spans="1:12" x14ac:dyDescent="0.25">
      <c r="A29">
        <v>13</v>
      </c>
      <c r="B29">
        <f t="shared" si="2"/>
        <v>0.22689280275926285</v>
      </c>
      <c r="C29">
        <f t="shared" si="5"/>
        <v>0.9495698113207548</v>
      </c>
      <c r="D29">
        <f t="shared" si="6"/>
        <v>7.349E-2</v>
      </c>
      <c r="E29" s="4" t="s">
        <v>30</v>
      </c>
      <c r="F29">
        <f>C29*'Données géométriques'!$B$6/(2+('Données géométriques'!$B$6^2+4)^0.5)</f>
        <v>0.526349412363455</v>
      </c>
      <c r="G29">
        <f>F29^2/(PI()*'Données géométriques'!$B$6)</f>
        <v>2.7552852098857775E-2</v>
      </c>
      <c r="H29">
        <f t="shared" si="0"/>
        <v>0.10104285209885777</v>
      </c>
      <c r="I29" s="4" t="s">
        <v>30</v>
      </c>
      <c r="J29" s="4">
        <f>'1kts'!J$22</f>
        <v>-0.41152228571428573</v>
      </c>
      <c r="K29" s="4">
        <f>'1kts'!K$22</f>
        <v>0.92155428571428555</v>
      </c>
      <c r="L29" s="4">
        <f>'1kts'!L$22</f>
        <v>0.15152228571428572</v>
      </c>
    </row>
    <row r="30" spans="1:12" x14ac:dyDescent="0.25">
      <c r="A30">
        <v>13.5</v>
      </c>
      <c r="B30">
        <f t="shared" si="2"/>
        <v>0.23561944901923448</v>
      </c>
      <c r="C30">
        <f t="shared" si="5"/>
        <v>0.94340377358490568</v>
      </c>
      <c r="D30">
        <f t="shared" si="6"/>
        <v>7.9739999999999991E-2</v>
      </c>
      <c r="E30" s="4" t="s">
        <v>30</v>
      </c>
      <c r="F30">
        <f>C30*'Données géométriques'!$B$6/(2+('Données géométriques'!$B$6^2+4)^0.5)</f>
        <v>0.52293155903641952</v>
      </c>
      <c r="G30">
        <f>F30^2/(PI()*'Données géométriques'!$B$6)</f>
        <v>2.7196184634093509E-2</v>
      </c>
      <c r="H30">
        <f t="shared" si="0"/>
        <v>0.1069361846340935</v>
      </c>
      <c r="I30" s="4" t="s">
        <v>30</v>
      </c>
      <c r="J30" s="4">
        <f>'1kts'!J$22</f>
        <v>-0.41152228571428573</v>
      </c>
      <c r="K30" s="4">
        <f>'1kts'!K$22</f>
        <v>0.92155428571428555</v>
      </c>
      <c r="L30" s="4">
        <f>'1kts'!L$22</f>
        <v>0.15152228571428572</v>
      </c>
    </row>
    <row r="31" spans="1:12" x14ac:dyDescent="0.25">
      <c r="A31">
        <v>14</v>
      </c>
      <c r="B31">
        <f t="shared" si="2"/>
        <v>0.24434609527920614</v>
      </c>
      <c r="C31">
        <f t="shared" si="5"/>
        <v>0.93723773584905667</v>
      </c>
      <c r="D31">
        <f t="shared" si="6"/>
        <v>8.5989999999999983E-2</v>
      </c>
      <c r="E31" s="4" t="s">
        <v>30</v>
      </c>
      <c r="F31">
        <f>C31*'Données géométriques'!$B$6/(2+('Données géométriques'!$B$6^2+4)^0.5)</f>
        <v>0.51951370570938415</v>
      </c>
      <c r="G31">
        <f>F31^2/(PI()*'Données géométriques'!$B$6)</f>
        <v>2.684184073587494E-2</v>
      </c>
      <c r="H31">
        <f t="shared" si="0"/>
        <v>0.11283184073587492</v>
      </c>
      <c r="I31" s="4" t="s">
        <v>30</v>
      </c>
      <c r="J31" s="4">
        <f>'1kts'!J$22</f>
        <v>-0.41152228571428573</v>
      </c>
      <c r="K31" s="4">
        <f>'1kts'!K$22</f>
        <v>0.92155428571428555</v>
      </c>
      <c r="L31" s="4">
        <f>'1kts'!L$22</f>
        <v>0.15152228571428572</v>
      </c>
    </row>
    <row r="32" spans="1:12" x14ac:dyDescent="0.25">
      <c r="A32">
        <v>14.5</v>
      </c>
      <c r="B32">
        <f t="shared" si="2"/>
        <v>0.2530727415391778</v>
      </c>
      <c r="C32">
        <f t="shared" si="5"/>
        <v>0.93107169811320756</v>
      </c>
      <c r="D32">
        <f t="shared" si="6"/>
        <v>9.2239999999999989E-2</v>
      </c>
      <c r="E32" s="4" t="s">
        <v>30</v>
      </c>
      <c r="F32">
        <f>C32*'Données géométriques'!$B$6/(2+('Données géométriques'!$B$6^2+4)^0.5)</f>
        <v>0.51609585238234867</v>
      </c>
      <c r="G32">
        <f>F32^2/(PI()*'Données géométriques'!$B$6)</f>
        <v>2.6489820404202061E-2</v>
      </c>
      <c r="H32">
        <f t="shared" si="0"/>
        <v>0.11872982040420205</v>
      </c>
      <c r="I32" s="4" t="s">
        <v>30</v>
      </c>
      <c r="J32" s="4">
        <f>'1kts'!J$22</f>
        <v>-0.41152228571428573</v>
      </c>
      <c r="K32" s="4">
        <f>'1kts'!K$22</f>
        <v>0.92155428571428555</v>
      </c>
      <c r="L32" s="4">
        <f>'1kts'!L$22</f>
        <v>0.15152228571428572</v>
      </c>
    </row>
    <row r="33" spans="1:12" x14ac:dyDescent="0.25">
      <c r="A33">
        <v>15</v>
      </c>
      <c r="B33">
        <f t="shared" si="2"/>
        <v>0.26179938779914941</v>
      </c>
      <c r="C33">
        <f t="shared" si="5"/>
        <v>0.92490566037735855</v>
      </c>
      <c r="D33">
        <f t="shared" si="6"/>
        <v>9.8489999999999994E-2</v>
      </c>
      <c r="E33" s="4" t="s">
        <v>30</v>
      </c>
      <c r="F33">
        <f>C33*'Données géométriques'!$B$6/(2+('Données géométriques'!$B$6^2+4)^0.5)</f>
        <v>0.5126779990553133</v>
      </c>
      <c r="G33">
        <f>F33^2/(PI()*'Données géométriques'!$B$6)</f>
        <v>2.6140123639074888E-2</v>
      </c>
      <c r="H33">
        <f t="shared" si="0"/>
        <v>0.12463012363907489</v>
      </c>
      <c r="I33" s="4" t="s">
        <v>30</v>
      </c>
      <c r="J33" s="4">
        <f>'1kts'!J$22</f>
        <v>-0.41152228571428573</v>
      </c>
      <c r="K33" s="4">
        <f>'1kts'!K$22</f>
        <v>0.92155428571428555</v>
      </c>
      <c r="L33" s="4">
        <f>'1kts'!L$22</f>
        <v>0.15152228571428572</v>
      </c>
    </row>
    <row r="34" spans="1:12" x14ac:dyDescent="0.25">
      <c r="A34">
        <v>15.5</v>
      </c>
      <c r="B34">
        <f t="shared" si="2"/>
        <v>0.27052603405912107</v>
      </c>
      <c r="C34">
        <f t="shared" si="5"/>
        <v>0.91873962264150943</v>
      </c>
      <c r="D34">
        <f t="shared" si="6"/>
        <v>0.10473999999999999</v>
      </c>
      <c r="E34" s="4" t="s">
        <v>30</v>
      </c>
      <c r="F34">
        <f>C34*'Données géométriques'!$B$6/(2+('Données géométriques'!$B$6^2+4)^0.5)</f>
        <v>0.50926014572827782</v>
      </c>
      <c r="G34">
        <f>F34^2/(PI()*'Données géométriques'!$B$6)</f>
        <v>2.5792750440493395E-2</v>
      </c>
      <c r="H34">
        <f t="shared" si="0"/>
        <v>0.13053275044049339</v>
      </c>
      <c r="I34" s="4" t="s">
        <v>30</v>
      </c>
      <c r="J34" s="4">
        <f>'1kts'!J$22</f>
        <v>-0.41152228571428573</v>
      </c>
      <c r="K34" s="4">
        <f>'1kts'!K$22</f>
        <v>0.92155428571428555</v>
      </c>
      <c r="L34" s="4">
        <f>'1kts'!L$22</f>
        <v>0.15152228571428572</v>
      </c>
    </row>
    <row r="35" spans="1:12" x14ac:dyDescent="0.25">
      <c r="A35">
        <v>16</v>
      </c>
      <c r="B35">
        <f t="shared" si="2"/>
        <v>0.27925268031909273</v>
      </c>
      <c r="C35">
        <f t="shared" si="5"/>
        <v>0.91257358490566032</v>
      </c>
      <c r="D35">
        <f t="shared" si="6"/>
        <v>0.11098999999999998</v>
      </c>
      <c r="E35" s="4" t="s">
        <v>30</v>
      </c>
      <c r="F35">
        <f>C35*'Données géométriques'!$B$6/(2+('Données géométriques'!$B$6^2+4)^0.5)</f>
        <v>0.50584229240124245</v>
      </c>
      <c r="G35">
        <f>F35^2/(PI()*'Données géométriques'!$B$6)</f>
        <v>2.544770080845761E-2</v>
      </c>
      <c r="H35">
        <f t="shared" si="0"/>
        <v>0.13643770080845757</v>
      </c>
      <c r="I35" s="4" t="s">
        <v>30</v>
      </c>
      <c r="J35" s="4">
        <f>'1kts'!J$22</f>
        <v>-0.41152228571428573</v>
      </c>
      <c r="K35" s="4">
        <f>'1kts'!K$22</f>
        <v>0.92155428571428555</v>
      </c>
      <c r="L35" s="4">
        <f>'1kts'!L$22</f>
        <v>0.15152228571428572</v>
      </c>
    </row>
    <row r="36" spans="1:12" x14ac:dyDescent="0.25">
      <c r="A36">
        <v>16.5</v>
      </c>
      <c r="B36">
        <f t="shared" si="2"/>
        <v>0.28797932657906439</v>
      </c>
      <c r="C36">
        <f t="shared" si="5"/>
        <v>0.90640754716981131</v>
      </c>
      <c r="D36">
        <f t="shared" si="6"/>
        <v>0.11723999999999998</v>
      </c>
      <c r="E36" s="4" t="s">
        <v>30</v>
      </c>
      <c r="F36">
        <f>C36*'Données géométriques'!$B$6/(2+('Données géométriques'!$B$6^2+4)^0.5)</f>
        <v>0.50242443907420709</v>
      </c>
      <c r="G36">
        <f>F36^2/(PI()*'Données géométriques'!$B$6)</f>
        <v>2.5104974742967523E-2</v>
      </c>
      <c r="H36">
        <f t="shared" si="0"/>
        <v>0.14234497474296751</v>
      </c>
      <c r="I36" s="4" t="s">
        <v>30</v>
      </c>
      <c r="J36" s="4">
        <f>'1kts'!J$22</f>
        <v>-0.41152228571428573</v>
      </c>
      <c r="K36" s="4">
        <f>'1kts'!K$22</f>
        <v>0.92155428571428555</v>
      </c>
      <c r="L36" s="4">
        <f>'1kts'!L$22</f>
        <v>0.15152228571428572</v>
      </c>
    </row>
    <row r="37" spans="1:12" x14ac:dyDescent="0.25">
      <c r="A37">
        <v>17</v>
      </c>
      <c r="B37">
        <f t="shared" si="2"/>
        <v>0.29670597283903605</v>
      </c>
      <c r="C37">
        <f t="shared" si="5"/>
        <v>0.90024150943396242</v>
      </c>
      <c r="D37">
        <f t="shared" si="6"/>
        <v>0.12348999999999999</v>
      </c>
      <c r="E37" s="4" t="s">
        <v>30</v>
      </c>
      <c r="F37">
        <f>C37*'Données géométriques'!$B$6/(2+('Données géométriques'!$B$6^2+4)^0.5)</f>
        <v>0.49900658574717166</v>
      </c>
      <c r="G37">
        <f>F37^2/(PI()*'Données géométriques'!$B$6)</f>
        <v>2.4764572244023127E-2</v>
      </c>
      <c r="H37">
        <f t="shared" si="0"/>
        <v>0.14825457224402311</v>
      </c>
      <c r="I37" s="4" t="s">
        <v>30</v>
      </c>
      <c r="J37" s="4">
        <f>'1kts'!J$22</f>
        <v>-0.41152228571428573</v>
      </c>
      <c r="K37" s="4">
        <f>'1kts'!K$22</f>
        <v>0.92155428571428555</v>
      </c>
      <c r="L37" s="4">
        <f>'1kts'!L$22</f>
        <v>0.15152228571428572</v>
      </c>
    </row>
    <row r="38" spans="1:12" x14ac:dyDescent="0.25">
      <c r="A38">
        <v>18</v>
      </c>
      <c r="B38">
        <f t="shared" si="2"/>
        <v>0.31415926535897931</v>
      </c>
      <c r="C38">
        <f t="shared" si="5"/>
        <v>0.88790943396226418</v>
      </c>
      <c r="D38">
        <f t="shared" si="6"/>
        <v>0.13598999999999997</v>
      </c>
      <c r="E38" s="4" t="s">
        <v>30</v>
      </c>
      <c r="F38">
        <f>C38*'Données géométriques'!$B$6/(2+('Données géométriques'!$B$6^2+4)^0.5)</f>
        <v>0.49217087909310081</v>
      </c>
      <c r="G38">
        <f>F38^2/(PI()*'Données géométriques'!$B$6)</f>
        <v>2.409073794577142E-2</v>
      </c>
      <c r="H38">
        <f t="shared" si="0"/>
        <v>0.16008073794577138</v>
      </c>
      <c r="I38" s="4" t="s">
        <v>30</v>
      </c>
      <c r="J38" s="4">
        <f>'1kts'!J$22</f>
        <v>-0.41152228571428573</v>
      </c>
      <c r="K38" s="4">
        <f>'1kts'!K$22</f>
        <v>0.92155428571428555</v>
      </c>
      <c r="L38" s="4">
        <f>'1kts'!L$22</f>
        <v>0.15152228571428572</v>
      </c>
    </row>
    <row r="39" spans="1:12" x14ac:dyDescent="0.25">
      <c r="A39">
        <v>18.5</v>
      </c>
      <c r="B39">
        <f t="shared" si="2"/>
        <v>0.32288591161895097</v>
      </c>
      <c r="C39">
        <f t="shared" si="5"/>
        <v>0.88174339622641518</v>
      </c>
      <c r="D39">
        <f t="shared" si="6"/>
        <v>0.14223999999999998</v>
      </c>
      <c r="E39" s="4" t="s">
        <v>30</v>
      </c>
      <c r="F39">
        <f>C39*'Données géométriques'!$B$6/(2+('Données géométriques'!$B$6^2+4)^0.5)</f>
        <v>0.48875302576606533</v>
      </c>
      <c r="G39">
        <f>F39^2/(PI()*'Données géométriques'!$B$6)</f>
        <v>2.37573061464641E-2</v>
      </c>
      <c r="H39">
        <f t="shared" si="0"/>
        <v>0.16599730614646407</v>
      </c>
      <c r="I39" s="4" t="s">
        <v>30</v>
      </c>
      <c r="J39" s="4">
        <f>'1kts'!J$22</f>
        <v>-0.41152228571428573</v>
      </c>
      <c r="K39" s="4">
        <f>'1kts'!K$22</f>
        <v>0.92155428571428555</v>
      </c>
      <c r="L39" s="4">
        <f>'1kts'!L$22</f>
        <v>0.15152228571428572</v>
      </c>
    </row>
    <row r="40" spans="1:12" x14ac:dyDescent="0.25">
      <c r="A40">
        <v>19</v>
      </c>
      <c r="B40">
        <f t="shared" si="2"/>
        <v>0.33161255787892263</v>
      </c>
      <c r="C40">
        <f t="shared" si="5"/>
        <v>0.87557735849056606</v>
      </c>
      <c r="D40">
        <f t="shared" si="6"/>
        <v>0.14848999999999998</v>
      </c>
      <c r="E40" s="4" t="s">
        <v>30</v>
      </c>
      <c r="F40">
        <f>C40*'Données géométriques'!$B$6/(2+('Données géométriques'!$B$6^2+4)^0.5)</f>
        <v>0.4853351724390299</v>
      </c>
      <c r="G40">
        <f>F40^2/(PI()*'Données géométriques'!$B$6)</f>
        <v>2.3426197913702484E-2</v>
      </c>
      <c r="H40">
        <f t="shared" si="0"/>
        <v>0.17191619791370247</v>
      </c>
      <c r="I40" s="4" t="s">
        <v>30</v>
      </c>
      <c r="J40" s="4">
        <f>'1kts'!J$22</f>
        <v>-0.41152228571428573</v>
      </c>
      <c r="K40" s="4">
        <f>'1kts'!K$22</f>
        <v>0.92155428571428555</v>
      </c>
      <c r="L40" s="4">
        <f>'1kts'!L$22</f>
        <v>0.15152228571428572</v>
      </c>
    </row>
    <row r="41" spans="1:12" x14ac:dyDescent="0.25">
      <c r="A41">
        <v>19.5</v>
      </c>
      <c r="B41">
        <f>RADIANS(A41)</f>
        <v>0.34033920413889424</v>
      </c>
      <c r="C41">
        <f t="shared" si="5"/>
        <v>0.86941132075471705</v>
      </c>
      <c r="D41">
        <f t="shared" si="6"/>
        <v>0.15473999999999999</v>
      </c>
      <c r="E41" s="4" t="s">
        <v>30</v>
      </c>
      <c r="F41">
        <f>C41*'Données géométriques'!$B$6/(2+('Données géométriques'!$B$6^2+4)^0.5)</f>
        <v>0.48191731911199454</v>
      </c>
      <c r="G41">
        <f>F41^2/(PI()*'Données géométriques'!$B$6)</f>
        <v>2.3097413247486574E-2</v>
      </c>
      <c r="H41">
        <f>G41+D41</f>
        <v>0.17783741324748656</v>
      </c>
      <c r="I41" s="4" t="s">
        <v>30</v>
      </c>
      <c r="J41" s="4">
        <f>'1kts'!J$22</f>
        <v>-0.41152228571428573</v>
      </c>
      <c r="K41" s="4">
        <f>'1kts'!K$22</f>
        <v>0.92155428571428555</v>
      </c>
      <c r="L41" s="4">
        <f>'1kts'!L$22</f>
        <v>0.15152228571428572</v>
      </c>
    </row>
    <row r="42" spans="1:12" x14ac:dyDescent="0.25">
      <c r="A42">
        <v>20</v>
      </c>
      <c r="B42">
        <f t="shared" si="2"/>
        <v>0.3490658503988659</v>
      </c>
      <c r="C42">
        <f t="shared" si="5"/>
        <v>0.86324528301886794</v>
      </c>
      <c r="D42">
        <f t="shared" si="6"/>
        <v>0.16098999999999997</v>
      </c>
      <c r="E42" s="4" t="s">
        <v>30</v>
      </c>
      <c r="F42">
        <f>C42*'Données géométriques'!$B$6/(2+('Données géométriques'!$B$6^2+4)^0.5)</f>
        <v>0.47849946578495905</v>
      </c>
      <c r="G42">
        <f>F42^2/(PI()*'Données géométriques'!$B$6)</f>
        <v>2.2770952147816343E-2</v>
      </c>
      <c r="H42">
        <f t="shared" ref="H42:H77" si="7">G42+D42</f>
        <v>0.18376095214781632</v>
      </c>
      <c r="I42" s="4" t="s">
        <v>30</v>
      </c>
      <c r="J42" s="4">
        <f>'1kts'!J$22</f>
        <v>-0.41152228571428573</v>
      </c>
      <c r="K42" s="4">
        <f>'1kts'!K$22</f>
        <v>0.92155428571428555</v>
      </c>
      <c r="L42" s="4">
        <f>'1kts'!L$22</f>
        <v>0.15152228571428572</v>
      </c>
    </row>
    <row r="43" spans="1:12" x14ac:dyDescent="0.25">
      <c r="A43">
        <v>22</v>
      </c>
      <c r="B43">
        <f t="shared" si="2"/>
        <v>0.38397243543875248</v>
      </c>
      <c r="C43">
        <f t="shared" si="5"/>
        <v>0.8385811320754718</v>
      </c>
      <c r="D43">
        <f t="shared" si="6"/>
        <v>0.18598999999999996</v>
      </c>
      <c r="E43" s="4" t="s">
        <v>30</v>
      </c>
      <c r="F43">
        <f>C43*'Données géométriques'!$B$6/(2+('Données géométriques'!$B$6^2+4)^0.5)</f>
        <v>0.46482805247681741</v>
      </c>
      <c r="G43">
        <f>F43^2/(PI()*'Données géométriques'!$B$6)</f>
        <v>2.1488343414592402E-2</v>
      </c>
      <c r="H43">
        <f t="shared" si="7"/>
        <v>0.20747834341459237</v>
      </c>
      <c r="I43" s="4" t="s">
        <v>30</v>
      </c>
      <c r="J43" s="4">
        <f>'1kts'!J$22</f>
        <v>-0.41152228571428573</v>
      </c>
      <c r="K43" s="4">
        <f>'1kts'!K$22</f>
        <v>0.92155428571428555</v>
      </c>
      <c r="L43" s="4">
        <f>'1kts'!L$22</f>
        <v>0.15152228571428572</v>
      </c>
    </row>
    <row r="44" spans="1:12" x14ac:dyDescent="0.25">
      <c r="A44">
        <f>A43+2</f>
        <v>24</v>
      </c>
      <c r="B44">
        <f t="shared" si="2"/>
        <v>0.41887902047863912</v>
      </c>
      <c r="C44">
        <f t="shared" si="5"/>
        <v>0.81391698113207545</v>
      </c>
      <c r="D44">
        <f t="shared" si="6"/>
        <v>0.21098999999999996</v>
      </c>
      <c r="E44" s="4" t="s">
        <v>30</v>
      </c>
      <c r="F44">
        <f>C44*'Données géométriques'!$B$6/(2+('Données géométriques'!$B$6^2+4)^0.5)</f>
        <v>0.45115663916867565</v>
      </c>
      <c r="G44">
        <f>F44^2/(PI()*'Données géométriques'!$B$6)</f>
        <v>2.0242911746099587E-2</v>
      </c>
      <c r="H44">
        <f t="shared" si="7"/>
        <v>0.23123291174609956</v>
      </c>
      <c r="I44" s="4" t="s">
        <v>30</v>
      </c>
      <c r="J44" s="4">
        <f>'1kts'!J$22</f>
        <v>-0.41152228571428573</v>
      </c>
      <c r="K44" s="4">
        <f>'1kts'!K$22</f>
        <v>0.92155428571428555</v>
      </c>
      <c r="L44" s="4">
        <f>'1kts'!L$22</f>
        <v>0.15152228571428572</v>
      </c>
    </row>
    <row r="45" spans="1:12" x14ac:dyDescent="0.25">
      <c r="A45">
        <f t="shared" ref="A45:A77" si="8">A44+2</f>
        <v>26</v>
      </c>
      <c r="B45">
        <f t="shared" si="2"/>
        <v>0.4537856055185257</v>
      </c>
      <c r="C45">
        <f t="shared" si="5"/>
        <v>0.78925283018867931</v>
      </c>
      <c r="D45">
        <f t="shared" si="6"/>
        <v>0.23598999999999995</v>
      </c>
      <c r="E45" s="4" t="s">
        <v>30</v>
      </c>
      <c r="F45">
        <f>C45*'Données géométriques'!$B$6/(2+('Données géométriques'!$B$6^2+4)^0.5)</f>
        <v>0.43748522586053401</v>
      </c>
      <c r="G45">
        <f>F45^2/(PI()*'Données géométriques'!$B$6)</f>
        <v>1.9034657142337909E-2</v>
      </c>
      <c r="H45">
        <f t="shared" si="7"/>
        <v>0.25502465714233785</v>
      </c>
      <c r="I45" s="4" t="s">
        <v>30</v>
      </c>
      <c r="J45" s="4">
        <f>'1kts'!J$22</f>
        <v>-0.41152228571428573</v>
      </c>
      <c r="K45" s="4">
        <f>'1kts'!K$22</f>
        <v>0.92155428571428555</v>
      </c>
      <c r="L45" s="4">
        <f>'1kts'!L$22</f>
        <v>0.15152228571428572</v>
      </c>
    </row>
    <row r="46" spans="1:12" x14ac:dyDescent="0.25">
      <c r="A46">
        <f t="shared" si="8"/>
        <v>28</v>
      </c>
      <c r="B46">
        <f t="shared" si="2"/>
        <v>0.48869219055841229</v>
      </c>
      <c r="C46">
        <f t="shared" si="5"/>
        <v>0.76458867924528306</v>
      </c>
      <c r="D46">
        <f t="shared" si="6"/>
        <v>0.26098999999999994</v>
      </c>
      <c r="E46" s="4" t="s">
        <v>30</v>
      </c>
      <c r="F46">
        <f>C46*'Données géométriques'!$B$6/(2+('Données géométriques'!$B$6^2+4)^0.5)</f>
        <v>0.42381381255239231</v>
      </c>
      <c r="G46">
        <f>F46^2/(PI()*'Données géométriques'!$B$6)</f>
        <v>1.7863579603307349E-2</v>
      </c>
      <c r="H46">
        <f t="shared" si="7"/>
        <v>0.27885357960330731</v>
      </c>
      <c r="I46" s="4" t="s">
        <v>30</v>
      </c>
      <c r="J46" s="4">
        <f>'1kts'!J$22</f>
        <v>-0.41152228571428573</v>
      </c>
      <c r="K46" s="4">
        <f>'1kts'!K$22</f>
        <v>0.92155428571428555</v>
      </c>
      <c r="L46" s="4">
        <f>'1kts'!L$22</f>
        <v>0.15152228571428572</v>
      </c>
    </row>
    <row r="47" spans="1:12" x14ac:dyDescent="0.25">
      <c r="A47">
        <f t="shared" si="8"/>
        <v>30</v>
      </c>
      <c r="B47">
        <f t="shared" si="2"/>
        <v>0.52359877559829882</v>
      </c>
      <c r="C47">
        <f t="shared" si="5"/>
        <v>0.73992452830188682</v>
      </c>
      <c r="D47">
        <f t="shared" si="6"/>
        <v>0.28598999999999997</v>
      </c>
      <c r="E47" s="4" t="s">
        <v>30</v>
      </c>
      <c r="F47">
        <f>C47*'Données géométriques'!$B$6/(2+('Données géométriques'!$B$6^2+4)^0.5)</f>
        <v>0.41014239924425061</v>
      </c>
      <c r="G47">
        <f>F47^2/(PI()*'Données géométriques'!$B$6)</f>
        <v>1.6729679129007923E-2</v>
      </c>
      <c r="H47">
        <f t="shared" si="7"/>
        <v>0.30271967912900788</v>
      </c>
      <c r="I47" s="4" t="s">
        <v>30</v>
      </c>
      <c r="J47" s="4">
        <f>'1kts'!J$22</f>
        <v>-0.41152228571428573</v>
      </c>
      <c r="K47" s="4">
        <f>'1kts'!K$22</f>
        <v>0.92155428571428555</v>
      </c>
      <c r="L47" s="4">
        <f>'1kts'!L$22</f>
        <v>0.15152228571428572</v>
      </c>
    </row>
    <row r="48" spans="1:12" x14ac:dyDescent="0.25">
      <c r="A48">
        <f t="shared" si="8"/>
        <v>32</v>
      </c>
      <c r="B48">
        <f t="shared" si="2"/>
        <v>0.55850536063818546</v>
      </c>
      <c r="C48">
        <f t="shared" si="5"/>
        <v>0.71526037735849068</v>
      </c>
      <c r="D48">
        <f t="shared" si="6"/>
        <v>0.31098999999999993</v>
      </c>
      <c r="E48" s="4" t="s">
        <v>30</v>
      </c>
      <c r="F48">
        <f>C48*'Données géométriques'!$B$6/(2+('Données géométriques'!$B$6^2+4)^0.5)</f>
        <v>0.39647098593610902</v>
      </c>
      <c r="G48">
        <f>F48^2/(PI()*'Données géométriques'!$B$6)</f>
        <v>1.5632955719439633E-2</v>
      </c>
      <c r="H48">
        <f t="shared" si="7"/>
        <v>0.32662295571943956</v>
      </c>
      <c r="I48" s="4" t="s">
        <v>30</v>
      </c>
      <c r="J48" s="4">
        <f>'1kts'!J$22</f>
        <v>-0.41152228571428573</v>
      </c>
      <c r="K48" s="4">
        <f>'1kts'!K$22</f>
        <v>0.92155428571428555</v>
      </c>
      <c r="L48" s="4">
        <f>'1kts'!L$22</f>
        <v>0.15152228571428572</v>
      </c>
    </row>
    <row r="49" spans="1:12" x14ac:dyDescent="0.25">
      <c r="A49">
        <f t="shared" si="8"/>
        <v>34</v>
      </c>
      <c r="B49">
        <f t="shared" si="2"/>
        <v>0.59341194567807209</v>
      </c>
      <c r="C49">
        <f t="shared" si="5"/>
        <v>0.69059622641509433</v>
      </c>
      <c r="D49">
        <f t="shared" si="6"/>
        <v>0.33598999999999996</v>
      </c>
      <c r="E49" s="4" t="s">
        <v>30</v>
      </c>
      <c r="F49">
        <f>C49*'Données géométriques'!$B$6/(2+('Données géométriques'!$B$6^2+4)^0.5)</f>
        <v>0.38279957262796727</v>
      </c>
      <c r="G49">
        <f>F49^2/(PI()*'Données géométriques'!$B$6)</f>
        <v>1.4573409374602461E-2</v>
      </c>
      <c r="H49">
        <f t="shared" si="7"/>
        <v>0.3505634093746024</v>
      </c>
      <c r="I49" s="4" t="s">
        <v>30</v>
      </c>
      <c r="J49" s="4">
        <f>'1kts'!J$22</f>
        <v>-0.41152228571428573</v>
      </c>
      <c r="K49" s="4">
        <f>'1kts'!K$22</f>
        <v>0.92155428571428555</v>
      </c>
      <c r="L49" s="4">
        <f>'1kts'!L$22</f>
        <v>0.15152228571428572</v>
      </c>
    </row>
    <row r="50" spans="1:12" x14ac:dyDescent="0.25">
      <c r="A50">
        <f t="shared" si="8"/>
        <v>36</v>
      </c>
      <c r="B50">
        <f t="shared" si="2"/>
        <v>0.62831853071795862</v>
      </c>
      <c r="C50">
        <f t="shared" si="5"/>
        <v>0.66593207547169808</v>
      </c>
      <c r="D50">
        <f t="shared" si="6"/>
        <v>0.36098999999999992</v>
      </c>
      <c r="E50" s="4" t="s">
        <v>30</v>
      </c>
      <c r="F50">
        <f>C50*'Données géométriques'!$B$6/(2+('Données géométriques'!$B$6^2+4)^0.5)</f>
        <v>0.36912815931982551</v>
      </c>
      <c r="G50">
        <f>F50^2/(PI()*'Données géométriques'!$B$6)</f>
        <v>1.3551040094496414E-2</v>
      </c>
      <c r="H50">
        <f t="shared" si="7"/>
        <v>0.37454104009449635</v>
      </c>
      <c r="I50" s="4" t="s">
        <v>30</v>
      </c>
      <c r="J50" s="4">
        <f>'1kts'!J$22</f>
        <v>-0.41152228571428573</v>
      </c>
      <c r="K50" s="4">
        <f>'1kts'!K$22</f>
        <v>0.92155428571428555</v>
      </c>
      <c r="L50" s="4">
        <f>'1kts'!L$22</f>
        <v>0.15152228571428572</v>
      </c>
    </row>
    <row r="51" spans="1:12" x14ac:dyDescent="0.25">
      <c r="A51">
        <f t="shared" si="8"/>
        <v>38</v>
      </c>
      <c r="B51">
        <f t="shared" si="2"/>
        <v>0.66322511575784526</v>
      </c>
      <c r="C51">
        <f t="shared" si="5"/>
        <v>0.64126792452830195</v>
      </c>
      <c r="D51">
        <f t="shared" si="6"/>
        <v>0.38598999999999994</v>
      </c>
      <c r="E51" s="4" t="s">
        <v>30</v>
      </c>
      <c r="F51">
        <f>C51*'Données géométriques'!$B$6/(2+('Données géométriques'!$B$6^2+4)^0.5)</f>
        <v>0.35545674601168392</v>
      </c>
      <c r="G51">
        <f>F51^2/(PI()*'Données géométriques'!$B$6)</f>
        <v>1.2565847879121511E-2</v>
      </c>
      <c r="H51">
        <f t="shared" si="7"/>
        <v>0.39855584787912146</v>
      </c>
      <c r="I51" s="4" t="s">
        <v>30</v>
      </c>
      <c r="J51" s="4">
        <f>'1kts'!J$22</f>
        <v>-0.41152228571428573</v>
      </c>
      <c r="K51" s="4">
        <f>'1kts'!K$22</f>
        <v>0.92155428571428555</v>
      </c>
      <c r="L51" s="4">
        <f>'1kts'!L$22</f>
        <v>0.15152228571428572</v>
      </c>
    </row>
    <row r="52" spans="1:12" x14ac:dyDescent="0.25">
      <c r="A52">
        <f t="shared" si="8"/>
        <v>40</v>
      </c>
      <c r="B52">
        <f t="shared" si="2"/>
        <v>0.69813170079773179</v>
      </c>
      <c r="C52">
        <f t="shared" si="5"/>
        <v>0.6166037735849057</v>
      </c>
      <c r="D52">
        <f t="shared" si="6"/>
        <v>0.41098999999999991</v>
      </c>
      <c r="E52" s="4" t="s">
        <v>30</v>
      </c>
      <c r="F52">
        <f>C52*'Données géométriques'!$B$6/(2+('Données géométriques'!$B$6^2+4)^0.5)</f>
        <v>0.34178533270354222</v>
      </c>
      <c r="G52">
        <f>F52^2/(PI()*'Données géométriques'!$B$6)</f>
        <v>1.1617832728477729E-2</v>
      </c>
      <c r="H52">
        <f t="shared" si="7"/>
        <v>0.42260783272847763</v>
      </c>
      <c r="I52" s="4" t="s">
        <v>30</v>
      </c>
      <c r="J52" s="4">
        <f>'1kts'!J$22</f>
        <v>-0.41152228571428573</v>
      </c>
      <c r="K52" s="4">
        <f>'1kts'!K$22</f>
        <v>0.92155428571428555</v>
      </c>
      <c r="L52" s="4">
        <f>'1kts'!L$22</f>
        <v>0.15152228571428572</v>
      </c>
    </row>
    <row r="53" spans="1:12" x14ac:dyDescent="0.25">
      <c r="A53">
        <f t="shared" si="8"/>
        <v>42</v>
      </c>
      <c r="B53">
        <f t="shared" si="2"/>
        <v>0.73303828583761843</v>
      </c>
      <c r="C53">
        <f t="shared" si="5"/>
        <v>0.59193962264150946</v>
      </c>
      <c r="D53">
        <f t="shared" si="6"/>
        <v>0.43598999999999993</v>
      </c>
      <c r="E53" s="4" t="s">
        <v>30</v>
      </c>
      <c r="F53">
        <f>C53*'Données géométriques'!$B$6/(2+('Données géométriques'!$B$6^2+4)^0.5)</f>
        <v>0.32811391939540052</v>
      </c>
      <c r="G53">
        <f>F53^2/(PI()*'Données géométriques'!$B$6)</f>
        <v>1.0706994642565073E-2</v>
      </c>
      <c r="H53">
        <f t="shared" si="7"/>
        <v>0.44669699464256502</v>
      </c>
      <c r="I53" s="4" t="s">
        <v>30</v>
      </c>
      <c r="J53" s="4">
        <f>'1kts'!J$22</f>
        <v>-0.41152228571428573</v>
      </c>
      <c r="K53" s="4">
        <f>'1kts'!K$22</f>
        <v>0.92155428571428555</v>
      </c>
      <c r="L53" s="4">
        <f>'1kts'!L$22</f>
        <v>0.15152228571428572</v>
      </c>
    </row>
    <row r="54" spans="1:12" x14ac:dyDescent="0.25">
      <c r="A54">
        <f t="shared" si="8"/>
        <v>44</v>
      </c>
      <c r="B54">
        <f t="shared" si="2"/>
        <v>0.76794487087750496</v>
      </c>
      <c r="C54">
        <f t="shared" si="5"/>
        <v>0.56727547169811332</v>
      </c>
      <c r="D54">
        <f t="shared" si="6"/>
        <v>0.4609899999999999</v>
      </c>
      <c r="E54" s="4" t="s">
        <v>30</v>
      </c>
      <c r="F54">
        <f>C54*'Données géométriques'!$B$6/(2+('Données géométriques'!$B$6^2+4)^0.5)</f>
        <v>0.31444250608725888</v>
      </c>
      <c r="G54">
        <f>F54^2/(PI()*'Données géométriques'!$B$6)</f>
        <v>9.8333336213835519E-3</v>
      </c>
      <c r="H54">
        <f t="shared" si="7"/>
        <v>0.47082333362138346</v>
      </c>
      <c r="I54" s="4" t="s">
        <v>30</v>
      </c>
      <c r="J54" s="4">
        <f>'1kts'!J$22</f>
        <v>-0.41152228571428573</v>
      </c>
      <c r="K54" s="4">
        <f>'1kts'!K$22</f>
        <v>0.92155428571428555</v>
      </c>
      <c r="L54" s="4">
        <f>'1kts'!L$22</f>
        <v>0.15152228571428572</v>
      </c>
    </row>
    <row r="55" spans="1:12" x14ac:dyDescent="0.25">
      <c r="A55">
        <f t="shared" si="8"/>
        <v>46</v>
      </c>
      <c r="B55">
        <f t="shared" si="2"/>
        <v>0.8028514559173916</v>
      </c>
      <c r="C55">
        <f t="shared" si="5"/>
        <v>0.54261132075471696</v>
      </c>
      <c r="D55">
        <f t="shared" si="6"/>
        <v>0.48598999999999992</v>
      </c>
      <c r="E55" s="4" t="s">
        <v>30</v>
      </c>
      <c r="F55">
        <f>C55*'Données géométriques'!$B$6/(2+('Données géométriques'!$B$6^2+4)^0.5)</f>
        <v>0.30077109277911712</v>
      </c>
      <c r="G55">
        <f>F55^2/(PI()*'Données géométriques'!$B$6)</f>
        <v>8.9968496649331514E-3</v>
      </c>
      <c r="H55">
        <f t="shared" si="7"/>
        <v>0.49498684966493306</v>
      </c>
      <c r="I55" s="4" t="s">
        <v>30</v>
      </c>
      <c r="J55" s="4">
        <f>'1kts'!J$22</f>
        <v>-0.41152228571428573</v>
      </c>
      <c r="K55" s="4">
        <f>'1kts'!K$22</f>
        <v>0.92155428571428555</v>
      </c>
      <c r="L55" s="4">
        <f>'1kts'!L$22</f>
        <v>0.15152228571428572</v>
      </c>
    </row>
    <row r="56" spans="1:12" x14ac:dyDescent="0.25">
      <c r="A56">
        <f t="shared" si="8"/>
        <v>48</v>
      </c>
      <c r="B56">
        <f t="shared" si="2"/>
        <v>0.83775804095727824</v>
      </c>
      <c r="C56">
        <f t="shared" si="5"/>
        <v>0.51794716981132072</v>
      </c>
      <c r="D56">
        <f t="shared" si="6"/>
        <v>0.51098999999999983</v>
      </c>
      <c r="E56" s="4" t="s">
        <v>30</v>
      </c>
      <c r="F56">
        <f>C56*'Données géométriques'!$B$6/(2+('Données géométriques'!$B$6^2+4)^0.5)</f>
        <v>0.28709967947097542</v>
      </c>
      <c r="G56">
        <f>F56^2/(PI()*'Données géométriques'!$B$6)</f>
        <v>8.1975427732138822E-3</v>
      </c>
      <c r="H56">
        <f t="shared" si="7"/>
        <v>0.51918754277321366</v>
      </c>
      <c r="I56" s="4" t="s">
        <v>30</v>
      </c>
      <c r="J56" s="4">
        <f>'1kts'!J$22</f>
        <v>-0.41152228571428573</v>
      </c>
      <c r="K56" s="4">
        <f>'1kts'!K$22</f>
        <v>0.92155428571428555</v>
      </c>
      <c r="L56" s="4">
        <f>'1kts'!L$22</f>
        <v>0.15152228571428572</v>
      </c>
    </row>
    <row r="57" spans="1:12" x14ac:dyDescent="0.25">
      <c r="A57">
        <f t="shared" si="8"/>
        <v>50</v>
      </c>
      <c r="B57">
        <f t="shared" si="2"/>
        <v>0.87266462599716477</v>
      </c>
      <c r="C57">
        <f t="shared" si="5"/>
        <v>0.49328301886792453</v>
      </c>
      <c r="D57">
        <f t="shared" si="6"/>
        <v>0.53598999999999997</v>
      </c>
      <c r="E57" s="4" t="s">
        <v>30</v>
      </c>
      <c r="F57">
        <f>C57*'Données géométriques'!$B$6/(2+('Données géométriques'!$B$6^2+4)^0.5)</f>
        <v>0.27342826616283378</v>
      </c>
      <c r="G57">
        <f>F57^2/(PI()*'Données géométriques'!$B$6)</f>
        <v>7.4354129462257459E-3</v>
      </c>
      <c r="H57">
        <f t="shared" si="7"/>
        <v>0.54342541294622571</v>
      </c>
      <c r="I57" s="4" t="s">
        <v>30</v>
      </c>
      <c r="J57" s="4">
        <f>'1kts'!J$22</f>
        <v>-0.41152228571428573</v>
      </c>
      <c r="K57" s="4">
        <f>'1kts'!K$22</f>
        <v>0.92155428571428555</v>
      </c>
      <c r="L57" s="4">
        <f>'1kts'!L$22</f>
        <v>0.15152228571428572</v>
      </c>
    </row>
    <row r="58" spans="1:12" x14ac:dyDescent="0.25">
      <c r="A58">
        <f t="shared" si="8"/>
        <v>52</v>
      </c>
      <c r="B58">
        <f t="shared" si="2"/>
        <v>0.90757121103705141</v>
      </c>
      <c r="C58">
        <f t="shared" si="5"/>
        <v>0.46861886792452834</v>
      </c>
      <c r="D58">
        <f t="shared" si="6"/>
        <v>0.56098999999999988</v>
      </c>
      <c r="E58" s="4" t="s">
        <v>30</v>
      </c>
      <c r="F58">
        <f>C58*'Données géométriques'!$B$6/(2+('Données géométriques'!$B$6^2+4)^0.5)</f>
        <v>0.25975685285469208</v>
      </c>
      <c r="G58">
        <f>F58^2/(PI()*'Données géométriques'!$B$6)</f>
        <v>6.7104601839687349E-3</v>
      </c>
      <c r="H58">
        <f t="shared" si="7"/>
        <v>0.56770046018396858</v>
      </c>
      <c r="I58" s="4" t="s">
        <v>30</v>
      </c>
      <c r="J58" s="4">
        <f>'1kts'!J$22</f>
        <v>-0.41152228571428573</v>
      </c>
      <c r="K58" s="4">
        <f>'1kts'!K$22</f>
        <v>0.92155428571428555</v>
      </c>
      <c r="L58" s="4">
        <f>'1kts'!L$22</f>
        <v>0.15152228571428572</v>
      </c>
    </row>
    <row r="59" spans="1:12" x14ac:dyDescent="0.25">
      <c r="A59">
        <f t="shared" si="8"/>
        <v>54</v>
      </c>
      <c r="B59">
        <f t="shared" si="2"/>
        <v>0.94247779607693793</v>
      </c>
      <c r="C59">
        <f t="shared" si="5"/>
        <v>0.44395471698113209</v>
      </c>
      <c r="D59">
        <f t="shared" si="6"/>
        <v>0.58598999999999979</v>
      </c>
      <c r="E59" s="4" t="s">
        <v>30</v>
      </c>
      <c r="F59">
        <f>C59*'Données géométriques'!$B$6/(2+('Données géométriques'!$B$6^2+4)^0.5)</f>
        <v>0.24608543954655041</v>
      </c>
      <c r="G59">
        <f>F59^2/(PI()*'Données géométriques'!$B$6)</f>
        <v>6.0226844864428551E-3</v>
      </c>
      <c r="H59">
        <f t="shared" si="7"/>
        <v>0.59201268448644262</v>
      </c>
      <c r="I59" s="4" t="s">
        <v>30</v>
      </c>
      <c r="J59" s="4">
        <f>'1kts'!J$22</f>
        <v>-0.41152228571428573</v>
      </c>
      <c r="K59" s="4">
        <f>'1kts'!K$22</f>
        <v>0.92155428571428555</v>
      </c>
      <c r="L59" s="4">
        <f>'1kts'!L$22</f>
        <v>0.15152228571428572</v>
      </c>
    </row>
    <row r="60" spans="1:12" x14ac:dyDescent="0.25">
      <c r="A60">
        <f t="shared" si="8"/>
        <v>56</v>
      </c>
      <c r="B60">
        <f t="shared" si="2"/>
        <v>0.97738438111682457</v>
      </c>
      <c r="C60">
        <f t="shared" si="5"/>
        <v>0.4192905660377359</v>
      </c>
      <c r="D60">
        <f t="shared" si="6"/>
        <v>0.61098999999999992</v>
      </c>
      <c r="E60" s="4" t="s">
        <v>30</v>
      </c>
      <c r="F60">
        <f>C60*'Données géométriques'!$B$6/(2+('Données géométriques'!$B$6^2+4)^0.5)</f>
        <v>0.23241402623840871</v>
      </c>
      <c r="G60">
        <f>F60^2/(PI()*'Données géométriques'!$B$6)</f>
        <v>5.3720858536481005E-3</v>
      </c>
      <c r="H60">
        <f t="shared" si="7"/>
        <v>0.61636208585364805</v>
      </c>
      <c r="I60" s="4" t="s">
        <v>30</v>
      </c>
      <c r="J60" s="4">
        <f>'1kts'!J$22</f>
        <v>-0.41152228571428573</v>
      </c>
      <c r="K60" s="4">
        <f>'1kts'!K$22</f>
        <v>0.92155428571428555</v>
      </c>
      <c r="L60" s="4">
        <f>'1kts'!L$22</f>
        <v>0.15152228571428572</v>
      </c>
    </row>
    <row r="61" spans="1:12" x14ac:dyDescent="0.25">
      <c r="A61">
        <f t="shared" si="8"/>
        <v>58</v>
      </c>
      <c r="B61">
        <f t="shared" si="2"/>
        <v>1.0122909661567112</v>
      </c>
      <c r="C61">
        <f t="shared" si="5"/>
        <v>0.39462641509433966</v>
      </c>
      <c r="D61">
        <f t="shared" si="6"/>
        <v>0.63598999999999983</v>
      </c>
      <c r="E61" s="4" t="s">
        <v>30</v>
      </c>
      <c r="F61">
        <f>C61*'Données géométriques'!$B$6/(2+('Données géométriques'!$B$6^2+4)^0.5)</f>
        <v>0.21874261293026701</v>
      </c>
      <c r="G61">
        <f>F61^2/(PI()*'Données géométriques'!$B$6)</f>
        <v>4.7586642855844772E-3</v>
      </c>
      <c r="H61">
        <f t="shared" si="7"/>
        <v>0.6407486642855843</v>
      </c>
      <c r="I61" s="4" t="s">
        <v>30</v>
      </c>
      <c r="J61" s="4">
        <f>'1kts'!J$22</f>
        <v>-0.41152228571428573</v>
      </c>
      <c r="K61" s="4">
        <f>'1kts'!K$22</f>
        <v>0.92155428571428555</v>
      </c>
      <c r="L61" s="4">
        <f>'1kts'!L$22</f>
        <v>0.15152228571428572</v>
      </c>
    </row>
    <row r="62" spans="1:12" x14ac:dyDescent="0.25">
      <c r="A62">
        <f t="shared" si="8"/>
        <v>60</v>
      </c>
      <c r="B62">
        <f t="shared" si="2"/>
        <v>1.0471975511965976</v>
      </c>
      <c r="C62">
        <f t="shared" si="5"/>
        <v>0.36996226415094341</v>
      </c>
      <c r="D62">
        <f t="shared" si="6"/>
        <v>0.66098999999999997</v>
      </c>
      <c r="E62" s="4" t="s">
        <v>30</v>
      </c>
      <c r="F62">
        <f>C62*'Données géométriques'!$B$6/(2+('Données géométriques'!$B$6^2+4)^0.5)</f>
        <v>0.20507119962212531</v>
      </c>
      <c r="G62">
        <f>F62^2/(PI()*'Données géométriques'!$B$6)</f>
        <v>4.1824197822519808E-3</v>
      </c>
      <c r="H62">
        <f t="shared" si="7"/>
        <v>0.66517241978225194</v>
      </c>
      <c r="I62" s="4" t="s">
        <v>30</v>
      </c>
      <c r="J62" s="4">
        <f>'1kts'!J$22</f>
        <v>-0.41152228571428573</v>
      </c>
      <c r="K62" s="4">
        <f>'1kts'!K$22</f>
        <v>0.92155428571428555</v>
      </c>
      <c r="L62" s="4">
        <f>'1kts'!L$22</f>
        <v>0.15152228571428572</v>
      </c>
    </row>
    <row r="63" spans="1:12" x14ac:dyDescent="0.25">
      <c r="A63">
        <f t="shared" si="8"/>
        <v>62</v>
      </c>
      <c r="B63">
        <f t="shared" si="2"/>
        <v>1.0821041362364843</v>
      </c>
      <c r="C63">
        <f t="shared" si="5"/>
        <v>0.34529811320754716</v>
      </c>
      <c r="D63">
        <f t="shared" si="6"/>
        <v>0.68598999999999988</v>
      </c>
      <c r="E63" s="4" t="s">
        <v>30</v>
      </c>
      <c r="F63">
        <f>C63*'Données géométriques'!$B$6/(2+('Données géométriques'!$B$6^2+4)^0.5)</f>
        <v>0.19139978631398363</v>
      </c>
      <c r="G63">
        <f>F63^2/(PI()*'Données géométriques'!$B$6)</f>
        <v>3.6433523436506152E-3</v>
      </c>
      <c r="H63">
        <f t="shared" si="7"/>
        <v>0.68963335234365053</v>
      </c>
      <c r="I63" s="4" t="s">
        <v>30</v>
      </c>
      <c r="J63" s="4">
        <f>'1kts'!J$22</f>
        <v>-0.41152228571428573</v>
      </c>
      <c r="K63" s="4">
        <f>'1kts'!K$22</f>
        <v>0.92155428571428555</v>
      </c>
      <c r="L63" s="4">
        <f>'1kts'!L$22</f>
        <v>0.15152228571428572</v>
      </c>
    </row>
    <row r="64" spans="1:12" x14ac:dyDescent="0.25">
      <c r="A64">
        <f t="shared" si="8"/>
        <v>64</v>
      </c>
      <c r="B64">
        <f t="shared" si="2"/>
        <v>1.1170107212763709</v>
      </c>
      <c r="C64">
        <f t="shared" si="5"/>
        <v>0.32063396226415097</v>
      </c>
      <c r="D64">
        <f t="shared" si="6"/>
        <v>0.71098999999999979</v>
      </c>
      <c r="E64" s="4" t="s">
        <v>30</v>
      </c>
      <c r="F64">
        <f>C64*'Données géométriques'!$B$6/(2+('Données géométriques'!$B$6^2+4)^0.5)</f>
        <v>0.17772837300584196</v>
      </c>
      <c r="G64">
        <f>F64^2/(PI()*'Données géométriques'!$B$6)</f>
        <v>3.1414619697803779E-3</v>
      </c>
      <c r="H64">
        <f t="shared" si="7"/>
        <v>0.71413146196978017</v>
      </c>
      <c r="I64" s="4" t="s">
        <v>30</v>
      </c>
      <c r="J64" s="4">
        <f>'1kts'!J$22</f>
        <v>-0.41152228571428573</v>
      </c>
      <c r="K64" s="4">
        <f>'1kts'!K$22</f>
        <v>0.92155428571428555</v>
      </c>
      <c r="L64" s="4">
        <f>'1kts'!L$22</f>
        <v>0.15152228571428572</v>
      </c>
    </row>
    <row r="65" spans="1:12" x14ac:dyDescent="0.25">
      <c r="A65">
        <f t="shared" si="8"/>
        <v>66</v>
      </c>
      <c r="B65">
        <f t="shared" si="2"/>
        <v>1.1519173063162575</v>
      </c>
      <c r="C65">
        <f t="shared" si="5"/>
        <v>0.29596981132075473</v>
      </c>
      <c r="D65">
        <f t="shared" si="6"/>
        <v>0.73598999999999992</v>
      </c>
      <c r="E65" s="4" t="s">
        <v>30</v>
      </c>
      <c r="F65">
        <f>C65*'Données géométriques'!$B$6/(2+('Données géométriques'!$B$6^2+4)^0.5)</f>
        <v>0.16405695969770026</v>
      </c>
      <c r="G65">
        <f>F65^2/(PI()*'Données géométriques'!$B$6)</f>
        <v>2.6767486606412683E-3</v>
      </c>
      <c r="H65">
        <f t="shared" si="7"/>
        <v>0.73866674866064119</v>
      </c>
      <c r="I65" s="4" t="s">
        <v>30</v>
      </c>
      <c r="J65" s="4">
        <f>'1kts'!J$22</f>
        <v>-0.41152228571428573</v>
      </c>
      <c r="K65" s="4">
        <f>'1kts'!K$22</f>
        <v>0.92155428571428555</v>
      </c>
      <c r="L65" s="4">
        <f>'1kts'!L$22</f>
        <v>0.15152228571428572</v>
      </c>
    </row>
    <row r="66" spans="1:12" x14ac:dyDescent="0.25">
      <c r="A66">
        <f t="shared" si="8"/>
        <v>68</v>
      </c>
      <c r="B66">
        <f t="shared" si="2"/>
        <v>1.1868238913561442</v>
      </c>
      <c r="C66">
        <f t="shared" si="5"/>
        <v>0.27130566037735848</v>
      </c>
      <c r="D66">
        <f t="shared" si="6"/>
        <v>0.76098999999999983</v>
      </c>
      <c r="E66" s="4" t="s">
        <v>30</v>
      </c>
      <c r="F66">
        <f>C66*'Données géométriques'!$B$6/(2+('Données géométriques'!$B$6^2+4)^0.5)</f>
        <v>0.15038554638955856</v>
      </c>
      <c r="G66">
        <f>F66^2/(PI()*'Données géométriques'!$B$6)</f>
        <v>2.2492124162332879E-3</v>
      </c>
      <c r="H66">
        <f t="shared" si="7"/>
        <v>0.76323921241623316</v>
      </c>
      <c r="I66" s="4" t="s">
        <v>30</v>
      </c>
      <c r="J66" s="4">
        <f>'1kts'!J$22</f>
        <v>-0.41152228571428573</v>
      </c>
      <c r="K66" s="4">
        <f>'1kts'!K$22</f>
        <v>0.92155428571428555</v>
      </c>
      <c r="L66" s="4">
        <f>'1kts'!L$22</f>
        <v>0.15152228571428572</v>
      </c>
    </row>
    <row r="67" spans="1:12" x14ac:dyDescent="0.25">
      <c r="A67">
        <f t="shared" si="8"/>
        <v>70</v>
      </c>
      <c r="B67">
        <f t="shared" si="2"/>
        <v>1.2217304763960306</v>
      </c>
      <c r="C67">
        <f t="shared" si="5"/>
        <v>0.24664150943396226</v>
      </c>
      <c r="D67">
        <f t="shared" si="6"/>
        <v>0.78598999999999974</v>
      </c>
      <c r="E67" s="4" t="s">
        <v>30</v>
      </c>
      <c r="F67">
        <f>C67*'Données géométriques'!$B$6/(2+('Données géométriques'!$B$6^2+4)^0.5)</f>
        <v>0.13671413308141689</v>
      </c>
      <c r="G67">
        <f>F67^2/(PI()*'Données géométriques'!$B$6)</f>
        <v>1.8588532365564365E-3</v>
      </c>
      <c r="H67">
        <f t="shared" si="7"/>
        <v>0.78784885323655618</v>
      </c>
      <c r="I67" s="4" t="s">
        <v>30</v>
      </c>
      <c r="J67" s="4">
        <f>'1kts'!J$22</f>
        <v>-0.41152228571428573</v>
      </c>
      <c r="K67" s="4">
        <f>'1kts'!K$22</f>
        <v>0.92155428571428555</v>
      </c>
      <c r="L67" s="4">
        <f>'1kts'!L$22</f>
        <v>0.15152228571428572</v>
      </c>
    </row>
    <row r="68" spans="1:12" x14ac:dyDescent="0.25">
      <c r="A68">
        <f t="shared" si="8"/>
        <v>72</v>
      </c>
      <c r="B68">
        <f t="shared" si="2"/>
        <v>1.2566370614359172</v>
      </c>
      <c r="C68">
        <f t="shared" si="5"/>
        <v>0.22197735849056605</v>
      </c>
      <c r="D68">
        <f t="shared" si="6"/>
        <v>0.81098999999999988</v>
      </c>
      <c r="E68" s="4" t="s">
        <v>30</v>
      </c>
      <c r="F68">
        <f>C68*'Données géométriques'!$B$6/(2+('Données géométriques'!$B$6^2+4)^0.5)</f>
        <v>0.1230427197732752</v>
      </c>
      <c r="G68">
        <f>F68^2/(PI()*'Données géométriques'!$B$6)</f>
        <v>1.5056711216107138E-3</v>
      </c>
      <c r="H68">
        <f t="shared" si="7"/>
        <v>0.81249567112161059</v>
      </c>
      <c r="I68" s="4" t="s">
        <v>30</v>
      </c>
      <c r="J68" s="4">
        <f>'1kts'!J$22</f>
        <v>-0.41152228571428573</v>
      </c>
      <c r="K68" s="4">
        <f>'1kts'!K$22</f>
        <v>0.92155428571428555</v>
      </c>
      <c r="L68" s="4">
        <f>'1kts'!L$22</f>
        <v>0.15152228571428572</v>
      </c>
    </row>
    <row r="69" spans="1:12" x14ac:dyDescent="0.25">
      <c r="A69">
        <f t="shared" si="8"/>
        <v>74</v>
      </c>
      <c r="B69">
        <f t="shared" si="2"/>
        <v>1.2915436464758039</v>
      </c>
      <c r="C69">
        <f t="shared" si="5"/>
        <v>0.19731320754716983</v>
      </c>
      <c r="D69">
        <f t="shared" si="6"/>
        <v>0.83598999999999979</v>
      </c>
      <c r="E69" s="4" t="s">
        <v>30</v>
      </c>
      <c r="F69">
        <f>C69*'Données géométriques'!$B$6/(2+('Données géométriques'!$B$6^2+4)^0.5)</f>
        <v>0.1093713064651335</v>
      </c>
      <c r="G69">
        <f>F69^2/(PI()*'Données géométriques'!$B$6)</f>
        <v>1.1896660713961193E-3</v>
      </c>
      <c r="H69">
        <f t="shared" si="7"/>
        <v>0.83717966607139593</v>
      </c>
      <c r="I69" s="4" t="s">
        <v>30</v>
      </c>
      <c r="J69" s="4">
        <f>'1kts'!J$22</f>
        <v>-0.41152228571428573</v>
      </c>
      <c r="K69" s="4">
        <f>'1kts'!K$22</f>
        <v>0.92155428571428555</v>
      </c>
      <c r="L69" s="4">
        <f>'1kts'!L$22</f>
        <v>0.15152228571428572</v>
      </c>
    </row>
    <row r="70" spans="1:12" x14ac:dyDescent="0.25">
      <c r="A70">
        <f t="shared" si="8"/>
        <v>76</v>
      </c>
      <c r="B70">
        <f t="shared" ref="B70:B77" si="9">RADIANS(A70)</f>
        <v>1.3264502315156905</v>
      </c>
      <c r="C70">
        <f t="shared" si="5"/>
        <v>0.17264905660377358</v>
      </c>
      <c r="D70">
        <f t="shared" si="6"/>
        <v>0.86098999999999992</v>
      </c>
      <c r="E70" s="4" t="s">
        <v>30</v>
      </c>
      <c r="F70">
        <f>C70*'Données géométriques'!$B$6/(2+('Données géométriques'!$B$6^2+4)^0.5)</f>
        <v>9.5699893156991817E-2</v>
      </c>
      <c r="G70">
        <f>F70^2/(PI()*'Données géométriques'!$B$6)</f>
        <v>9.108380859126538E-4</v>
      </c>
      <c r="H70">
        <f t="shared" si="7"/>
        <v>0.86190083808591256</v>
      </c>
      <c r="I70" s="4" t="s">
        <v>30</v>
      </c>
      <c r="J70" s="4">
        <f>'1kts'!J$22</f>
        <v>-0.41152228571428573</v>
      </c>
      <c r="K70" s="4">
        <f>'1kts'!K$22</f>
        <v>0.92155428571428555</v>
      </c>
      <c r="L70" s="4">
        <f>'1kts'!L$22</f>
        <v>0.15152228571428572</v>
      </c>
    </row>
    <row r="71" spans="1:12" x14ac:dyDescent="0.25">
      <c r="A71">
        <f t="shared" si="8"/>
        <v>78</v>
      </c>
      <c r="B71">
        <f t="shared" si="9"/>
        <v>1.3613568165555769</v>
      </c>
      <c r="C71">
        <f t="shared" si="5"/>
        <v>0.14798490566037736</v>
      </c>
      <c r="D71">
        <f t="shared" si="6"/>
        <v>0.88598999999999983</v>
      </c>
      <c r="E71" s="4" t="s">
        <v>30</v>
      </c>
      <c r="F71">
        <f>C71*'Données géométriques'!$B$6/(2+('Données géométriques'!$B$6^2+4)^0.5)</f>
        <v>8.202847984885013E-2</v>
      </c>
      <c r="G71">
        <f>F71^2/(PI()*'Données géométriques'!$B$6)</f>
        <v>6.6918716516031708E-4</v>
      </c>
      <c r="H71">
        <f t="shared" si="7"/>
        <v>0.88665918716516012</v>
      </c>
      <c r="I71" s="4" t="s">
        <v>30</v>
      </c>
      <c r="J71" s="4">
        <f>'1kts'!J$22</f>
        <v>-0.41152228571428573</v>
      </c>
      <c r="K71" s="4">
        <f>'1kts'!K$22</f>
        <v>0.92155428571428555</v>
      </c>
      <c r="L71" s="4">
        <f>'1kts'!L$22</f>
        <v>0.15152228571428572</v>
      </c>
    </row>
    <row r="72" spans="1:12" x14ac:dyDescent="0.25">
      <c r="A72">
        <f t="shared" si="8"/>
        <v>80</v>
      </c>
      <c r="B72">
        <f t="shared" si="9"/>
        <v>1.3962634015954636</v>
      </c>
      <c r="C72">
        <f t="shared" si="5"/>
        <v>0.12332075471698113</v>
      </c>
      <c r="D72">
        <f t="shared" si="6"/>
        <v>0.91098999999999974</v>
      </c>
      <c r="E72" s="4" t="s">
        <v>30</v>
      </c>
      <c r="F72">
        <f>C72*'Données géométriques'!$B$6/(2+('Données géométriques'!$B$6^2+4)^0.5)</f>
        <v>6.8357066540708444E-2</v>
      </c>
      <c r="G72">
        <f>F72^2/(PI()*'Données géométriques'!$B$6)</f>
        <v>4.6471330913910912E-4</v>
      </c>
      <c r="H72">
        <f t="shared" si="7"/>
        <v>0.91145471330913885</v>
      </c>
      <c r="I72" s="4" t="s">
        <v>30</v>
      </c>
      <c r="J72" s="4">
        <f>'1kts'!J$22</f>
        <v>-0.41152228571428573</v>
      </c>
      <c r="K72" s="4">
        <f>'1kts'!K$22</f>
        <v>0.92155428571428555</v>
      </c>
      <c r="L72" s="4">
        <f>'1kts'!L$22</f>
        <v>0.15152228571428572</v>
      </c>
    </row>
    <row r="73" spans="1:12" x14ac:dyDescent="0.25">
      <c r="A73">
        <f t="shared" si="8"/>
        <v>82</v>
      </c>
      <c r="B73">
        <f t="shared" si="9"/>
        <v>1.4311699866353502</v>
      </c>
      <c r="C73">
        <f t="shared" si="5"/>
        <v>9.8656603773584914E-2</v>
      </c>
      <c r="D73">
        <f t="shared" si="6"/>
        <v>0.93598999999999988</v>
      </c>
      <c r="E73" s="4" t="s">
        <v>30</v>
      </c>
      <c r="F73">
        <f>C73*'Données géométriques'!$B$6/(2+('Données géométriques'!$B$6^2+4)^0.5)</f>
        <v>5.4685653232566751E-2</v>
      </c>
      <c r="G73">
        <f>F73^2/(PI()*'Données géométriques'!$B$6)</f>
        <v>2.9741651784902982E-4</v>
      </c>
      <c r="H73">
        <f t="shared" si="7"/>
        <v>0.93628741651784886</v>
      </c>
      <c r="I73" s="4" t="s">
        <v>30</v>
      </c>
      <c r="J73" s="4">
        <f>'1kts'!J$22</f>
        <v>-0.41152228571428573</v>
      </c>
      <c r="K73" s="4">
        <f>'1kts'!K$22</f>
        <v>0.92155428571428555</v>
      </c>
      <c r="L73" s="4">
        <f>'1kts'!L$22</f>
        <v>0.15152228571428572</v>
      </c>
    </row>
    <row r="74" spans="1:12" x14ac:dyDescent="0.25">
      <c r="A74">
        <f t="shared" si="8"/>
        <v>84</v>
      </c>
      <c r="B74">
        <f t="shared" si="9"/>
        <v>1.4660765716752369</v>
      </c>
      <c r="C74">
        <f t="shared" si="5"/>
        <v>7.3992452830188682E-2</v>
      </c>
      <c r="D74">
        <f t="shared" si="6"/>
        <v>0.96098999999999979</v>
      </c>
      <c r="E74" s="4" t="s">
        <v>30</v>
      </c>
      <c r="F74">
        <f>C74*'Données géométriques'!$B$6/(2+('Données géométriques'!$B$6^2+4)^0.5)</f>
        <v>4.1014239924425065E-2</v>
      </c>
      <c r="G74">
        <f>F74^2/(PI()*'Données géométriques'!$B$6)</f>
        <v>1.6729679129007927E-4</v>
      </c>
      <c r="H74">
        <f t="shared" si="7"/>
        <v>0.96115729679128992</v>
      </c>
      <c r="I74" s="4" t="s">
        <v>30</v>
      </c>
      <c r="J74" s="4">
        <f>'1kts'!J$22</f>
        <v>-0.41152228571428573</v>
      </c>
      <c r="K74" s="4">
        <f>'1kts'!K$22</f>
        <v>0.92155428571428555</v>
      </c>
      <c r="L74" s="4">
        <f>'1kts'!L$22</f>
        <v>0.15152228571428572</v>
      </c>
    </row>
    <row r="75" spans="1:12" x14ac:dyDescent="0.25">
      <c r="A75">
        <f t="shared" si="8"/>
        <v>86</v>
      </c>
      <c r="B75">
        <f t="shared" si="9"/>
        <v>1.5009831567151235</v>
      </c>
      <c r="C75">
        <f t="shared" si="5"/>
        <v>4.9328301886792457E-2</v>
      </c>
      <c r="D75">
        <f t="shared" si="6"/>
        <v>0.9859899999999997</v>
      </c>
      <c r="E75" s="4" t="s">
        <v>30</v>
      </c>
      <c r="F75">
        <f>C75*'Données géométriques'!$B$6/(2+('Données géométriques'!$B$6^2+4)^0.5)</f>
        <v>2.7342826616283376E-2</v>
      </c>
      <c r="G75">
        <f>F75^2/(PI()*'Données géométriques'!$B$6)</f>
        <v>7.4354129462257456E-5</v>
      </c>
      <c r="H75">
        <f t="shared" si="7"/>
        <v>0.98606435412946192</v>
      </c>
      <c r="I75" s="4" t="s">
        <v>30</v>
      </c>
      <c r="J75" s="4">
        <f>'1kts'!J$22</f>
        <v>-0.41152228571428573</v>
      </c>
      <c r="K75" s="4">
        <f>'1kts'!K$22</f>
        <v>0.92155428571428555</v>
      </c>
      <c r="L75" s="4">
        <f>'1kts'!L$22</f>
        <v>0.15152228571428572</v>
      </c>
    </row>
    <row r="76" spans="1:12" x14ac:dyDescent="0.25">
      <c r="A76">
        <f t="shared" si="8"/>
        <v>88</v>
      </c>
      <c r="B76">
        <f t="shared" si="9"/>
        <v>1.5358897417550099</v>
      </c>
      <c r="C76">
        <f t="shared" si="5"/>
        <v>2.4664150943396228E-2</v>
      </c>
      <c r="D76">
        <f t="shared" si="6"/>
        <v>1.0109899999999998</v>
      </c>
      <c r="E76" s="4" t="s">
        <v>30</v>
      </c>
      <c r="F76">
        <f>C76*'Données géométriques'!$B$6/(2+('Données géométriques'!$B$6^2+4)^0.5)</f>
        <v>1.3671413308141688E-2</v>
      </c>
      <c r="G76">
        <f>F76^2/(PI()*'Données géométriques'!$B$6)</f>
        <v>1.8588532365564364E-5</v>
      </c>
      <c r="H76">
        <f t="shared" si="7"/>
        <v>1.0110085885323654</v>
      </c>
      <c r="I76" s="4" t="s">
        <v>30</v>
      </c>
      <c r="J76" s="4">
        <f>'1kts'!J$22</f>
        <v>-0.41152228571428573</v>
      </c>
      <c r="K76" s="4">
        <f>'1kts'!K$22</f>
        <v>0.92155428571428555</v>
      </c>
      <c r="L76" s="4">
        <f>'1kts'!L$22</f>
        <v>0.15152228571428572</v>
      </c>
    </row>
    <row r="77" spans="1:12" x14ac:dyDescent="0.25">
      <c r="A77">
        <f t="shared" si="8"/>
        <v>90</v>
      </c>
      <c r="B77">
        <f t="shared" si="9"/>
        <v>1.5707963267948966</v>
      </c>
      <c r="C77">
        <f t="shared" si="5"/>
        <v>0</v>
      </c>
      <c r="D77">
        <f t="shared" si="6"/>
        <v>1.0359899999999997</v>
      </c>
      <c r="E77" s="4" t="s">
        <v>30</v>
      </c>
      <c r="F77">
        <f>C77*'Données géométriques'!$B$6/(2+('Données géométriques'!$B$6^2+4)^0.5)</f>
        <v>0</v>
      </c>
      <c r="G77">
        <f>F77^2/(PI()*'Données géométriques'!$B$6)</f>
        <v>0</v>
      </c>
      <c r="H77">
        <f t="shared" si="7"/>
        <v>1.0359899999999997</v>
      </c>
      <c r="I77" s="4" t="s">
        <v>30</v>
      </c>
      <c r="J77" s="4">
        <f>'1kts'!J$22</f>
        <v>-0.41152228571428573</v>
      </c>
      <c r="K77" s="4">
        <f>'1kts'!K$22</f>
        <v>0.92155428571428555</v>
      </c>
      <c r="L77" s="4">
        <f>'1kts'!L$22</f>
        <v>0.15152228571428572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51CA4-7620-4268-9F96-F91EA7AFF5F6}">
  <sheetPr codeName="Feuil2"/>
  <dimension ref="A1:O78"/>
  <sheetViews>
    <sheetView topLeftCell="A4" workbookViewId="0">
      <selection activeCell="R69" sqref="R69"/>
    </sheetView>
  </sheetViews>
  <sheetFormatPr baseColWidth="10" defaultRowHeight="15" x14ac:dyDescent="0.25"/>
  <sheetData>
    <row r="1" spans="1:15" x14ac:dyDescent="0.25">
      <c r="A1">
        <v>10</v>
      </c>
      <c r="C1">
        <f>ROUND(((A1*0.514)/15.6)*1000000,0)</f>
        <v>329487</v>
      </c>
      <c r="N1" t="s">
        <v>28</v>
      </c>
      <c r="O1" t="s">
        <v>29</v>
      </c>
    </row>
    <row r="2" spans="1:1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22</v>
      </c>
      <c r="J2" t="s">
        <v>23</v>
      </c>
      <c r="K2" t="s">
        <v>25</v>
      </c>
      <c r="L2" t="s">
        <v>24</v>
      </c>
      <c r="N2">
        <f>INDEX(A4:A43,MATCH(MAX(F4:F43),F4:F43,0))</f>
        <v>12</v>
      </c>
      <c r="O2">
        <f>(D28-D27)/(A28-A27)</f>
        <v>8.2999999999999879E-3</v>
      </c>
    </row>
    <row r="3" spans="1:15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5" x14ac:dyDescent="0.25">
      <c r="A4">
        <v>0</v>
      </c>
      <c r="B4">
        <f>RADIANS(A4)</f>
        <v>0</v>
      </c>
      <c r="C4">
        <v>1E-4</v>
      </c>
      <c r="D4">
        <v>6.7499999999999999E-3</v>
      </c>
      <c r="E4">
        <v>0</v>
      </c>
      <c r="F4">
        <f>C4*'Données géométriques'!$B$6/(2+('Données géométriques'!$B$6^2+4)^0.5)</f>
        <v>5.543030181544595E-5</v>
      </c>
      <c r="G4">
        <f>F4^2/(PI()*'Données géométriques'!$B$6)</f>
        <v>3.0557144138605595E-10</v>
      </c>
      <c r="H4">
        <f>G4+D4</f>
        <v>6.7500003055714413E-3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</row>
    <row r="5" spans="1:15" x14ac:dyDescent="0.25">
      <c r="A5">
        <v>0.5</v>
      </c>
      <c r="B5">
        <f t="shared" ref="B5:B68" si="0">RADIANS(A5)</f>
        <v>8.7266462599716477E-3</v>
      </c>
      <c r="C5">
        <v>5.0299999999999997E-2</v>
      </c>
      <c r="D5">
        <v>6.8399999999999997E-3</v>
      </c>
      <c r="E5">
        <v>2E-3</v>
      </c>
      <c r="F5">
        <f>C5*'Données géométriques'!$B$6/(2+('Données géométriques'!$B$6^2+4)^0.5)</f>
        <v>2.788144181316931E-2</v>
      </c>
      <c r="G5">
        <f>F5^2/(PI()*'Données géométriques'!$B$6)</f>
        <v>7.7312324813644603E-5</v>
      </c>
      <c r="H5">
        <f t="shared" ref="H5:H43" si="1">G5+D5</f>
        <v>6.917312324813644E-3</v>
      </c>
      <c r="I5">
        <f>0.25-E5/(C5*COS(B5)+D5*SIN(B5))</f>
        <v>0.21028418589851233</v>
      </c>
      <c r="J5">
        <f>XCP_3D('Données géométriques'!$B$9,'Données géométriques'!$B$10,'Données géométriques'!$B$12,'Données géométriques'!$B$11,I5)</f>
        <v>-0.19821274846984796</v>
      </c>
      <c r="K5">
        <f>'5kts'!K5</f>
        <v>1.1514536950961625</v>
      </c>
      <c r="L5">
        <f t="shared" ref="L5:L28" si="2" xml:space="preserve"> -(J5+0.26)</f>
        <v>-6.1787251530152049E-2</v>
      </c>
    </row>
    <row r="6" spans="1:15" x14ac:dyDescent="0.25">
      <c r="A6">
        <v>1</v>
      </c>
      <c r="B6">
        <f t="shared" si="0"/>
        <v>1.7453292519943295E-2</v>
      </c>
      <c r="C6">
        <v>0.1024</v>
      </c>
      <c r="D6">
        <v>7.0899999999999999E-3</v>
      </c>
      <c r="E6">
        <v>3.5000000000000001E-3</v>
      </c>
      <c r="F6">
        <f>C6*'Données géométriques'!$B$6/(2+('Données géométriques'!$B$6^2+4)^0.5)</f>
        <v>5.6760629059016653E-2</v>
      </c>
      <c r="G6">
        <f>F6^2/(PI()*'Données géométriques'!$B$6)</f>
        <v>3.2041487972282501E-4</v>
      </c>
      <c r="H6">
        <f t="shared" si="1"/>
        <v>7.4104148797228247E-3</v>
      </c>
      <c r="I6">
        <f t="shared" ref="I6:I28" si="3">0.25-E6/(C6*COS(B6)+D6*SIN(B6))</f>
        <v>0.21585637055529702</v>
      </c>
      <c r="J6">
        <f>XCP_3D('Données géométriques'!$B$9,'Données géométriques'!$B$10,'Données géométriques'!$B$12,'Données géométriques'!$B$11,I6)</f>
        <v>-0.20231555055432016</v>
      </c>
      <c r="K6">
        <f>'5kts'!K6</f>
        <v>1.1514536950961625</v>
      </c>
      <c r="L6">
        <f t="shared" si="2"/>
        <v>-5.7684449445679853E-2</v>
      </c>
    </row>
    <row r="7" spans="1:15" x14ac:dyDescent="0.25">
      <c r="A7">
        <v>1.5</v>
      </c>
      <c r="B7">
        <f t="shared" si="0"/>
        <v>2.6179938779914945E-2</v>
      </c>
      <c r="C7">
        <v>0.15890000000000001</v>
      </c>
      <c r="D7">
        <v>7.4700000000000001E-3</v>
      </c>
      <c r="E7">
        <v>3.7000000000000002E-3</v>
      </c>
      <c r="F7">
        <f>C7*'Données géométriques'!$B$6/(2+('Données géométriques'!$B$6^2+4)^0.5)</f>
        <v>8.8078749584743626E-2</v>
      </c>
      <c r="G7">
        <f>F7^2/(PI()*'Données géométriques'!$B$6)</f>
        <v>7.7154374935592201E-4</v>
      </c>
      <c r="H7">
        <f t="shared" si="1"/>
        <v>8.2415437493559215E-3</v>
      </c>
      <c r="I7">
        <f t="shared" si="3"/>
        <v>0.22673557202904782</v>
      </c>
      <c r="J7">
        <f>XCP_3D('Données géométriques'!$B$9,'Données géométriques'!$B$10,'Données géométriques'!$B$12,'Données géométriques'!$B$11,I7)</f>
        <v>-0.21032591152280389</v>
      </c>
      <c r="K7">
        <f>'5kts'!K7</f>
        <v>1.1514536950961625</v>
      </c>
      <c r="L7">
        <f t="shared" si="2"/>
        <v>-4.9674088477196121E-2</v>
      </c>
    </row>
    <row r="8" spans="1:15" x14ac:dyDescent="0.25">
      <c r="A8">
        <v>2</v>
      </c>
      <c r="B8">
        <f t="shared" si="0"/>
        <v>3.4906585039886591E-2</v>
      </c>
      <c r="C8">
        <v>0.21990000000000001</v>
      </c>
      <c r="D8">
        <v>7.9799999999999992E-3</v>
      </c>
      <c r="E8">
        <v>2.8E-3</v>
      </c>
      <c r="F8">
        <f>C8*'Données géométriques'!$B$6/(2+('Données géométriques'!$B$6^2+4)^0.5)</f>
        <v>0.12189123369216566</v>
      </c>
      <c r="G8">
        <f>F8^2/(PI()*'Données géométriques'!$B$6)</f>
        <v>1.4776215675378537E-3</v>
      </c>
      <c r="H8">
        <f t="shared" si="1"/>
        <v>9.4576215675378529E-3</v>
      </c>
      <c r="I8">
        <f t="shared" si="3"/>
        <v>0.23727530349425949</v>
      </c>
      <c r="J8">
        <f>XCP_3D('Données géométriques'!$B$9,'Données géométriques'!$B$10,'Données géométriques'!$B$12,'Données géométriques'!$B$11,I8)</f>
        <v>-0.21808632057037394</v>
      </c>
      <c r="K8">
        <f>'5kts'!K8</f>
        <v>1.1514536950961625</v>
      </c>
      <c r="L8">
        <f t="shared" si="2"/>
        <v>-4.1913679429626066E-2</v>
      </c>
    </row>
    <row r="9" spans="1:15" x14ac:dyDescent="0.25">
      <c r="A9">
        <v>2.5</v>
      </c>
      <c r="B9">
        <f t="shared" si="0"/>
        <v>4.3633231299858237E-2</v>
      </c>
      <c r="C9">
        <v>0.2833</v>
      </c>
      <c r="D9">
        <v>8.5800000000000008E-3</v>
      </c>
      <c r="E9">
        <v>1E-3</v>
      </c>
      <c r="F9">
        <f>C9*'Données géométriques'!$B$6/(2+('Données géométriques'!$B$6^2+4)^0.5)</f>
        <v>0.15703404504315838</v>
      </c>
      <c r="G9">
        <f>F9^2/(PI()*'Données géométriques'!$B$6)</f>
        <v>2.452482470134491E-3</v>
      </c>
      <c r="H9">
        <f t="shared" si="1"/>
        <v>1.1032482470134492E-2</v>
      </c>
      <c r="I9">
        <f t="shared" si="3"/>
        <v>0.24647147595612315</v>
      </c>
      <c r="J9">
        <f>XCP_3D('Données géométriques'!$B$9,'Données géométriques'!$B$10,'Données géométriques'!$B$12,'Données géométriques'!$B$11,I9)</f>
        <v>-0.22485746651575422</v>
      </c>
      <c r="K9">
        <f>'5kts'!K9</f>
        <v>1.1514536950961625</v>
      </c>
      <c r="L9">
        <f t="shared" si="2"/>
        <v>-3.5142533484245786E-2</v>
      </c>
    </row>
    <row r="10" spans="1:15" x14ac:dyDescent="0.25">
      <c r="A10">
        <v>3</v>
      </c>
      <c r="B10">
        <f t="shared" si="0"/>
        <v>5.235987755982989E-2</v>
      </c>
      <c r="C10">
        <v>0.34860000000000002</v>
      </c>
      <c r="D10">
        <v>9.2899999999999996E-3</v>
      </c>
      <c r="E10">
        <v>-1.5E-3</v>
      </c>
      <c r="F10">
        <f>C10*'Données géométriques'!$B$6/(2+('Données géométriques'!$B$6^2+4)^0.5)</f>
        <v>0.19323003212864456</v>
      </c>
      <c r="G10">
        <f>F10^2/(PI()*'Données géométriques'!$B$6)</f>
        <v>3.7133640477258626E-3</v>
      </c>
      <c r="H10">
        <f t="shared" si="1"/>
        <v>1.3003364047725861E-2</v>
      </c>
      <c r="I10">
        <f t="shared" si="3"/>
        <v>0.25430282160552969</v>
      </c>
      <c r="J10">
        <f>XCP_3D('Données géométriques'!$B$9,'Données géométriques'!$B$10,'Données géométriques'!$B$12,'Données géométriques'!$B$11,I10)</f>
        <v>-0.23062368986147061</v>
      </c>
      <c r="K10">
        <f>'5kts'!K10</f>
        <v>1.1514536950961625</v>
      </c>
      <c r="L10">
        <f t="shared" si="2"/>
        <v>-2.9376310138529399E-2</v>
      </c>
    </row>
    <row r="11" spans="1:15" x14ac:dyDescent="0.25">
      <c r="A11">
        <v>3.5</v>
      </c>
      <c r="B11">
        <f t="shared" si="0"/>
        <v>6.1086523819801536E-2</v>
      </c>
      <c r="C11">
        <v>0.41539999999999999</v>
      </c>
      <c r="D11">
        <v>1.008E-2</v>
      </c>
      <c r="E11">
        <v>-4.4999999999999997E-3</v>
      </c>
      <c r="F11">
        <f>C11*'Données géométriques'!$B$6/(2+('Données géométriques'!$B$6^2+4)^0.5)</f>
        <v>0.23025747374136246</v>
      </c>
      <c r="G11">
        <f>F11^2/(PI()*'Données géométriques'!$B$6)</f>
        <v>5.2728540102684272E-3</v>
      </c>
      <c r="H11">
        <f t="shared" si="1"/>
        <v>1.5352854010268428E-2</v>
      </c>
      <c r="I11">
        <f t="shared" si="3"/>
        <v>0.26083709151814932</v>
      </c>
      <c r="J11">
        <f>XCP_3D('Données géométriques'!$B$9,'Données géométriques'!$B$10,'Données géométriques'!$B$12,'Données géométriques'!$B$11,I11)</f>
        <v>-0.23543487575520533</v>
      </c>
      <c r="K11">
        <f>'5kts'!K11</f>
        <v>1.1514536950961625</v>
      </c>
      <c r="L11">
        <f t="shared" si="2"/>
        <v>-2.4565124244794678E-2</v>
      </c>
    </row>
    <row r="12" spans="1:15" x14ac:dyDescent="0.25">
      <c r="A12">
        <v>4</v>
      </c>
      <c r="B12">
        <f t="shared" si="0"/>
        <v>6.9813170079773182E-2</v>
      </c>
      <c r="C12">
        <v>0.47339999999999999</v>
      </c>
      <c r="D12">
        <v>1.0800000000000001E-2</v>
      </c>
      <c r="E12">
        <v>-5.4000000000000003E-3</v>
      </c>
      <c r="F12">
        <f>C12*'Données géométriques'!$B$6/(2+('Données géométriques'!$B$6^2+4)^0.5)</f>
        <v>0.26240704879432108</v>
      </c>
      <c r="G12">
        <f>F12^2/(PI()*'Données géométriques'!$B$6)</f>
        <v>6.8480870134711991E-3</v>
      </c>
      <c r="H12">
        <f t="shared" si="1"/>
        <v>1.76480870134712E-2</v>
      </c>
      <c r="I12">
        <f t="shared" si="3"/>
        <v>0.26141648586874949</v>
      </c>
      <c r="J12">
        <f>XCP_3D('Données géométriques'!$B$9,'Données géométriques'!$B$10,'Données géométriques'!$B$12,'Données géométriques'!$B$11,I12)</f>
        <v>-0.23586148407775542</v>
      </c>
      <c r="K12">
        <f>'5kts'!K12</f>
        <v>1.1514536950961625</v>
      </c>
      <c r="L12">
        <f t="shared" si="2"/>
        <v>-2.4138515922244586E-2</v>
      </c>
    </row>
    <row r="13" spans="1:15" x14ac:dyDescent="0.25">
      <c r="A13">
        <v>4.5</v>
      </c>
      <c r="B13">
        <f t="shared" si="0"/>
        <v>7.8539816339744828E-2</v>
      </c>
      <c r="C13">
        <v>0.52080000000000004</v>
      </c>
      <c r="D13">
        <v>1.145E-2</v>
      </c>
      <c r="E13">
        <v>-4.0000000000000001E-3</v>
      </c>
      <c r="F13">
        <f>C13*'Données géométriques'!$B$6/(2+('Données géométriques'!$B$6^2+4)^0.5)</f>
        <v>0.28868101185484252</v>
      </c>
      <c r="G13">
        <f>F13^2/(PI()*'Données géométriques'!$B$6)</f>
        <v>8.2880948755745219E-3</v>
      </c>
      <c r="H13">
        <f t="shared" si="1"/>
        <v>1.973809487557452E-2</v>
      </c>
      <c r="I13">
        <f t="shared" si="3"/>
        <v>0.25769093361747231</v>
      </c>
      <c r="J13">
        <f>XCP_3D('Données géométriques'!$B$9,'Données géométriques'!$B$10,'Données géométriques'!$B$12,'Données géométriques'!$B$11,I13)</f>
        <v>-0.23311835826914842</v>
      </c>
      <c r="K13">
        <f>'5kts'!K13</f>
        <v>1.1514536950961625</v>
      </c>
      <c r="L13">
        <f t="shared" si="2"/>
        <v>-2.6881641730851585E-2</v>
      </c>
    </row>
    <row r="14" spans="1:15" x14ac:dyDescent="0.25">
      <c r="A14">
        <v>5</v>
      </c>
      <c r="B14">
        <f t="shared" si="0"/>
        <v>8.7266462599716474E-2</v>
      </c>
      <c r="C14">
        <v>0.56850000000000001</v>
      </c>
      <c r="D14">
        <v>1.209E-2</v>
      </c>
      <c r="E14">
        <v>-2.5999999999999999E-3</v>
      </c>
      <c r="F14">
        <f>C14*'Données géométriques'!$B$6/(2+('Données géométriques'!$B$6^2+4)^0.5)</f>
        <v>0.31512126582081018</v>
      </c>
      <c r="G14">
        <f>F14^2/(PI()*'Données géométriques'!$B$6)</f>
        <v>9.8758321677302509E-3</v>
      </c>
      <c r="H14">
        <f t="shared" si="1"/>
        <v>2.1965832167730251E-2</v>
      </c>
      <c r="I14">
        <f t="shared" si="3"/>
        <v>0.25458238279238049</v>
      </c>
      <c r="J14">
        <f>XCP_3D('Données géométriques'!$B$9,'Données géométriques'!$B$10,'Données géométriques'!$B$12,'Données géométriques'!$B$11,I14)</f>
        <v>-0.23082953088986516</v>
      </c>
      <c r="K14">
        <f>'5kts'!K14</f>
        <v>1.1514536950961625</v>
      </c>
      <c r="L14">
        <f t="shared" si="2"/>
        <v>-2.917046911013485E-2</v>
      </c>
    </row>
    <row r="15" spans="1:15" x14ac:dyDescent="0.25">
      <c r="A15">
        <v>5.5</v>
      </c>
      <c r="B15">
        <f t="shared" si="0"/>
        <v>9.599310885968812E-2</v>
      </c>
      <c r="C15">
        <v>0.61599999999999999</v>
      </c>
      <c r="D15">
        <v>1.281E-2</v>
      </c>
      <c r="E15">
        <v>-1.1000000000000001E-3</v>
      </c>
      <c r="F15">
        <f>C15*'Données géométriques'!$B$6/(2+('Données géométriques'!$B$6^2+4)^0.5)</f>
        <v>0.34145065918314704</v>
      </c>
      <c r="G15">
        <f>F15^2/(PI()*'Données géométriques'!$B$6)</f>
        <v>1.1595091686258724E-2</v>
      </c>
      <c r="H15">
        <f t="shared" si="1"/>
        <v>2.4405091686258724E-2</v>
      </c>
      <c r="I15">
        <f t="shared" si="3"/>
        <v>0.25179038835527312</v>
      </c>
      <c r="J15">
        <f>XCP_3D('Données géométriques'!$B$9,'Données géométriques'!$B$10,'Données géométriques'!$B$12,'Données géométriques'!$B$11,I15)</f>
        <v>-0.22877378412231034</v>
      </c>
      <c r="K15">
        <f>'5kts'!K15</f>
        <v>1.1514536950961625</v>
      </c>
      <c r="L15">
        <f t="shared" si="2"/>
        <v>-3.1226215877689673E-2</v>
      </c>
    </row>
    <row r="16" spans="1:15" x14ac:dyDescent="0.25">
      <c r="A16">
        <v>6</v>
      </c>
      <c r="B16">
        <f t="shared" si="0"/>
        <v>0.10471975511965978</v>
      </c>
      <c r="C16">
        <v>0.66400000000000003</v>
      </c>
      <c r="D16">
        <v>1.355E-2</v>
      </c>
      <c r="E16">
        <v>2.9999999999999997E-4</v>
      </c>
      <c r="F16">
        <f>C16*'Données géométriques'!$B$6/(2+('Données géométriques'!$B$6^2+4)^0.5)</f>
        <v>0.36805720405456116</v>
      </c>
      <c r="G16">
        <f>F16^2/(PI()*'Données géométriques'!$B$6)</f>
        <v>1.3472522622134655E-2</v>
      </c>
      <c r="H16">
        <f t="shared" si="1"/>
        <v>2.7022522622134657E-2</v>
      </c>
      <c r="I16">
        <f t="shared" si="3"/>
        <v>0.24954667638940764</v>
      </c>
      <c r="J16">
        <f>XCP_3D('Données géométriques'!$B$9,'Données géométriques'!$B$10,'Données géométriques'!$B$12,'Données géométriques'!$B$11,I16)</f>
        <v>-0.22712173798645666</v>
      </c>
      <c r="K16">
        <f>'5kts'!K16</f>
        <v>1.1514536950961625</v>
      </c>
      <c r="L16">
        <f t="shared" si="2"/>
        <v>-3.2878262013543352E-2</v>
      </c>
    </row>
    <row r="17" spans="1:12" x14ac:dyDescent="0.25">
      <c r="A17">
        <v>6.5</v>
      </c>
      <c r="B17">
        <f t="shared" si="0"/>
        <v>0.11344640137963143</v>
      </c>
      <c r="C17">
        <v>0.71179999999999999</v>
      </c>
      <c r="D17">
        <v>1.4409999999999999E-2</v>
      </c>
      <c r="E17">
        <v>1.6000000000000001E-3</v>
      </c>
      <c r="F17">
        <f>C17*'Données géométriques'!$B$6/(2+('Données géométriques'!$B$6^2+4)^0.5)</f>
        <v>0.39455288832234425</v>
      </c>
      <c r="G17">
        <f>F17^2/(PI()*'Données géométriques'!$B$6)</f>
        <v>1.5482059425836364E-2</v>
      </c>
      <c r="H17">
        <f t="shared" si="1"/>
        <v>2.9892059425836365E-2</v>
      </c>
      <c r="I17">
        <f t="shared" si="3"/>
        <v>0.24774284104888247</v>
      </c>
      <c r="J17">
        <f>XCP_3D('Données géométriques'!$B$9,'Données géométriques'!$B$10,'Données géométriques'!$B$12,'Données géométriques'!$B$11,I17)</f>
        <v>-0.22579357320890642</v>
      </c>
      <c r="K17">
        <f>'5kts'!K17</f>
        <v>1.1514536950961625</v>
      </c>
      <c r="L17">
        <f t="shared" si="2"/>
        <v>-3.4206426791093592E-2</v>
      </c>
    </row>
    <row r="18" spans="1:12" x14ac:dyDescent="0.25">
      <c r="A18">
        <v>7</v>
      </c>
      <c r="B18">
        <f t="shared" si="0"/>
        <v>0.12217304763960307</v>
      </c>
      <c r="C18">
        <v>0.75900000000000001</v>
      </c>
      <c r="D18">
        <v>1.546E-2</v>
      </c>
      <c r="E18">
        <v>3.0000000000000001E-3</v>
      </c>
      <c r="F18">
        <f>C18*'Données géométriques'!$B$6/(2+('Données géométriques'!$B$6^2+4)^0.5)</f>
        <v>0.42071599077923472</v>
      </c>
      <c r="G18">
        <f>F18^2/(PI()*'Données géométriques'!$B$6)</f>
        <v>1.7603390152512045E-2</v>
      </c>
      <c r="H18">
        <f t="shared" si="1"/>
        <v>3.3063390152512043E-2</v>
      </c>
      <c r="I18">
        <f t="shared" si="3"/>
        <v>0.24602768244096862</v>
      </c>
      <c r="J18">
        <f>XCP_3D('Données géométriques'!$B$9,'Données géométriques'!$B$10,'Données géométriques'!$B$12,'Données géométriques'!$B$11,I18)</f>
        <v>-0.22453070114970763</v>
      </c>
      <c r="K18">
        <f>'5kts'!K18</f>
        <v>1.1514536950961625</v>
      </c>
      <c r="L18">
        <f t="shared" si="2"/>
        <v>-3.5469298850292375E-2</v>
      </c>
    </row>
    <row r="19" spans="1:12" x14ac:dyDescent="0.25">
      <c r="A19">
        <v>7.5</v>
      </c>
      <c r="B19">
        <f t="shared" si="0"/>
        <v>0.1308996938995747</v>
      </c>
      <c r="C19">
        <v>0.80659999999999998</v>
      </c>
      <c r="D19">
        <v>1.6469999999999999E-2</v>
      </c>
      <c r="E19">
        <v>4.1999999999999997E-3</v>
      </c>
      <c r="F19">
        <f>C19*'Données géométriques'!$B$6/(2+('Données géométriques'!$B$6^2+4)^0.5)</f>
        <v>0.44710081444338701</v>
      </c>
      <c r="G19">
        <f>F19^2/(PI()*'Données géométriques'!$B$6)</f>
        <v>1.9880586760009929E-2</v>
      </c>
      <c r="H19">
        <f t="shared" si="1"/>
        <v>3.6350586760009927E-2</v>
      </c>
      <c r="I19">
        <f t="shared" si="3"/>
        <v>0.24476210733370371</v>
      </c>
      <c r="J19">
        <f>XCP_3D('Données géométriques'!$B$9,'Données géométriques'!$B$10,'Données géométriques'!$B$12,'Données géométriques'!$B$11,I19)</f>
        <v>-0.22359885762549472</v>
      </c>
      <c r="K19">
        <f>'5kts'!K19</f>
        <v>1.1514536950961625</v>
      </c>
      <c r="L19">
        <f t="shared" si="2"/>
        <v>-3.6401142374505285E-2</v>
      </c>
    </row>
    <row r="20" spans="1:12" x14ac:dyDescent="0.25">
      <c r="A20">
        <v>8</v>
      </c>
      <c r="B20">
        <f t="shared" si="0"/>
        <v>0.13962634015954636</v>
      </c>
      <c r="C20">
        <v>0.85199999999999998</v>
      </c>
      <c r="D20">
        <v>1.7850000000000001E-2</v>
      </c>
      <c r="E20">
        <v>5.5999999999999999E-3</v>
      </c>
      <c r="F20">
        <f>C20*'Données géométriques'!$B$6/(2+('Données géométriques'!$B$6^2+4)^0.5)</f>
        <v>0.47226617146759942</v>
      </c>
      <c r="G20">
        <f>F20^2/(PI()*'Données géométriques'!$B$6)</f>
        <v>2.2181553158790345E-2</v>
      </c>
      <c r="H20">
        <f t="shared" si="1"/>
        <v>4.0031553158790346E-2</v>
      </c>
      <c r="I20">
        <f t="shared" si="3"/>
        <v>0.24338212154985411</v>
      </c>
      <c r="J20">
        <f>XCP_3D('Données géométriques'!$B$9,'Données géométriques'!$B$10,'Données géométriques'!$B$12,'Données géométriques'!$B$11,I20)</f>
        <v>-0.22258277346833666</v>
      </c>
      <c r="K20">
        <f>'5kts'!K20</f>
        <v>1.1514536950961625</v>
      </c>
      <c r="L20">
        <f t="shared" si="2"/>
        <v>-3.741722653166335E-2</v>
      </c>
    </row>
    <row r="21" spans="1:12" x14ac:dyDescent="0.25">
      <c r="A21">
        <v>8.5</v>
      </c>
      <c r="B21">
        <f t="shared" si="0"/>
        <v>0.14835298641951802</v>
      </c>
      <c r="C21">
        <v>0.89739999999999998</v>
      </c>
      <c r="D21">
        <v>1.925E-2</v>
      </c>
      <c r="E21">
        <v>7.0000000000000001E-3</v>
      </c>
      <c r="F21">
        <f>C21*'Données géométriques'!$B$6/(2+('Données géométriques'!$B$6^2+4)^0.5)</f>
        <v>0.49743152849181188</v>
      </c>
      <c r="G21">
        <f>F21^2/(PI()*'Données géométriques'!$B$6)</f>
        <v>2.4608485883996226E-2</v>
      </c>
      <c r="H21">
        <f t="shared" si="1"/>
        <v>4.3858485883996226E-2</v>
      </c>
      <c r="I21">
        <f t="shared" si="3"/>
        <v>0.24213826030054306</v>
      </c>
      <c r="J21">
        <f>XCP_3D('Données géométriques'!$B$9,'Données géométriques'!$B$10,'Données géométriques'!$B$12,'Données géométriques'!$B$11,I21)</f>
        <v>-0.22166691786756118</v>
      </c>
      <c r="K21">
        <f>'5kts'!K21</f>
        <v>1.1514536950961625</v>
      </c>
      <c r="L21">
        <f t="shared" si="2"/>
        <v>-3.8333082132438828E-2</v>
      </c>
    </row>
    <row r="22" spans="1:12" x14ac:dyDescent="0.25">
      <c r="A22">
        <v>9</v>
      </c>
      <c r="B22">
        <f t="shared" si="0"/>
        <v>0.15707963267948966</v>
      </c>
      <c r="C22">
        <v>0.94220000000000004</v>
      </c>
      <c r="D22">
        <v>2.0619999999999999E-2</v>
      </c>
      <c r="E22">
        <v>8.3000000000000001E-3</v>
      </c>
      <c r="F22">
        <f>C22*'Données géométriques'!$B$6/(2+('Données géométriques'!$B$6^2+4)^0.5)</f>
        <v>0.52226430370513177</v>
      </c>
      <c r="G22">
        <f>F22^2/(PI()*'Données géométriques'!$B$6)</f>
        <v>2.7126824805606808E-2</v>
      </c>
      <c r="H22">
        <f t="shared" si="1"/>
        <v>4.7746824805606811E-2</v>
      </c>
      <c r="I22">
        <f t="shared" si="3"/>
        <v>0.24111183104735029</v>
      </c>
      <c r="J22">
        <f>XCP_3D('Données géométriques'!$B$9,'Données géométriques'!$B$10,'Données géométriques'!$B$12,'Données géométriques'!$B$11,I22)</f>
        <v>-0.22091115754392762</v>
      </c>
      <c r="K22">
        <f>'5kts'!K22</f>
        <v>1.1514536950961625</v>
      </c>
      <c r="L22">
        <f t="shared" si="2"/>
        <v>-3.9088842456072387E-2</v>
      </c>
    </row>
    <row r="23" spans="1:12" x14ac:dyDescent="0.25">
      <c r="A23">
        <v>9.5</v>
      </c>
      <c r="B23">
        <f t="shared" si="0"/>
        <v>0.16580627893946132</v>
      </c>
      <c r="C23">
        <v>0.98299999999999998</v>
      </c>
      <c r="D23">
        <v>2.2599999999999999E-2</v>
      </c>
      <c r="E23">
        <v>0.01</v>
      </c>
      <c r="F23">
        <f>C23*'Données géométriques'!$B$6/(2+('Données géométriques'!$B$6^2+4)^0.5)</f>
        <v>0.54487986684583367</v>
      </c>
      <c r="G23">
        <f>F23^2/(PI()*'Données géométriques'!$B$6)</f>
        <v>2.9527032252549056E-2</v>
      </c>
      <c r="H23">
        <f t="shared" si="1"/>
        <v>5.2127032252549055E-2</v>
      </c>
      <c r="I23">
        <f t="shared" si="3"/>
        <v>0.2397251352666846</v>
      </c>
      <c r="J23">
        <f>XCP_3D('Données géométriques'!$B$9,'Données géométriques'!$B$10,'Données géométriques'!$B$12,'Données géométriques'!$B$11,I23)</f>
        <v>-0.21989013281307765</v>
      </c>
      <c r="K23">
        <f>'5kts'!K23</f>
        <v>1.1514536950961625</v>
      </c>
      <c r="L23">
        <f t="shared" si="2"/>
        <v>-4.010986718692236E-2</v>
      </c>
    </row>
    <row r="24" spans="1:12" x14ac:dyDescent="0.25">
      <c r="A24">
        <v>10</v>
      </c>
      <c r="B24">
        <f t="shared" si="0"/>
        <v>0.17453292519943295</v>
      </c>
      <c r="C24">
        <v>1.0216000000000001</v>
      </c>
      <c r="D24">
        <v>2.486E-2</v>
      </c>
      <c r="E24">
        <v>1.1900000000000001E-2</v>
      </c>
      <c r="F24">
        <f>C24*'Données géométriques'!$B$6/(2+('Données géométriques'!$B$6^2+4)^0.5)</f>
        <v>0.56627596334659591</v>
      </c>
      <c r="G24">
        <f>F24^2/(PI()*'Données géométriques'!$B$6)</f>
        <v>3.1891469506562672E-2</v>
      </c>
      <c r="H24">
        <f t="shared" si="1"/>
        <v>5.6751469506562673E-2</v>
      </c>
      <c r="I24">
        <f t="shared" si="3"/>
        <v>0.23822244527904127</v>
      </c>
      <c r="J24">
        <f>XCP_3D('Données géométriques'!$B$9,'Données géométriques'!$B$10,'Données géométriques'!$B$12,'Données géométriques'!$B$11,I24)</f>
        <v>-0.21878370149513499</v>
      </c>
      <c r="K24">
        <f>'5kts'!K24</f>
        <v>1.1514536950961625</v>
      </c>
      <c r="L24">
        <f t="shared" si="2"/>
        <v>-4.1216298504865023E-2</v>
      </c>
    </row>
    <row r="25" spans="1:12" x14ac:dyDescent="0.25">
      <c r="A25">
        <v>10.5</v>
      </c>
      <c r="B25">
        <f t="shared" si="0"/>
        <v>0.18325957145940461</v>
      </c>
      <c r="C25">
        <v>1.0569</v>
      </c>
      <c r="D25">
        <v>2.7369999999999998E-2</v>
      </c>
      <c r="E25">
        <v>1.3899999999999999E-2</v>
      </c>
      <c r="F25">
        <f>C25*'Données géométriques'!$B$6/(2+('Données géométriques'!$B$6^2+4)^0.5)</f>
        <v>0.58584285988744822</v>
      </c>
      <c r="G25">
        <f>F25^2/(PI()*'Données géométriques'!$B$6)</f>
        <v>3.4133479257013502E-2</v>
      </c>
      <c r="H25">
        <f t="shared" si="1"/>
        <v>6.1503479257013501E-2</v>
      </c>
      <c r="I25">
        <f t="shared" si="3"/>
        <v>0.2366882450933504</v>
      </c>
      <c r="J25">
        <f>XCP_3D('Données géométriques'!$B$9,'Données géométriques'!$B$10,'Données géométriques'!$B$12,'Données géométriques'!$B$11,I25)</f>
        <v>-0.21765406920411218</v>
      </c>
      <c r="K25">
        <f>'5kts'!K25</f>
        <v>1.1514536950961625</v>
      </c>
      <c r="L25">
        <f t="shared" si="2"/>
        <v>-4.2345930795887832E-2</v>
      </c>
    </row>
    <row r="26" spans="1:12" x14ac:dyDescent="0.25">
      <c r="A26">
        <v>11</v>
      </c>
      <c r="B26">
        <f t="shared" si="0"/>
        <v>0.19198621771937624</v>
      </c>
      <c r="C26">
        <v>1.0891999999999999</v>
      </c>
      <c r="D26">
        <v>2.9819999999999999E-2</v>
      </c>
      <c r="E26">
        <v>1.5900000000000001E-2</v>
      </c>
      <c r="F26">
        <f>C26*'Données géométriques'!$B$6/(2+('Données géométriques'!$B$6^2+4)^0.5)</f>
        <v>0.60374684737383721</v>
      </c>
      <c r="G26">
        <f>F26^2/(PI()*'Données géométriques'!$B$6)</f>
        <v>3.6251670848271814E-2</v>
      </c>
      <c r="H26">
        <f t="shared" si="1"/>
        <v>6.6071670848271813E-2</v>
      </c>
      <c r="I26">
        <f t="shared" si="3"/>
        <v>0.23520762703709977</v>
      </c>
      <c r="J26">
        <f>XCP_3D('Données géométriques'!$B$9,'Données géométriques'!$B$10,'Données géométriques'!$B$12,'Données géométriques'!$B$11,I26)</f>
        <v>-0.21656388945924382</v>
      </c>
      <c r="K26">
        <f>K25</f>
        <v>1.1514536950961625</v>
      </c>
      <c r="L26">
        <f t="shared" si="2"/>
        <v>-4.343611054075619E-2</v>
      </c>
    </row>
    <row r="27" spans="1:12" x14ac:dyDescent="0.25">
      <c r="A27">
        <v>11.5</v>
      </c>
      <c r="B27">
        <f t="shared" si="0"/>
        <v>0.2007128639793479</v>
      </c>
      <c r="C27">
        <v>1.1133</v>
      </c>
      <c r="D27">
        <v>3.2800000000000003E-2</v>
      </c>
      <c r="E27">
        <v>1.83E-2</v>
      </c>
      <c r="F27">
        <f>C27*'Données géométriques'!$B$6/(2+('Données géométriques'!$B$6^2+4)^0.5)</f>
        <v>0.6171055501113597</v>
      </c>
      <c r="G27">
        <f>F27^2/(PI()*'Données géométriques'!$B$6)</f>
        <v>3.787365169843504E-2</v>
      </c>
      <c r="H27">
        <f t="shared" si="1"/>
        <v>7.0673651698435036E-2</v>
      </c>
      <c r="I27">
        <f t="shared" si="3"/>
        <v>0.2333255799087558</v>
      </c>
      <c r="J27">
        <f>XCP_3D('Données géométriques'!$B$9,'Données géométriques'!$B$10,'Données géométriques'!$B$12,'Données géométriques'!$B$11,I27)</f>
        <v>-0.2151781373069275</v>
      </c>
      <c r="K27">
        <f>K26</f>
        <v>1.1514536950961625</v>
      </c>
      <c r="L27">
        <f t="shared" si="2"/>
        <v>-4.4821862693072506E-2</v>
      </c>
    </row>
    <row r="28" spans="1:12" x14ac:dyDescent="0.25">
      <c r="A28" s="3">
        <v>12</v>
      </c>
      <c r="B28">
        <f t="shared" si="0"/>
        <v>0.20943951023931956</v>
      </c>
      <c r="C28">
        <v>1.1218999999999999</v>
      </c>
      <c r="D28">
        <v>3.6949999999999997E-2</v>
      </c>
      <c r="E28">
        <v>2.18E-2</v>
      </c>
      <c r="F28">
        <f>C28*'Données géométriques'!$B$6/(2+('Données géométriques'!$B$6^2+4)^0.5)</f>
        <v>0.62187255606748804</v>
      </c>
      <c r="G28">
        <f>F28^2/(PI()*'Données géométriques'!$B$6)</f>
        <v>3.8461043124211086E-2</v>
      </c>
      <c r="H28">
        <f t="shared" si="1"/>
        <v>7.5411043124211083E-2</v>
      </c>
      <c r="I28">
        <f t="shared" si="3"/>
        <v>0.23027267382153346</v>
      </c>
      <c r="J28">
        <f>XCP_3D('Données géométriques'!$B$9,'Données géométriques'!$B$10,'Données géométriques'!$B$12,'Données géométriques'!$B$11,I28)</f>
        <v>-0.21293028117331925</v>
      </c>
      <c r="K28">
        <f>K27</f>
        <v>1.1514536950961625</v>
      </c>
      <c r="L28">
        <f t="shared" si="2"/>
        <v>-4.7069718826680762E-2</v>
      </c>
    </row>
    <row r="29" spans="1:12" x14ac:dyDescent="0.25">
      <c r="A29">
        <v>12.5</v>
      </c>
      <c r="B29">
        <f t="shared" si="0"/>
        <v>0.21816615649929119</v>
      </c>
      <c r="C29">
        <f>-$C$28*(A29-90)/(90-$A$28)</f>
        <v>1.1147083333333332</v>
      </c>
      <c r="D29">
        <f>$O$2*(A29-$A$28)+$D$28</f>
        <v>4.1099999999999991E-2</v>
      </c>
      <c r="E29" s="4" t="s">
        <v>30</v>
      </c>
      <c r="F29">
        <f>C29*'Données géométriques'!$B$6/(2+('Données géométriques'!$B$6^2+4)^0.5)</f>
        <v>0.61788619352859386</v>
      </c>
      <c r="G29">
        <f>F29^2/(PI()*'Données géométriques'!$B$6)</f>
        <v>3.7969533245363715E-2</v>
      </c>
      <c r="H29">
        <f t="shared" si="1"/>
        <v>7.9069533245363699E-2</v>
      </c>
      <c r="I29" s="4" t="s">
        <v>30</v>
      </c>
      <c r="J29" s="4">
        <f>'1kts'!J$22</f>
        <v>-0.41152228571428573</v>
      </c>
      <c r="K29" s="4">
        <f>'1kts'!K$22</f>
        <v>0.92155428571428555</v>
      </c>
      <c r="L29" s="4">
        <f>'1kts'!L$22</f>
        <v>0.15152228571428572</v>
      </c>
    </row>
    <row r="30" spans="1:12" x14ac:dyDescent="0.25">
      <c r="A30">
        <v>13</v>
      </c>
      <c r="B30">
        <f t="shared" si="0"/>
        <v>0.22689280275926285</v>
      </c>
      <c r="C30">
        <f t="shared" ref="C30:C78" si="4">-$C$28*(A30-90)/(90-$A$28)</f>
        <v>1.1075166666666665</v>
      </c>
      <c r="D30">
        <f t="shared" ref="D30:D78" si="5">$O$2*(A30-$A$28)+$D$28</f>
        <v>4.5249999999999985E-2</v>
      </c>
      <c r="E30" s="4" t="s">
        <v>30</v>
      </c>
      <c r="F30">
        <f>C30*'Données géométriques'!$B$6/(2+('Données géométriques'!$B$6^2+4)^0.5)</f>
        <v>0.61389983098969969</v>
      </c>
      <c r="G30">
        <f>F30^2/(PI()*'Données géométriques'!$B$6)</f>
        <v>3.7481184201750083E-2</v>
      </c>
      <c r="H30">
        <f t="shared" si="1"/>
        <v>8.2731184201750074E-2</v>
      </c>
      <c r="I30" s="4" t="s">
        <v>30</v>
      </c>
      <c r="J30" s="4">
        <f>'1kts'!J$22</f>
        <v>-0.41152228571428573</v>
      </c>
      <c r="K30" s="4">
        <f>'1kts'!K$22</f>
        <v>0.92155428571428555</v>
      </c>
      <c r="L30" s="4">
        <f>'1kts'!L$22</f>
        <v>0.15152228571428572</v>
      </c>
    </row>
    <row r="31" spans="1:12" x14ac:dyDescent="0.25">
      <c r="A31">
        <v>13.5</v>
      </c>
      <c r="B31">
        <f t="shared" si="0"/>
        <v>0.23561944901923448</v>
      </c>
      <c r="C31">
        <f t="shared" si="4"/>
        <v>1.1003249999999998</v>
      </c>
      <c r="D31">
        <f t="shared" si="5"/>
        <v>4.9399999999999979E-2</v>
      </c>
      <c r="E31" s="4" t="s">
        <v>30</v>
      </c>
      <c r="F31">
        <f>C31*'Données géométriques'!$B$6/(2+('Données géométriques'!$B$6^2+4)^0.5)</f>
        <v>0.60991346845080552</v>
      </c>
      <c r="G31">
        <f>F31^2/(PI()*'Données géométriques'!$B$6)</f>
        <v>3.6995995993370202E-2</v>
      </c>
      <c r="H31">
        <f t="shared" si="1"/>
        <v>8.6395995993370181E-2</v>
      </c>
      <c r="I31" s="4" t="s">
        <v>30</v>
      </c>
      <c r="J31" s="4">
        <f>'1kts'!J$22</f>
        <v>-0.41152228571428573</v>
      </c>
      <c r="K31" s="4">
        <f>'1kts'!K$22</f>
        <v>0.92155428571428555</v>
      </c>
      <c r="L31" s="4">
        <f>'1kts'!L$22</f>
        <v>0.15152228571428572</v>
      </c>
    </row>
    <row r="32" spans="1:12" x14ac:dyDescent="0.25">
      <c r="A32">
        <v>14</v>
      </c>
      <c r="B32">
        <f t="shared" si="0"/>
        <v>0.24434609527920614</v>
      </c>
      <c r="C32">
        <f t="shared" si="4"/>
        <v>1.0931333333333333</v>
      </c>
      <c r="D32">
        <f t="shared" si="5"/>
        <v>5.3549999999999973E-2</v>
      </c>
      <c r="E32" s="4" t="s">
        <v>30</v>
      </c>
      <c r="F32">
        <f>C32*'Données géométriques'!$B$6/(2+('Données géométriques'!$B$6^2+4)^0.5)</f>
        <v>0.60592710591191146</v>
      </c>
      <c r="G32">
        <f>F32^2/(PI()*'Données géométriques'!$B$6)</f>
        <v>3.6513968620224081E-2</v>
      </c>
      <c r="H32">
        <f t="shared" si="1"/>
        <v>9.0063968620224061E-2</v>
      </c>
      <c r="I32" s="4" t="s">
        <v>30</v>
      </c>
      <c r="J32" s="4">
        <f>'1kts'!J$22</f>
        <v>-0.41152228571428573</v>
      </c>
      <c r="K32" s="4">
        <f>'1kts'!K$22</f>
        <v>0.92155428571428555</v>
      </c>
      <c r="L32" s="4">
        <f>'1kts'!L$22</f>
        <v>0.15152228571428572</v>
      </c>
    </row>
    <row r="33" spans="1:12" x14ac:dyDescent="0.25">
      <c r="A33">
        <v>14.5</v>
      </c>
      <c r="B33">
        <f t="shared" si="0"/>
        <v>0.2530727415391778</v>
      </c>
      <c r="C33">
        <f t="shared" si="4"/>
        <v>1.0859416666666666</v>
      </c>
      <c r="D33">
        <f t="shared" si="5"/>
        <v>5.7699999999999967E-2</v>
      </c>
      <c r="E33" s="4" t="s">
        <v>30</v>
      </c>
      <c r="F33">
        <f>C33*'Données géométriques'!$B$6/(2+('Données géométriques'!$B$6^2+4)^0.5)</f>
        <v>0.60194074337301728</v>
      </c>
      <c r="G33">
        <f>F33^2/(PI()*'Données géométriques'!$B$6)</f>
        <v>3.6035102082311685E-2</v>
      </c>
      <c r="H33">
        <f>G33+D33</f>
        <v>9.3735102082311644E-2</v>
      </c>
      <c r="I33" s="4" t="s">
        <v>30</v>
      </c>
      <c r="J33" s="4">
        <f>'1kts'!J$22</f>
        <v>-0.41152228571428573</v>
      </c>
      <c r="K33" s="4">
        <f>'1kts'!K$22</f>
        <v>0.92155428571428555</v>
      </c>
      <c r="L33" s="4">
        <f>'1kts'!L$22</f>
        <v>0.15152228571428572</v>
      </c>
    </row>
    <row r="34" spans="1:12" x14ac:dyDescent="0.25">
      <c r="A34">
        <v>15</v>
      </c>
      <c r="B34">
        <f t="shared" si="0"/>
        <v>0.26179938779914941</v>
      </c>
      <c r="C34">
        <f t="shared" si="4"/>
        <v>1.0787499999999999</v>
      </c>
      <c r="D34">
        <f t="shared" si="5"/>
        <v>6.1849999999999961E-2</v>
      </c>
      <c r="E34" s="4" t="s">
        <v>30</v>
      </c>
      <c r="F34">
        <f>C34*'Données géométriques'!$B$6/(2+('Données géométriques'!$B$6^2+4)^0.5)</f>
        <v>0.59795438083412311</v>
      </c>
      <c r="G34">
        <f>F34^2/(PI()*'Données géométriques'!$B$6)</f>
        <v>3.5559396379633033E-2</v>
      </c>
      <c r="H34">
        <f t="shared" si="1"/>
        <v>9.7409396379633001E-2</v>
      </c>
      <c r="I34" s="4" t="s">
        <v>30</v>
      </c>
      <c r="J34" s="4">
        <f>'1kts'!J$22</f>
        <v>-0.41152228571428573</v>
      </c>
      <c r="K34" s="4">
        <f>'1kts'!K$22</f>
        <v>0.92155428571428555</v>
      </c>
      <c r="L34" s="4">
        <f>'1kts'!L$22</f>
        <v>0.15152228571428572</v>
      </c>
    </row>
    <row r="35" spans="1:12" x14ac:dyDescent="0.25">
      <c r="A35">
        <v>15.5</v>
      </c>
      <c r="B35">
        <f t="shared" si="0"/>
        <v>0.27052603405912107</v>
      </c>
      <c r="C35">
        <f t="shared" si="4"/>
        <v>1.0715583333333332</v>
      </c>
      <c r="D35">
        <f t="shared" si="5"/>
        <v>6.5999999999999948E-2</v>
      </c>
      <c r="E35" s="4" t="s">
        <v>30</v>
      </c>
      <c r="F35">
        <f>C35*'Données géométriques'!$B$6/(2+('Données géométriques'!$B$6^2+4)^0.5)</f>
        <v>0.59396801829522894</v>
      </c>
      <c r="G35">
        <f>F35^2/(PI()*'Données géométriques'!$B$6)</f>
        <v>3.5086851512188127E-2</v>
      </c>
      <c r="H35">
        <f t="shared" si="1"/>
        <v>0.10108685151218808</v>
      </c>
      <c r="I35" s="4" t="s">
        <v>30</v>
      </c>
      <c r="J35" s="4">
        <f>'1kts'!J$22</f>
        <v>-0.41152228571428573</v>
      </c>
      <c r="K35" s="4">
        <f>'1kts'!K$22</f>
        <v>0.92155428571428555</v>
      </c>
      <c r="L35" s="4">
        <f>'1kts'!L$22</f>
        <v>0.15152228571428572</v>
      </c>
    </row>
    <row r="36" spans="1:12" x14ac:dyDescent="0.25">
      <c r="A36">
        <v>16</v>
      </c>
      <c r="B36">
        <f t="shared" si="0"/>
        <v>0.27925268031909273</v>
      </c>
      <c r="C36">
        <f t="shared" si="4"/>
        <v>1.0643666666666665</v>
      </c>
      <c r="D36">
        <f t="shared" si="5"/>
        <v>7.0149999999999949E-2</v>
      </c>
      <c r="E36" s="4" t="s">
        <v>30</v>
      </c>
      <c r="F36">
        <f>C36*'Données géométriques'!$B$6/(2+('Données géométriques'!$B$6^2+4)^0.5)</f>
        <v>0.58998165575633477</v>
      </c>
      <c r="G36">
        <f>F36^2/(PI()*'Données géométriques'!$B$6)</f>
        <v>3.4617467479976974E-2</v>
      </c>
      <c r="H36">
        <f t="shared" si="1"/>
        <v>0.10476746747997692</v>
      </c>
      <c r="I36" s="4" t="s">
        <v>30</v>
      </c>
      <c r="J36" s="4">
        <f>'1kts'!J$22</f>
        <v>-0.41152228571428573</v>
      </c>
      <c r="K36" s="4">
        <f>'1kts'!K$22</f>
        <v>0.92155428571428555</v>
      </c>
      <c r="L36" s="4">
        <f>'1kts'!L$22</f>
        <v>0.15152228571428572</v>
      </c>
    </row>
    <row r="37" spans="1:12" x14ac:dyDescent="0.25">
      <c r="A37">
        <v>16.5</v>
      </c>
      <c r="B37">
        <f t="shared" si="0"/>
        <v>0.28797932657906439</v>
      </c>
      <c r="C37">
        <f t="shared" si="4"/>
        <v>1.057175</v>
      </c>
      <c r="D37">
        <f t="shared" si="5"/>
        <v>7.4299999999999949E-2</v>
      </c>
      <c r="E37" s="4" t="s">
        <v>30</v>
      </c>
      <c r="F37">
        <f>C37*'Données géométriques'!$B$6/(2+('Données géométriques'!$B$6^2+4)^0.5)</f>
        <v>0.5859952932174407</v>
      </c>
      <c r="G37">
        <f>F37^2/(PI()*'Données géométriques'!$B$6)</f>
        <v>3.4151244282999572E-2</v>
      </c>
      <c r="H37">
        <f t="shared" si="1"/>
        <v>0.10845124428299951</v>
      </c>
      <c r="I37" s="4" t="s">
        <v>30</v>
      </c>
      <c r="J37" s="4">
        <f>'1kts'!J$22</f>
        <v>-0.41152228571428573</v>
      </c>
      <c r="K37" s="4">
        <f>'1kts'!K$22</f>
        <v>0.92155428571428555</v>
      </c>
      <c r="L37" s="4">
        <f>'1kts'!L$22</f>
        <v>0.15152228571428572</v>
      </c>
    </row>
    <row r="38" spans="1:12" x14ac:dyDescent="0.25">
      <c r="A38">
        <v>17</v>
      </c>
      <c r="B38">
        <f t="shared" si="0"/>
        <v>0.29670597283903605</v>
      </c>
      <c r="C38">
        <f t="shared" si="4"/>
        <v>1.0499833333333333</v>
      </c>
      <c r="D38">
        <f t="shared" si="5"/>
        <v>7.8449999999999936E-2</v>
      </c>
      <c r="E38" s="4" t="s">
        <v>30</v>
      </c>
      <c r="F38">
        <f>C38*'Données géométriques'!$B$6/(2+('Données géométriques'!$B$6^2+4)^0.5)</f>
        <v>0.58200893067854653</v>
      </c>
      <c r="G38">
        <f>F38^2/(PI()*'Données géométriques'!$B$6)</f>
        <v>3.3688181921255902E-2</v>
      </c>
      <c r="H38">
        <f t="shared" si="1"/>
        <v>0.11213818192125584</v>
      </c>
      <c r="I38" s="4" t="s">
        <v>30</v>
      </c>
      <c r="J38" s="4">
        <f>'1kts'!J$22</f>
        <v>-0.41152228571428573</v>
      </c>
      <c r="K38" s="4">
        <f>'1kts'!K$22</f>
        <v>0.92155428571428555</v>
      </c>
      <c r="L38" s="4">
        <f>'1kts'!L$22</f>
        <v>0.15152228571428572</v>
      </c>
    </row>
    <row r="39" spans="1:12" x14ac:dyDescent="0.25">
      <c r="A39">
        <v>17.5</v>
      </c>
      <c r="B39">
        <f t="shared" si="0"/>
        <v>0.30543261909900765</v>
      </c>
      <c r="C39">
        <f t="shared" si="4"/>
        <v>1.0427916666666666</v>
      </c>
      <c r="D39">
        <f t="shared" si="5"/>
        <v>8.2599999999999923E-2</v>
      </c>
      <c r="E39" s="4" t="s">
        <v>30</v>
      </c>
      <c r="F39">
        <f>C39*'Données géométriques'!$B$6/(2+('Données géométriques'!$B$6^2+4)^0.5)</f>
        <v>0.57802256813965225</v>
      </c>
      <c r="G39">
        <f>F39^2/(PI()*'Données géométriques'!$B$6)</f>
        <v>3.3228280394745971E-2</v>
      </c>
      <c r="H39">
        <f t="shared" si="1"/>
        <v>0.11582828039474589</v>
      </c>
      <c r="I39" s="4" t="s">
        <v>30</v>
      </c>
      <c r="J39" s="4">
        <f>'1kts'!J$22</f>
        <v>-0.41152228571428573</v>
      </c>
      <c r="K39" s="4">
        <f>'1kts'!K$22</f>
        <v>0.92155428571428555</v>
      </c>
      <c r="L39" s="4">
        <f>'1kts'!L$22</f>
        <v>0.15152228571428572</v>
      </c>
    </row>
    <row r="40" spans="1:12" x14ac:dyDescent="0.25">
      <c r="A40">
        <v>18</v>
      </c>
      <c r="B40">
        <f t="shared" si="0"/>
        <v>0.31415926535897931</v>
      </c>
      <c r="C40">
        <f t="shared" si="4"/>
        <v>1.0355999999999999</v>
      </c>
      <c r="D40">
        <f t="shared" si="5"/>
        <v>8.6749999999999924E-2</v>
      </c>
      <c r="E40" s="4" t="s">
        <v>30</v>
      </c>
      <c r="F40">
        <f>C40*'Données géométriques'!$B$6/(2+('Données géométriques'!$B$6^2+4)^0.5)</f>
        <v>0.57403620560075808</v>
      </c>
      <c r="G40">
        <f>F40^2/(PI()*'Données géométriques'!$B$6)</f>
        <v>3.2771539703469792E-2</v>
      </c>
      <c r="H40">
        <f t="shared" si="1"/>
        <v>0.11952153970346971</v>
      </c>
      <c r="I40" s="4" t="s">
        <v>30</v>
      </c>
      <c r="J40" s="4">
        <f>'1kts'!J$22</f>
        <v>-0.41152228571428573</v>
      </c>
      <c r="K40" s="4">
        <f>'1kts'!K$22</f>
        <v>0.92155428571428555</v>
      </c>
      <c r="L40" s="4">
        <f>'1kts'!L$22</f>
        <v>0.15152228571428572</v>
      </c>
    </row>
    <row r="41" spans="1:12" x14ac:dyDescent="0.25">
      <c r="A41">
        <v>18.5</v>
      </c>
      <c r="B41">
        <f t="shared" si="0"/>
        <v>0.32288591161895097</v>
      </c>
      <c r="C41">
        <f t="shared" si="4"/>
        <v>1.0284083333333331</v>
      </c>
      <c r="D41">
        <f t="shared" si="5"/>
        <v>9.0899999999999925E-2</v>
      </c>
      <c r="E41" s="4" t="s">
        <v>30</v>
      </c>
      <c r="F41">
        <f>C41*'Données géométriques'!$B$6/(2+('Données géométriques'!$B$6^2+4)^0.5)</f>
        <v>0.5700498430618639</v>
      </c>
      <c r="G41">
        <f>F41^2/(PI()*'Données géométriques'!$B$6)</f>
        <v>3.2317959847427365E-2</v>
      </c>
      <c r="H41">
        <f t="shared" si="1"/>
        <v>0.12321795984742728</v>
      </c>
      <c r="I41" s="4" t="s">
        <v>30</v>
      </c>
      <c r="J41" s="4">
        <f>'1kts'!J$22</f>
        <v>-0.41152228571428573</v>
      </c>
      <c r="K41" s="4">
        <f>'1kts'!K$22</f>
        <v>0.92155428571428555</v>
      </c>
      <c r="L41" s="4">
        <f>'1kts'!L$22</f>
        <v>0.15152228571428572</v>
      </c>
    </row>
    <row r="42" spans="1:12" x14ac:dyDescent="0.25">
      <c r="A42">
        <v>19</v>
      </c>
      <c r="B42">
        <f t="shared" si="0"/>
        <v>0.33161255787892263</v>
      </c>
      <c r="C42">
        <f t="shared" si="4"/>
        <v>1.0212166666666667</v>
      </c>
      <c r="D42">
        <f t="shared" si="5"/>
        <v>9.5049999999999912E-2</v>
      </c>
      <c r="E42" s="4" t="s">
        <v>30</v>
      </c>
      <c r="F42">
        <f>C42*'Données géométriques'!$B$6/(2+('Données géométriques'!$B$6^2+4)^0.5)</f>
        <v>0.56606348052296995</v>
      </c>
      <c r="G42">
        <f>F42^2/(PI()*'Données géométriques'!$B$6)</f>
        <v>3.1867540826618704E-2</v>
      </c>
      <c r="H42">
        <f t="shared" si="1"/>
        <v>0.1269175408266186</v>
      </c>
      <c r="I42" s="4" t="s">
        <v>30</v>
      </c>
      <c r="J42" s="4">
        <f>'1kts'!J$22</f>
        <v>-0.41152228571428573</v>
      </c>
      <c r="K42" s="4">
        <f>'1kts'!K$22</f>
        <v>0.92155428571428555</v>
      </c>
      <c r="L42" s="4">
        <f>'1kts'!L$22</f>
        <v>0.15152228571428572</v>
      </c>
    </row>
    <row r="43" spans="1:12" x14ac:dyDescent="0.25">
      <c r="A43">
        <v>20</v>
      </c>
      <c r="B43">
        <f t="shared" si="0"/>
        <v>0.3490658503988659</v>
      </c>
      <c r="C43">
        <f t="shared" si="4"/>
        <v>1.0068333333333332</v>
      </c>
      <c r="D43">
        <f t="shared" si="5"/>
        <v>0.1033499999999999</v>
      </c>
      <c r="E43" s="4" t="s">
        <v>30</v>
      </c>
      <c r="F43">
        <f>C43*'Données géométriques'!$B$6/(2+('Données géométriques'!$B$6^2+4)^0.5)</f>
        <v>0.55809075544518161</v>
      </c>
      <c r="G43">
        <f>F43^2/(PI()*'Données géométriques'!$B$6)</f>
        <v>3.0976185290702563E-2</v>
      </c>
      <c r="H43">
        <f t="shared" si="1"/>
        <v>0.13432618529070245</v>
      </c>
      <c r="I43" s="4" t="s">
        <v>30</v>
      </c>
      <c r="J43" s="4">
        <f>'1kts'!J$22</f>
        <v>-0.41152228571428573</v>
      </c>
      <c r="K43" s="4">
        <f>'1kts'!K$22</f>
        <v>0.92155428571428555</v>
      </c>
      <c r="L43" s="4">
        <f>'1kts'!L$22</f>
        <v>0.15152228571428572</v>
      </c>
    </row>
    <row r="44" spans="1:12" x14ac:dyDescent="0.25">
      <c r="A44">
        <v>22</v>
      </c>
      <c r="B44">
        <f t="shared" si="0"/>
        <v>0.38397243543875248</v>
      </c>
      <c r="C44">
        <f t="shared" si="4"/>
        <v>0.97806666666666664</v>
      </c>
      <c r="D44">
        <f t="shared" si="5"/>
        <v>0.11994999999999988</v>
      </c>
      <c r="F44">
        <f>C44*'Données géométriques'!$B$6/(2+('Données géométriques'!$B$6^2+4)^0.5)</f>
        <v>0.54214530528960503</v>
      </c>
      <c r="G44">
        <f>F44^2/(PI()*'Données géométriques'!$B$6)</f>
        <v>2.9231404241675238E-2</v>
      </c>
      <c r="H44">
        <f t="shared" ref="H44:H78" si="6">G44+D44</f>
        <v>0.14918140424167511</v>
      </c>
      <c r="I44" s="4" t="s">
        <v>30</v>
      </c>
      <c r="J44" s="4">
        <f>'1kts'!J$22</f>
        <v>-0.41152228571428573</v>
      </c>
      <c r="K44" s="4">
        <f>'1kts'!K$22</f>
        <v>0.92155428571428555</v>
      </c>
      <c r="L44" s="4">
        <f>'1kts'!L$22</f>
        <v>0.15152228571428572</v>
      </c>
    </row>
    <row r="45" spans="1:12" x14ac:dyDescent="0.25">
      <c r="A45">
        <f>A44+2</f>
        <v>24</v>
      </c>
      <c r="B45">
        <f t="shared" si="0"/>
        <v>0.41887902047863912</v>
      </c>
      <c r="C45">
        <f t="shared" si="4"/>
        <v>0.94929999999999981</v>
      </c>
      <c r="D45">
        <f t="shared" si="5"/>
        <v>0.13654999999999984</v>
      </c>
      <c r="F45">
        <f>C45*'Données géométriques'!$B$6/(2+('Données géométriques'!$B$6^2+4)^0.5)</f>
        <v>0.52619985513402834</v>
      </c>
      <c r="G45">
        <f>F45^2/(PI()*'Données géométriques'!$B$6)</f>
        <v>2.7537196556387825E-2</v>
      </c>
      <c r="H45">
        <f t="shared" si="6"/>
        <v>0.16408719655638765</v>
      </c>
      <c r="I45" s="4" t="s">
        <v>30</v>
      </c>
      <c r="J45" s="4">
        <f>'1kts'!J$22</f>
        <v>-0.41152228571428573</v>
      </c>
      <c r="K45" s="4">
        <f>'1kts'!K$22</f>
        <v>0.92155428571428555</v>
      </c>
      <c r="L45" s="4">
        <f>'1kts'!L$22</f>
        <v>0.15152228571428572</v>
      </c>
    </row>
    <row r="46" spans="1:12" x14ac:dyDescent="0.25">
      <c r="A46">
        <f t="shared" ref="A46:A78" si="7">A45+2</f>
        <v>26</v>
      </c>
      <c r="B46">
        <f t="shared" si="0"/>
        <v>0.4537856055185257</v>
      </c>
      <c r="C46">
        <f t="shared" si="4"/>
        <v>0.9205333333333332</v>
      </c>
      <c r="D46">
        <f t="shared" si="5"/>
        <v>0.15314999999999984</v>
      </c>
      <c r="F46">
        <f>C46*'Données géométriques'!$B$6/(2+('Données géométriques'!$B$6^2+4)^0.5)</f>
        <v>0.51025440497845165</v>
      </c>
      <c r="G46">
        <f>F46^2/(PI()*'Données géométriques'!$B$6)</f>
        <v>2.5893562234840337E-2</v>
      </c>
      <c r="H46">
        <f t="shared" si="6"/>
        <v>0.17904356223484019</v>
      </c>
      <c r="I46" s="4" t="s">
        <v>30</v>
      </c>
      <c r="J46" s="4">
        <f>'1kts'!J$22</f>
        <v>-0.41152228571428573</v>
      </c>
      <c r="K46" s="4">
        <f>'1kts'!K$22</f>
        <v>0.92155428571428555</v>
      </c>
      <c r="L46" s="4">
        <f>'1kts'!L$22</f>
        <v>0.15152228571428572</v>
      </c>
    </row>
    <row r="47" spans="1:12" x14ac:dyDescent="0.25">
      <c r="A47">
        <f t="shared" si="7"/>
        <v>28</v>
      </c>
      <c r="B47">
        <f t="shared" si="0"/>
        <v>0.48869219055841229</v>
      </c>
      <c r="C47">
        <f t="shared" si="4"/>
        <v>0.89176666666666671</v>
      </c>
      <c r="D47">
        <f t="shared" si="5"/>
        <v>0.16974999999999979</v>
      </c>
      <c r="F47">
        <f>C47*'Données géométriques'!$B$6/(2+('Données géométriques'!$B$6^2+4)^0.5)</f>
        <v>0.49430895482287512</v>
      </c>
      <c r="G47">
        <f>F47^2/(PI()*'Données géométriques'!$B$6)</f>
        <v>2.4300501277032784E-2</v>
      </c>
      <c r="H47">
        <f t="shared" si="6"/>
        <v>0.19405050127703258</v>
      </c>
      <c r="I47" s="4" t="s">
        <v>30</v>
      </c>
      <c r="J47" s="4">
        <f>'1kts'!J$22</f>
        <v>-0.41152228571428573</v>
      </c>
      <c r="K47" s="4">
        <f>'1kts'!K$22</f>
        <v>0.92155428571428555</v>
      </c>
      <c r="L47" s="4">
        <f>'1kts'!L$22</f>
        <v>0.15152228571428572</v>
      </c>
    </row>
    <row r="48" spans="1:12" x14ac:dyDescent="0.25">
      <c r="A48">
        <f t="shared" si="7"/>
        <v>30</v>
      </c>
      <c r="B48">
        <f t="shared" si="0"/>
        <v>0.52359877559829882</v>
      </c>
      <c r="C48">
        <f t="shared" si="4"/>
        <v>0.86299999999999988</v>
      </c>
      <c r="D48">
        <f t="shared" si="5"/>
        <v>0.18634999999999979</v>
      </c>
      <c r="F48">
        <f>C48*'Données géométriques'!$B$6/(2+('Données géométriques'!$B$6^2+4)^0.5)</f>
        <v>0.47836350466729849</v>
      </c>
      <c r="G48">
        <f>F48^2/(PI()*'Données géométriques'!$B$6)</f>
        <v>2.2758013682965143E-2</v>
      </c>
      <c r="H48">
        <f t="shared" si="6"/>
        <v>0.20910801368296494</v>
      </c>
      <c r="I48" s="4" t="s">
        <v>30</v>
      </c>
      <c r="J48" s="4">
        <f>'1kts'!J$22</f>
        <v>-0.41152228571428573</v>
      </c>
      <c r="K48" s="4">
        <f>'1kts'!K$22</f>
        <v>0.92155428571428555</v>
      </c>
      <c r="L48" s="4">
        <f>'1kts'!L$22</f>
        <v>0.15152228571428572</v>
      </c>
    </row>
    <row r="49" spans="1:12" x14ac:dyDescent="0.25">
      <c r="A49">
        <f t="shared" si="7"/>
        <v>32</v>
      </c>
      <c r="B49">
        <f t="shared" si="0"/>
        <v>0.55850536063818546</v>
      </c>
      <c r="C49">
        <f t="shared" si="4"/>
        <v>0.83423333333333338</v>
      </c>
      <c r="D49">
        <f t="shared" si="5"/>
        <v>0.20294999999999974</v>
      </c>
      <c r="F49">
        <f>C49*'Données géométriques'!$B$6/(2+('Données géométriques'!$B$6^2+4)^0.5)</f>
        <v>0.46241805451172191</v>
      </c>
      <c r="G49">
        <f>F49^2/(PI()*'Données géométriques'!$B$6)</f>
        <v>2.1266099452637431E-2</v>
      </c>
      <c r="H49">
        <f t="shared" si="6"/>
        <v>0.22421609945263718</v>
      </c>
      <c r="I49" s="4" t="s">
        <v>30</v>
      </c>
      <c r="J49" s="4">
        <f>'1kts'!J$22</f>
        <v>-0.41152228571428573</v>
      </c>
      <c r="K49" s="4">
        <f>'1kts'!K$22</f>
        <v>0.92155428571428555</v>
      </c>
      <c r="L49" s="4">
        <f>'1kts'!L$22</f>
        <v>0.15152228571428572</v>
      </c>
    </row>
    <row r="50" spans="1:12" x14ac:dyDescent="0.25">
      <c r="A50">
        <f t="shared" si="7"/>
        <v>34</v>
      </c>
      <c r="B50">
        <f t="shared" si="0"/>
        <v>0.59341194567807209</v>
      </c>
      <c r="C50">
        <f t="shared" si="4"/>
        <v>0.80546666666666655</v>
      </c>
      <c r="D50">
        <f t="shared" si="5"/>
        <v>0.21954999999999975</v>
      </c>
      <c r="F50">
        <f>C50*'Données géométriques'!$B$6/(2+('Données géométriques'!$B$6^2+4)^0.5)</f>
        <v>0.44647260435614522</v>
      </c>
      <c r="G50">
        <f>F50^2/(PI()*'Données géométriques'!$B$6)</f>
        <v>1.9824758586049634E-2</v>
      </c>
      <c r="H50">
        <f t="shared" si="6"/>
        <v>0.23937475858604937</v>
      </c>
      <c r="I50" s="4" t="s">
        <v>30</v>
      </c>
      <c r="J50" s="4">
        <f>'1kts'!J$22</f>
        <v>-0.41152228571428573</v>
      </c>
      <c r="K50" s="4">
        <f>'1kts'!K$22</f>
        <v>0.92155428571428555</v>
      </c>
      <c r="L50" s="4">
        <f>'1kts'!L$22</f>
        <v>0.15152228571428572</v>
      </c>
    </row>
    <row r="51" spans="1:12" x14ac:dyDescent="0.25">
      <c r="A51">
        <f t="shared" si="7"/>
        <v>36</v>
      </c>
      <c r="B51">
        <f t="shared" si="0"/>
        <v>0.62831853071795862</v>
      </c>
      <c r="C51">
        <f t="shared" si="4"/>
        <v>0.77669999999999995</v>
      </c>
      <c r="D51">
        <f t="shared" si="5"/>
        <v>0.23614999999999969</v>
      </c>
      <c r="F51">
        <f>C51*'Données géométriques'!$B$6/(2+('Données géométriques'!$B$6^2+4)^0.5)</f>
        <v>0.43052715420056864</v>
      </c>
      <c r="G51">
        <f>F51^2/(PI()*'Données géométriques'!$B$6)</f>
        <v>1.8433991083201765E-2</v>
      </c>
      <c r="H51">
        <f t="shared" si="6"/>
        <v>0.25458399108320146</v>
      </c>
      <c r="I51" s="4" t="s">
        <v>30</v>
      </c>
      <c r="J51" s="4">
        <f>'1kts'!J$22</f>
        <v>-0.41152228571428573</v>
      </c>
      <c r="K51" s="4">
        <f>'1kts'!K$22</f>
        <v>0.92155428571428555</v>
      </c>
      <c r="L51" s="4">
        <f>'1kts'!L$22</f>
        <v>0.15152228571428572</v>
      </c>
    </row>
    <row r="52" spans="1:12" x14ac:dyDescent="0.25">
      <c r="A52">
        <f t="shared" si="7"/>
        <v>38</v>
      </c>
      <c r="B52">
        <f t="shared" si="0"/>
        <v>0.66322511575784526</v>
      </c>
      <c r="C52">
        <f t="shared" si="4"/>
        <v>0.74793333333333323</v>
      </c>
      <c r="D52">
        <f t="shared" si="5"/>
        <v>0.2527499999999997</v>
      </c>
      <c r="F52">
        <f>C52*'Données géométriques'!$B$6/(2+('Données géométriques'!$B$6^2+4)^0.5)</f>
        <v>0.41458170404499201</v>
      </c>
      <c r="G52">
        <f>F52^2/(PI()*'Données géométriques'!$B$6)</f>
        <v>1.7093796944093818E-2</v>
      </c>
      <c r="H52">
        <f t="shared" si="6"/>
        <v>0.26984379694409349</v>
      </c>
      <c r="I52" s="4" t="s">
        <v>30</v>
      </c>
      <c r="J52" s="4">
        <f>'1kts'!J$22</f>
        <v>-0.41152228571428573</v>
      </c>
      <c r="K52" s="4">
        <f>'1kts'!K$22</f>
        <v>0.92155428571428555</v>
      </c>
      <c r="L52" s="4">
        <f>'1kts'!L$22</f>
        <v>0.15152228571428572</v>
      </c>
    </row>
    <row r="53" spans="1:12" x14ac:dyDescent="0.25">
      <c r="A53">
        <f t="shared" si="7"/>
        <v>40</v>
      </c>
      <c r="B53">
        <f t="shared" si="0"/>
        <v>0.69813170079773179</v>
      </c>
      <c r="C53">
        <f t="shared" si="4"/>
        <v>0.71916666666666651</v>
      </c>
      <c r="D53">
        <f t="shared" si="5"/>
        <v>0.26934999999999965</v>
      </c>
      <c r="F53">
        <f>C53*'Données géométriques'!$B$6/(2+('Données géométriques'!$B$6^2+4)^0.5)</f>
        <v>0.39863625388941532</v>
      </c>
      <c r="G53">
        <f>F53^2/(PI()*'Données géométriques'!$B$6)</f>
        <v>1.5804176168725786E-2</v>
      </c>
      <c r="H53">
        <f t="shared" si="6"/>
        <v>0.2851541761687254</v>
      </c>
      <c r="I53" s="4" t="s">
        <v>30</v>
      </c>
      <c r="J53" s="4">
        <f>'1kts'!J$22</f>
        <v>-0.41152228571428573</v>
      </c>
      <c r="K53" s="4">
        <f>'1kts'!K$22</f>
        <v>0.92155428571428555</v>
      </c>
      <c r="L53" s="4">
        <f>'1kts'!L$22</f>
        <v>0.15152228571428572</v>
      </c>
    </row>
    <row r="54" spans="1:12" x14ac:dyDescent="0.25">
      <c r="A54">
        <f t="shared" si="7"/>
        <v>42</v>
      </c>
      <c r="B54">
        <f t="shared" si="0"/>
        <v>0.73303828583761843</v>
      </c>
      <c r="C54">
        <f t="shared" si="4"/>
        <v>0.6903999999999999</v>
      </c>
      <c r="D54">
        <f t="shared" si="5"/>
        <v>0.28594999999999965</v>
      </c>
      <c r="F54">
        <f>C54*'Données géométriques'!$B$6/(2+('Données géométriques'!$B$6^2+4)^0.5)</f>
        <v>0.38269080373383879</v>
      </c>
      <c r="G54">
        <f>F54^2/(PI()*'Données géométriques'!$B$6)</f>
        <v>1.456512875709769E-2</v>
      </c>
      <c r="H54">
        <f t="shared" si="6"/>
        <v>0.30051512875709735</v>
      </c>
      <c r="I54" s="4" t="s">
        <v>30</v>
      </c>
      <c r="J54" s="4">
        <f>'1kts'!J$22</f>
        <v>-0.41152228571428573</v>
      </c>
      <c r="K54" s="4">
        <f>'1kts'!K$22</f>
        <v>0.92155428571428555</v>
      </c>
      <c r="L54" s="4">
        <f>'1kts'!L$22</f>
        <v>0.15152228571428572</v>
      </c>
    </row>
    <row r="55" spans="1:12" x14ac:dyDescent="0.25">
      <c r="A55">
        <f t="shared" si="7"/>
        <v>44</v>
      </c>
      <c r="B55">
        <f t="shared" si="0"/>
        <v>0.76794487087750496</v>
      </c>
      <c r="C55">
        <f t="shared" si="4"/>
        <v>0.6616333333333333</v>
      </c>
      <c r="D55">
        <f t="shared" si="5"/>
        <v>0.3025499999999996</v>
      </c>
      <c r="F55">
        <f>C55*'Données géométriques'!$B$6/(2+('Données géométriques'!$B$6^2+4)^0.5)</f>
        <v>0.36674535357826221</v>
      </c>
      <c r="G55">
        <f>F55^2/(PI()*'Données géométriques'!$B$6)</f>
        <v>1.3376654709209516E-2</v>
      </c>
      <c r="H55">
        <f t="shared" si="6"/>
        <v>0.31592665470920911</v>
      </c>
      <c r="I55" s="4" t="s">
        <v>30</v>
      </c>
      <c r="J55" s="4">
        <f>'1kts'!J$22</f>
        <v>-0.41152228571428573</v>
      </c>
      <c r="K55" s="4">
        <f>'1kts'!K$22</f>
        <v>0.92155428571428555</v>
      </c>
      <c r="L55" s="4">
        <f>'1kts'!L$22</f>
        <v>0.15152228571428572</v>
      </c>
    </row>
    <row r="56" spans="1:12" x14ac:dyDescent="0.25">
      <c r="A56">
        <f t="shared" si="7"/>
        <v>46</v>
      </c>
      <c r="B56">
        <f t="shared" si="0"/>
        <v>0.8028514559173916</v>
      </c>
      <c r="C56">
        <f t="shared" si="4"/>
        <v>0.63286666666666669</v>
      </c>
      <c r="D56">
        <f t="shared" si="5"/>
        <v>0.31914999999999955</v>
      </c>
      <c r="F56">
        <f>C56*'Données géométriques'!$B$6/(2+('Données géométriques'!$B$6^2+4)^0.5)</f>
        <v>0.35079990342268558</v>
      </c>
      <c r="G56">
        <f>F56^2/(PI()*'Données géométriques'!$B$6)</f>
        <v>1.2238754025061256E-2</v>
      </c>
      <c r="H56">
        <f t="shared" si="6"/>
        <v>0.33138875402506079</v>
      </c>
      <c r="I56" s="4" t="s">
        <v>30</v>
      </c>
      <c r="J56" s="4">
        <f>'1kts'!J$22</f>
        <v>-0.41152228571428573</v>
      </c>
      <c r="K56" s="4">
        <f>'1kts'!K$22</f>
        <v>0.92155428571428555</v>
      </c>
      <c r="L56" s="4">
        <f>'1kts'!L$22</f>
        <v>0.15152228571428572</v>
      </c>
    </row>
    <row r="57" spans="1:12" x14ac:dyDescent="0.25">
      <c r="A57">
        <f t="shared" si="7"/>
        <v>48</v>
      </c>
      <c r="B57">
        <f t="shared" si="0"/>
        <v>0.83775804095727824</v>
      </c>
      <c r="C57">
        <f t="shared" si="4"/>
        <v>0.60409999999999997</v>
      </c>
      <c r="D57">
        <f t="shared" si="5"/>
        <v>0.33574999999999955</v>
      </c>
      <c r="F57">
        <f>C57*'Données géométriques'!$B$6/(2+('Données géométriques'!$B$6^2+4)^0.5)</f>
        <v>0.334854453267109</v>
      </c>
      <c r="G57">
        <f>F57^2/(PI()*'Données géométriques'!$B$6)</f>
        <v>1.1151426704652925E-2</v>
      </c>
      <c r="H57">
        <f t="shared" si="6"/>
        <v>0.34690142670465246</v>
      </c>
      <c r="I57" s="4" t="s">
        <v>30</v>
      </c>
      <c r="J57" s="4">
        <f>'1kts'!J$22</f>
        <v>-0.41152228571428573</v>
      </c>
      <c r="K57" s="4">
        <f>'1kts'!K$22</f>
        <v>0.92155428571428555</v>
      </c>
      <c r="L57" s="4">
        <f>'1kts'!L$22</f>
        <v>0.15152228571428572</v>
      </c>
    </row>
    <row r="58" spans="1:12" x14ac:dyDescent="0.25">
      <c r="A58">
        <f t="shared" si="7"/>
        <v>50</v>
      </c>
      <c r="B58">
        <f t="shared" si="0"/>
        <v>0.87266462599716477</v>
      </c>
      <c r="C58">
        <f t="shared" si="4"/>
        <v>0.57533333333333325</v>
      </c>
      <c r="D58">
        <f t="shared" si="5"/>
        <v>0.35234999999999955</v>
      </c>
      <c r="F58">
        <f>C58*'Données géométriques'!$B$6/(2+('Données géométriques'!$B$6^2+4)^0.5)</f>
        <v>0.31890900311153231</v>
      </c>
      <c r="G58">
        <f>F58^2/(PI()*'Données géométriques'!$B$6)</f>
        <v>1.0114672747984508E-2</v>
      </c>
      <c r="H58">
        <f t="shared" si="6"/>
        <v>0.36246467274798405</v>
      </c>
      <c r="I58" s="4" t="s">
        <v>30</v>
      </c>
      <c r="J58" s="4">
        <f>'1kts'!J$22</f>
        <v>-0.41152228571428573</v>
      </c>
      <c r="K58" s="4">
        <f>'1kts'!K$22</f>
        <v>0.92155428571428555</v>
      </c>
      <c r="L58" s="4">
        <f>'1kts'!L$22</f>
        <v>0.15152228571428572</v>
      </c>
    </row>
    <row r="59" spans="1:12" x14ac:dyDescent="0.25">
      <c r="A59">
        <f t="shared" si="7"/>
        <v>52</v>
      </c>
      <c r="B59">
        <f t="shared" si="0"/>
        <v>0.90757121103705141</v>
      </c>
      <c r="C59">
        <f t="shared" si="4"/>
        <v>0.54656666666666665</v>
      </c>
      <c r="D59">
        <f t="shared" si="5"/>
        <v>0.3689499999999995</v>
      </c>
      <c r="F59">
        <f>C59*'Données géométriques'!$B$6/(2+('Données géométriques'!$B$6^2+4)^0.5)</f>
        <v>0.30296355295595573</v>
      </c>
      <c r="G59">
        <f>F59^2/(PI()*'Données géométriques'!$B$6)</f>
        <v>9.1284921550560203E-3</v>
      </c>
      <c r="H59">
        <f t="shared" si="6"/>
        <v>0.37807849215505551</v>
      </c>
      <c r="I59" s="4" t="s">
        <v>30</v>
      </c>
      <c r="J59" s="4">
        <f>'1kts'!J$22</f>
        <v>-0.41152228571428573</v>
      </c>
      <c r="K59" s="4">
        <f>'1kts'!K$22</f>
        <v>0.92155428571428555</v>
      </c>
      <c r="L59" s="4">
        <f>'1kts'!L$22</f>
        <v>0.15152228571428572</v>
      </c>
    </row>
    <row r="60" spans="1:12" x14ac:dyDescent="0.25">
      <c r="A60">
        <f t="shared" si="7"/>
        <v>54</v>
      </c>
      <c r="B60">
        <f t="shared" si="0"/>
        <v>0.94247779607693793</v>
      </c>
      <c r="C60">
        <f t="shared" si="4"/>
        <v>0.51779999999999993</v>
      </c>
      <c r="D60">
        <f t="shared" si="5"/>
        <v>0.38554999999999945</v>
      </c>
      <c r="F60">
        <f>C60*'Données géométriques'!$B$6/(2+('Données géométriques'!$B$6^2+4)^0.5)</f>
        <v>0.28701810280037904</v>
      </c>
      <c r="G60">
        <f>F60^2/(PI()*'Données géométriques'!$B$6)</f>
        <v>8.1928849258674479E-3</v>
      </c>
      <c r="H60">
        <f t="shared" si="6"/>
        <v>0.3937428849258669</v>
      </c>
      <c r="I60" s="4" t="s">
        <v>30</v>
      </c>
      <c r="J60" s="4">
        <f>'1kts'!J$22</f>
        <v>-0.41152228571428573</v>
      </c>
      <c r="K60" s="4">
        <f>'1kts'!K$22</f>
        <v>0.92155428571428555</v>
      </c>
      <c r="L60" s="4">
        <f>'1kts'!L$22</f>
        <v>0.15152228571428572</v>
      </c>
    </row>
    <row r="61" spans="1:12" x14ac:dyDescent="0.25">
      <c r="A61">
        <f t="shared" si="7"/>
        <v>56</v>
      </c>
      <c r="B61">
        <f t="shared" si="0"/>
        <v>0.97738438111682457</v>
      </c>
      <c r="C61">
        <f t="shared" si="4"/>
        <v>0.48903333333333332</v>
      </c>
      <c r="D61">
        <f t="shared" si="5"/>
        <v>0.40214999999999945</v>
      </c>
      <c r="F61">
        <f>C61*'Données géométriques'!$B$6/(2+('Données géométriques'!$B$6^2+4)^0.5)</f>
        <v>0.27107265264480251</v>
      </c>
      <c r="G61">
        <f>F61^2/(PI()*'Données géométriques'!$B$6)</f>
        <v>7.3078510604188095E-3</v>
      </c>
      <c r="H61">
        <f t="shared" si="6"/>
        <v>0.40945785106041827</v>
      </c>
      <c r="I61" s="4" t="s">
        <v>30</v>
      </c>
      <c r="J61" s="4">
        <f>'1kts'!J$22</f>
        <v>-0.41152228571428573</v>
      </c>
      <c r="K61" s="4">
        <f>'1kts'!K$22</f>
        <v>0.92155428571428555</v>
      </c>
      <c r="L61" s="4">
        <f>'1kts'!L$22</f>
        <v>0.15152228571428572</v>
      </c>
    </row>
    <row r="62" spans="1:12" x14ac:dyDescent="0.25">
      <c r="A62">
        <f t="shared" si="7"/>
        <v>58</v>
      </c>
      <c r="B62">
        <f t="shared" si="0"/>
        <v>1.0122909661567112</v>
      </c>
      <c r="C62">
        <f t="shared" si="4"/>
        <v>0.4602666666666666</v>
      </c>
      <c r="D62">
        <f t="shared" si="5"/>
        <v>0.41874999999999946</v>
      </c>
      <c r="F62">
        <f>C62*'Données géométriques'!$B$6/(2+('Données géométriques'!$B$6^2+4)^0.5)</f>
        <v>0.25512720248922582</v>
      </c>
      <c r="G62">
        <f>F62^2/(PI()*'Données géométriques'!$B$6)</f>
        <v>6.4733905587100841E-3</v>
      </c>
      <c r="H62">
        <f t="shared" si="6"/>
        <v>0.42522339055870956</v>
      </c>
      <c r="I62" s="4" t="s">
        <v>30</v>
      </c>
      <c r="J62" s="4">
        <f>'1kts'!J$22</f>
        <v>-0.41152228571428573</v>
      </c>
      <c r="K62" s="4">
        <f>'1kts'!K$22</f>
        <v>0.92155428571428555</v>
      </c>
      <c r="L62" s="4">
        <f>'1kts'!L$22</f>
        <v>0.15152228571428572</v>
      </c>
    </row>
    <row r="63" spans="1:12" x14ac:dyDescent="0.25">
      <c r="A63">
        <f t="shared" si="7"/>
        <v>60</v>
      </c>
      <c r="B63">
        <f t="shared" si="0"/>
        <v>1.0471975511965976</v>
      </c>
      <c r="C63">
        <f t="shared" si="4"/>
        <v>0.43149999999999994</v>
      </c>
      <c r="D63">
        <f t="shared" si="5"/>
        <v>0.4353499999999994</v>
      </c>
      <c r="F63">
        <f>C63*'Données géométriques'!$B$6/(2+('Données géométriques'!$B$6^2+4)^0.5)</f>
        <v>0.23918175233364924</v>
      </c>
      <c r="G63">
        <f>F63^2/(PI()*'Données géométriques'!$B$6)</f>
        <v>5.6895034207412858E-3</v>
      </c>
      <c r="H63">
        <f t="shared" si="6"/>
        <v>0.44103950342074066</v>
      </c>
      <c r="I63" s="4" t="s">
        <v>30</v>
      </c>
      <c r="J63" s="4">
        <f>'1kts'!J$22</f>
        <v>-0.41152228571428573</v>
      </c>
      <c r="K63" s="4">
        <f>'1kts'!K$22</f>
        <v>0.92155428571428555</v>
      </c>
      <c r="L63" s="4">
        <f>'1kts'!L$22</f>
        <v>0.15152228571428572</v>
      </c>
    </row>
    <row r="64" spans="1:12" x14ac:dyDescent="0.25">
      <c r="A64">
        <f t="shared" si="7"/>
        <v>62</v>
      </c>
      <c r="B64">
        <f t="shared" si="0"/>
        <v>1.0821041362364843</v>
      </c>
      <c r="C64">
        <f t="shared" si="4"/>
        <v>0.40273333333333328</v>
      </c>
      <c r="D64">
        <f t="shared" si="5"/>
        <v>0.45194999999999935</v>
      </c>
      <c r="F64">
        <f>C64*'Données géométriques'!$B$6/(2+('Données géométriques'!$B$6^2+4)^0.5)</f>
        <v>0.22323630217807261</v>
      </c>
      <c r="G64">
        <f>F64^2/(PI()*'Données géométriques'!$B$6)</f>
        <v>4.9561896465124084E-3</v>
      </c>
      <c r="H64">
        <f t="shared" si="6"/>
        <v>0.45690618964651175</v>
      </c>
      <c r="I64" s="4" t="s">
        <v>30</v>
      </c>
      <c r="J64" s="4">
        <f>'1kts'!J$22</f>
        <v>-0.41152228571428573</v>
      </c>
      <c r="K64" s="4">
        <f>'1kts'!K$22</f>
        <v>0.92155428571428555</v>
      </c>
      <c r="L64" s="4">
        <f>'1kts'!L$22</f>
        <v>0.15152228571428572</v>
      </c>
    </row>
    <row r="65" spans="1:12" x14ac:dyDescent="0.25">
      <c r="A65">
        <f t="shared" si="7"/>
        <v>64</v>
      </c>
      <c r="B65">
        <f t="shared" si="0"/>
        <v>1.1170107212763709</v>
      </c>
      <c r="C65">
        <f t="shared" si="4"/>
        <v>0.37396666666666661</v>
      </c>
      <c r="D65">
        <f t="shared" si="5"/>
        <v>0.46854999999999936</v>
      </c>
      <c r="F65">
        <f>C65*'Données géométriques'!$B$6/(2+('Données géométriques'!$B$6^2+4)^0.5)</f>
        <v>0.207290852022496</v>
      </c>
      <c r="G65">
        <f>F65^2/(PI()*'Données géométriques'!$B$6)</f>
        <v>4.2734492360234546E-3</v>
      </c>
      <c r="H65">
        <f t="shared" si="6"/>
        <v>0.47282344923602282</v>
      </c>
      <c r="I65" s="4" t="s">
        <v>30</v>
      </c>
      <c r="J65" s="4">
        <f>'1kts'!J$22</f>
        <v>-0.41152228571428573</v>
      </c>
      <c r="K65" s="4">
        <f>'1kts'!K$22</f>
        <v>0.92155428571428555</v>
      </c>
      <c r="L65" s="4">
        <f>'1kts'!L$22</f>
        <v>0.15152228571428572</v>
      </c>
    </row>
    <row r="66" spans="1:12" x14ac:dyDescent="0.25">
      <c r="A66">
        <f t="shared" si="7"/>
        <v>66</v>
      </c>
      <c r="B66">
        <f t="shared" si="0"/>
        <v>1.1519173063162575</v>
      </c>
      <c r="C66">
        <f t="shared" si="4"/>
        <v>0.34519999999999995</v>
      </c>
      <c r="D66">
        <f t="shared" si="5"/>
        <v>0.48514999999999936</v>
      </c>
      <c r="F66">
        <f>C66*'Données géométriques'!$B$6/(2+('Données géométriques'!$B$6^2+4)^0.5)</f>
        <v>0.1913454018669194</v>
      </c>
      <c r="G66">
        <f>F66^2/(PI()*'Données géométriques'!$B$6)</f>
        <v>3.6412821892744225E-3</v>
      </c>
      <c r="H66">
        <f t="shared" si="6"/>
        <v>0.48879128218927376</v>
      </c>
      <c r="I66" s="4" t="s">
        <v>30</v>
      </c>
      <c r="J66" s="4">
        <f>'1kts'!J$22</f>
        <v>-0.41152228571428573</v>
      </c>
      <c r="K66" s="4">
        <f>'1kts'!K$22</f>
        <v>0.92155428571428555</v>
      </c>
      <c r="L66" s="4">
        <f>'1kts'!L$22</f>
        <v>0.15152228571428572</v>
      </c>
    </row>
    <row r="67" spans="1:12" x14ac:dyDescent="0.25">
      <c r="A67">
        <f t="shared" si="7"/>
        <v>68</v>
      </c>
      <c r="B67">
        <f t="shared" si="0"/>
        <v>1.1868238913561442</v>
      </c>
      <c r="C67">
        <f t="shared" si="4"/>
        <v>0.31643333333333334</v>
      </c>
      <c r="D67">
        <f t="shared" si="5"/>
        <v>0.50174999999999936</v>
      </c>
      <c r="F67">
        <f>C67*'Données géométriques'!$B$6/(2+('Données géométriques'!$B$6^2+4)^0.5)</f>
        <v>0.17539995171134279</v>
      </c>
      <c r="G67">
        <f>F67^2/(PI()*'Données géométriques'!$B$6)</f>
        <v>3.059688506265314E-3</v>
      </c>
      <c r="H67">
        <f t="shared" si="6"/>
        <v>0.50480968850626473</v>
      </c>
      <c r="I67" s="4" t="s">
        <v>30</v>
      </c>
      <c r="J67" s="4">
        <f>'1kts'!J$22</f>
        <v>-0.41152228571428573</v>
      </c>
      <c r="K67" s="4">
        <f>'1kts'!K$22</f>
        <v>0.92155428571428555</v>
      </c>
      <c r="L67" s="4">
        <f>'1kts'!L$22</f>
        <v>0.15152228571428572</v>
      </c>
    </row>
    <row r="68" spans="1:12" x14ac:dyDescent="0.25">
      <c r="A68">
        <f t="shared" si="7"/>
        <v>70</v>
      </c>
      <c r="B68">
        <f t="shared" si="0"/>
        <v>1.2217304763960306</v>
      </c>
      <c r="C68">
        <f t="shared" si="4"/>
        <v>0.28766666666666663</v>
      </c>
      <c r="D68">
        <f t="shared" si="5"/>
        <v>0.51834999999999931</v>
      </c>
      <c r="F68">
        <f>C68*'Données géométriques'!$B$6/(2+('Données géométriques'!$B$6^2+4)^0.5)</f>
        <v>0.15945450155576615</v>
      </c>
      <c r="G68">
        <f>F68^2/(PI()*'Données géométriques'!$B$6)</f>
        <v>2.5286681869961269E-3</v>
      </c>
      <c r="H68">
        <f t="shared" si="6"/>
        <v>0.52087866818699546</v>
      </c>
      <c r="I68" s="4" t="s">
        <v>30</v>
      </c>
      <c r="J68" s="4">
        <f>'1kts'!J$22</f>
        <v>-0.41152228571428573</v>
      </c>
      <c r="K68" s="4">
        <f>'1kts'!K$22</f>
        <v>0.92155428571428555</v>
      </c>
      <c r="L68" s="4">
        <f>'1kts'!L$22</f>
        <v>0.15152228571428572</v>
      </c>
    </row>
    <row r="69" spans="1:12" x14ac:dyDescent="0.25">
      <c r="A69">
        <f t="shared" si="7"/>
        <v>72</v>
      </c>
      <c r="B69">
        <f t="shared" ref="B69:B78" si="8">RADIANS(A69)</f>
        <v>1.2566370614359172</v>
      </c>
      <c r="C69">
        <f t="shared" si="4"/>
        <v>0.25889999999999996</v>
      </c>
      <c r="D69">
        <f t="shared" si="5"/>
        <v>0.53494999999999926</v>
      </c>
      <c r="F69">
        <f>C69*'Données géométriques'!$B$6/(2+('Données géométriques'!$B$6^2+4)^0.5)</f>
        <v>0.14350905140018952</v>
      </c>
      <c r="G69">
        <f>F69^2/(PI()*'Données géométriques'!$B$6)</f>
        <v>2.048221231466862E-3</v>
      </c>
      <c r="H69">
        <f t="shared" si="6"/>
        <v>0.53699822123146612</v>
      </c>
      <c r="I69" s="4" t="s">
        <v>30</v>
      </c>
      <c r="J69" s="4">
        <f>'1kts'!J$22</f>
        <v>-0.41152228571428573</v>
      </c>
      <c r="K69" s="4">
        <f>'1kts'!K$22</f>
        <v>0.92155428571428555</v>
      </c>
      <c r="L69" s="4">
        <f>'1kts'!L$22</f>
        <v>0.15152228571428572</v>
      </c>
    </row>
    <row r="70" spans="1:12" x14ac:dyDescent="0.25">
      <c r="A70">
        <f t="shared" si="7"/>
        <v>74</v>
      </c>
      <c r="B70">
        <f t="shared" si="8"/>
        <v>1.2915436464758039</v>
      </c>
      <c r="C70">
        <f t="shared" si="4"/>
        <v>0.2301333333333333</v>
      </c>
      <c r="D70">
        <f t="shared" si="5"/>
        <v>0.55154999999999932</v>
      </c>
      <c r="F70">
        <f>C70*'Données géométriques'!$B$6/(2+('Données géométriques'!$B$6^2+4)^0.5)</f>
        <v>0.12756360124461291</v>
      </c>
      <c r="G70">
        <f>F70^2/(PI()*'Données géométriques'!$B$6)</f>
        <v>1.618347639677521E-3</v>
      </c>
      <c r="H70">
        <f t="shared" si="6"/>
        <v>0.55316834763967682</v>
      </c>
      <c r="I70" s="4" t="s">
        <v>30</v>
      </c>
      <c r="J70" s="4">
        <f>'1kts'!J$22</f>
        <v>-0.41152228571428573</v>
      </c>
      <c r="K70" s="4">
        <f>'1kts'!K$22</f>
        <v>0.92155428571428555</v>
      </c>
      <c r="L70" s="4">
        <f>'1kts'!L$22</f>
        <v>0.15152228571428572</v>
      </c>
    </row>
    <row r="71" spans="1:12" x14ac:dyDescent="0.25">
      <c r="A71">
        <f t="shared" si="7"/>
        <v>76</v>
      </c>
      <c r="B71">
        <f t="shared" si="8"/>
        <v>1.3264502315156905</v>
      </c>
      <c r="C71">
        <f t="shared" si="4"/>
        <v>0.20136666666666664</v>
      </c>
      <c r="D71">
        <f t="shared" si="5"/>
        <v>0.56814999999999927</v>
      </c>
      <c r="F71">
        <f>C71*'Données géométriques'!$B$6/(2+('Données géométriques'!$B$6^2+4)^0.5)</f>
        <v>0.1116181510890363</v>
      </c>
      <c r="G71">
        <f>F71^2/(PI()*'Données géométriques'!$B$6)</f>
        <v>1.2390474116281021E-3</v>
      </c>
      <c r="H71">
        <f t="shared" si="6"/>
        <v>0.56938904741162732</v>
      </c>
      <c r="I71" s="4" t="s">
        <v>30</v>
      </c>
      <c r="J71" s="4">
        <f>'1kts'!J$22</f>
        <v>-0.41152228571428573</v>
      </c>
      <c r="K71" s="4">
        <f>'1kts'!K$22</f>
        <v>0.92155428571428555</v>
      </c>
      <c r="L71" s="4">
        <f>'1kts'!L$22</f>
        <v>0.15152228571428572</v>
      </c>
    </row>
    <row r="72" spans="1:12" x14ac:dyDescent="0.25">
      <c r="A72">
        <f t="shared" si="7"/>
        <v>78</v>
      </c>
      <c r="B72">
        <f t="shared" si="8"/>
        <v>1.3613568165555769</v>
      </c>
      <c r="C72">
        <f t="shared" si="4"/>
        <v>0.17259999999999998</v>
      </c>
      <c r="D72">
        <f t="shared" si="5"/>
        <v>0.58474999999999921</v>
      </c>
      <c r="F72">
        <f>C72*'Données géométriques'!$B$6/(2+('Données géométriques'!$B$6^2+4)^0.5)</f>
        <v>9.5672700933459698E-2</v>
      </c>
      <c r="G72">
        <f>F72^2/(PI()*'Données géométriques'!$B$6)</f>
        <v>9.1032054731860564E-4</v>
      </c>
      <c r="H72">
        <f t="shared" si="6"/>
        <v>0.58566032054731787</v>
      </c>
      <c r="I72" s="4" t="s">
        <v>30</v>
      </c>
      <c r="J72" s="4">
        <f>'1kts'!J$22</f>
        <v>-0.41152228571428573</v>
      </c>
      <c r="K72" s="4">
        <f>'1kts'!K$22</f>
        <v>0.92155428571428555</v>
      </c>
      <c r="L72" s="4">
        <f>'1kts'!L$22</f>
        <v>0.15152228571428572</v>
      </c>
    </row>
    <row r="73" spans="1:12" x14ac:dyDescent="0.25">
      <c r="A73">
        <f t="shared" si="7"/>
        <v>80</v>
      </c>
      <c r="B73">
        <f t="shared" si="8"/>
        <v>1.3962634015954636</v>
      </c>
      <c r="C73">
        <f t="shared" si="4"/>
        <v>0.14383333333333331</v>
      </c>
      <c r="D73">
        <f t="shared" si="5"/>
        <v>0.60134999999999916</v>
      </c>
      <c r="F73">
        <f>C73*'Données géométriques'!$B$6/(2+('Données géométriques'!$B$6^2+4)^0.5)</f>
        <v>7.9727250777883077E-2</v>
      </c>
      <c r="G73">
        <f>F73^2/(PI()*'Données géométriques'!$B$6)</f>
        <v>6.3216704674903172E-4</v>
      </c>
      <c r="H73">
        <f t="shared" si="6"/>
        <v>0.60198216704674823</v>
      </c>
      <c r="I73" s="4" t="s">
        <v>30</v>
      </c>
      <c r="J73" s="4">
        <f>'1kts'!J$22</f>
        <v>-0.41152228571428573</v>
      </c>
      <c r="K73" s="4">
        <f>'1kts'!K$22</f>
        <v>0.92155428571428555</v>
      </c>
      <c r="L73" s="4">
        <f>'1kts'!L$22</f>
        <v>0.15152228571428572</v>
      </c>
    </row>
    <row r="74" spans="1:12" x14ac:dyDescent="0.25">
      <c r="A74">
        <f t="shared" si="7"/>
        <v>82</v>
      </c>
      <c r="B74">
        <f t="shared" si="8"/>
        <v>1.4311699866353502</v>
      </c>
      <c r="C74">
        <f t="shared" si="4"/>
        <v>0.11506666666666665</v>
      </c>
      <c r="D74">
        <f t="shared" si="5"/>
        <v>0.61794999999999922</v>
      </c>
      <c r="F74">
        <f>C74*'Données géométriques'!$B$6/(2+('Données géométriques'!$B$6^2+4)^0.5)</f>
        <v>6.3781800622306456E-2</v>
      </c>
      <c r="G74">
        <f>F74^2/(PI()*'Données géométriques'!$B$6)</f>
        <v>4.0458690991938026E-4</v>
      </c>
      <c r="H74">
        <f t="shared" si="6"/>
        <v>0.61835458690991862</v>
      </c>
      <c r="I74" s="4" t="s">
        <v>30</v>
      </c>
      <c r="J74" s="4">
        <f>'1kts'!J$22</f>
        <v>-0.41152228571428573</v>
      </c>
      <c r="K74" s="4">
        <f>'1kts'!K$22</f>
        <v>0.92155428571428555</v>
      </c>
      <c r="L74" s="4">
        <f>'1kts'!L$22</f>
        <v>0.15152228571428572</v>
      </c>
    </row>
    <row r="75" spans="1:12" x14ac:dyDescent="0.25">
      <c r="A75">
        <f t="shared" si="7"/>
        <v>84</v>
      </c>
      <c r="B75">
        <f t="shared" si="8"/>
        <v>1.4660765716752369</v>
      </c>
      <c r="C75">
        <f t="shared" si="4"/>
        <v>8.6299999999999988E-2</v>
      </c>
      <c r="D75">
        <f t="shared" si="5"/>
        <v>0.63454999999999917</v>
      </c>
      <c r="F75">
        <f>C75*'Données géométriques'!$B$6/(2+('Données géométriques'!$B$6^2+4)^0.5)</f>
        <v>4.7836350466729849E-2</v>
      </c>
      <c r="G75">
        <f>F75^2/(PI()*'Données géométriques'!$B$6)</f>
        <v>2.2758013682965141E-4</v>
      </c>
      <c r="H75">
        <f t="shared" si="6"/>
        <v>0.63477758013682883</v>
      </c>
      <c r="I75" s="4" t="s">
        <v>30</v>
      </c>
      <c r="J75" s="4">
        <f>'1kts'!J$22</f>
        <v>-0.41152228571428573</v>
      </c>
      <c r="K75" s="4">
        <f>'1kts'!K$22</f>
        <v>0.92155428571428555</v>
      </c>
      <c r="L75" s="4">
        <f>'1kts'!L$22</f>
        <v>0.15152228571428572</v>
      </c>
    </row>
    <row r="76" spans="1:12" x14ac:dyDescent="0.25">
      <c r="A76">
        <f t="shared" si="7"/>
        <v>86</v>
      </c>
      <c r="B76">
        <f t="shared" si="8"/>
        <v>1.5009831567151235</v>
      </c>
      <c r="C76">
        <f t="shared" si="4"/>
        <v>5.7533333333333325E-2</v>
      </c>
      <c r="D76">
        <f t="shared" si="5"/>
        <v>0.65114999999999912</v>
      </c>
      <c r="F76">
        <f>C76*'Données géométriques'!$B$6/(2+('Données géométriques'!$B$6^2+4)^0.5)</f>
        <v>3.1890900311153228E-2</v>
      </c>
      <c r="G76">
        <f>F76^2/(PI()*'Données géométriques'!$B$6)</f>
        <v>1.0114672747984506E-4</v>
      </c>
      <c r="H76">
        <f t="shared" si="6"/>
        <v>0.65125114672747897</v>
      </c>
      <c r="I76" s="4" t="s">
        <v>30</v>
      </c>
      <c r="J76" s="4">
        <f>'1kts'!J$22</f>
        <v>-0.41152228571428573</v>
      </c>
      <c r="K76" s="4">
        <f>'1kts'!K$22</f>
        <v>0.92155428571428555</v>
      </c>
      <c r="L76" s="4">
        <f>'1kts'!L$22</f>
        <v>0.15152228571428572</v>
      </c>
    </row>
    <row r="77" spans="1:12" x14ac:dyDescent="0.25">
      <c r="A77">
        <f t="shared" si="7"/>
        <v>88</v>
      </c>
      <c r="B77">
        <f t="shared" si="8"/>
        <v>1.5358897417550099</v>
      </c>
      <c r="C77">
        <f t="shared" si="4"/>
        <v>2.8766666666666663E-2</v>
      </c>
      <c r="D77">
        <f t="shared" si="5"/>
        <v>0.66774999999999918</v>
      </c>
      <c r="F77">
        <f>C77*'Données géométriques'!$B$6/(2+('Données géométriques'!$B$6^2+4)^0.5)</f>
        <v>1.5945450155576614E-2</v>
      </c>
      <c r="G77">
        <f>F77^2/(PI()*'Données géométriques'!$B$6)</f>
        <v>2.5286681869961266E-5</v>
      </c>
      <c r="H77">
        <f t="shared" si="6"/>
        <v>0.66777528668186914</v>
      </c>
      <c r="I77" s="4" t="s">
        <v>30</v>
      </c>
      <c r="J77" s="4">
        <f>'1kts'!J$22</f>
        <v>-0.41152228571428573</v>
      </c>
      <c r="K77" s="4">
        <f>'1kts'!K$22</f>
        <v>0.92155428571428555</v>
      </c>
      <c r="L77" s="4">
        <f>'1kts'!L$22</f>
        <v>0.15152228571428572</v>
      </c>
    </row>
    <row r="78" spans="1:12" x14ac:dyDescent="0.25">
      <c r="A78">
        <f t="shared" si="7"/>
        <v>90</v>
      </c>
      <c r="B78">
        <f t="shared" si="8"/>
        <v>1.5707963267948966</v>
      </c>
      <c r="C78">
        <f t="shared" si="4"/>
        <v>0</v>
      </c>
      <c r="D78">
        <f t="shared" si="5"/>
        <v>0.68434999999999913</v>
      </c>
      <c r="F78">
        <f>C78*'Données géométriques'!$B$6/(2+('Données géométriques'!$B$6^2+4)^0.5)</f>
        <v>0</v>
      </c>
      <c r="G78">
        <f>F78^2/(PI()*'Données géométriques'!$B$6)</f>
        <v>0</v>
      </c>
      <c r="H78">
        <f t="shared" si="6"/>
        <v>0.68434999999999913</v>
      </c>
      <c r="I78" s="4" t="s">
        <v>30</v>
      </c>
      <c r="J78" s="4">
        <f>'1kts'!J$22</f>
        <v>-0.41152228571428573</v>
      </c>
      <c r="K78" s="4">
        <f>'1kts'!K$22</f>
        <v>0.92155428571428555</v>
      </c>
      <c r="L78" s="4">
        <f>'1kts'!L$22</f>
        <v>0.15152228571428572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F2A36-DBB2-426D-A76D-B788AAD0C0FB}">
  <sheetPr codeName="Feuil3"/>
  <dimension ref="A1:O80"/>
  <sheetViews>
    <sheetView topLeftCell="A4" workbookViewId="0">
      <selection activeCell="N48" sqref="N48"/>
    </sheetView>
  </sheetViews>
  <sheetFormatPr baseColWidth="10" defaultRowHeight="15" x14ac:dyDescent="0.25"/>
  <sheetData>
    <row r="1" spans="1:15" x14ac:dyDescent="0.25">
      <c r="A1">
        <v>15</v>
      </c>
      <c r="C1">
        <f>ROUND(((A1*0.514)/15.6)*1000000,0)</f>
        <v>494231</v>
      </c>
      <c r="N1" t="s">
        <v>28</v>
      </c>
      <c r="O1" t="s">
        <v>29</v>
      </c>
    </row>
    <row r="2" spans="1:1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22</v>
      </c>
      <c r="J2" t="s">
        <v>23</v>
      </c>
      <c r="K2" t="s">
        <v>25</v>
      </c>
      <c r="L2" t="s">
        <v>24</v>
      </c>
      <c r="N2">
        <f>INDEX(A4:A43,MATCH(MAX(F4:F43),F4:F43,0))</f>
        <v>13</v>
      </c>
      <c r="O2">
        <f>(D30-D29)/(A30-A29)</f>
        <v>7.7800000000000091E-3</v>
      </c>
    </row>
    <row r="3" spans="1:15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5" x14ac:dyDescent="0.25">
      <c r="A4">
        <v>0</v>
      </c>
      <c r="B4">
        <f>RADIANS(A4)</f>
        <v>0</v>
      </c>
      <c r="C4">
        <v>0</v>
      </c>
      <c r="D4">
        <v>6.3499999999999997E-3</v>
      </c>
      <c r="E4">
        <v>0</v>
      </c>
      <c r="F4">
        <f>C4*'Données géométriques'!$B$6/(2+('Données géométriques'!$B$6^2+4)^0.5)</f>
        <v>0</v>
      </c>
      <c r="G4">
        <f>F4^2/(PI()*'Données géométriques'!$B$6)</f>
        <v>0</v>
      </c>
      <c r="H4">
        <f>G4+D4</f>
        <v>6.3499999999999997E-3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</row>
    <row r="5" spans="1:15" x14ac:dyDescent="0.25">
      <c r="A5">
        <v>0.5</v>
      </c>
      <c r="B5">
        <f t="shared" ref="B5:B68" si="0">RADIANS(A5)</f>
        <v>8.7266462599716477E-3</v>
      </c>
      <c r="C5">
        <v>5.1400000000000001E-2</v>
      </c>
      <c r="D5">
        <v>6.3899999999999998E-3</v>
      </c>
      <c r="E5">
        <v>1.1999999999999999E-3</v>
      </c>
      <c r="F5">
        <f>C5*'Données géométriques'!$B$6/(2+('Données géométriques'!$B$6^2+4)^0.5)</f>
        <v>2.8491175133139219E-2</v>
      </c>
      <c r="G5">
        <f>F5^2/(PI()*'Données géométriques'!$B$6)</f>
        <v>8.0730752528430434E-5</v>
      </c>
      <c r="H5">
        <f t="shared" ref="H5:H40" si="1">G5+D5</f>
        <v>6.4707307525284303E-3</v>
      </c>
      <c r="I5">
        <f>0.25-E5/(C5*COS(B5)+D5*SIN(B5))</f>
        <v>0.22667810980159342</v>
      </c>
      <c r="J5">
        <f>XCP_3D('Données géométriques'!$B$9,'Données géométriques'!$B$10,'Données géométriques'!$B$12,'Données géométriques'!$B$11,I5)</f>
        <v>-0.21028360205872598</v>
      </c>
      <c r="K5">
        <f>'5kts'!K5</f>
        <v>1.1514536950961625</v>
      </c>
      <c r="L5">
        <f t="shared" ref="L5:L30" si="2" xml:space="preserve"> -(J5+0.26)</f>
        <v>-4.9716397941274026E-2</v>
      </c>
    </row>
    <row r="6" spans="1:15" x14ac:dyDescent="0.25">
      <c r="A6">
        <v>1</v>
      </c>
      <c r="B6">
        <f t="shared" si="0"/>
        <v>1.7453292519943295E-2</v>
      </c>
      <c r="C6">
        <v>0.1027</v>
      </c>
      <c r="D6">
        <v>6.5300000000000002E-3</v>
      </c>
      <c r="E6">
        <v>2.5000000000000001E-3</v>
      </c>
      <c r="F6">
        <f>C6*'Données géométriques'!$B$6/(2+('Données géométriques'!$B$6^2+4)^0.5)</f>
        <v>5.6926919964462988E-2</v>
      </c>
      <c r="G6">
        <f>F6^2/(PI()*'Données géométriques'!$B$6)</f>
        <v>3.2229506080167338E-4</v>
      </c>
      <c r="H6">
        <f t="shared" si="1"/>
        <v>6.852295060801674E-3</v>
      </c>
      <c r="I6">
        <f t="shared" ref="I6:I30" si="3">0.25-E6/(C6*COS(B6)+D6*SIN(B6))</f>
        <v>0.22568053700643248</v>
      </c>
      <c r="J6">
        <f>XCP_3D('Données géométriques'!$B$9,'Données géométriques'!$B$10,'Données géométriques'!$B$12,'Données géométriques'!$B$11,I6)</f>
        <v>-0.2095490887581978</v>
      </c>
      <c r="K6">
        <f>'5kts'!K6</f>
        <v>1.1514536950961625</v>
      </c>
      <c r="L6">
        <f t="shared" si="2"/>
        <v>-5.0450911241802204E-2</v>
      </c>
    </row>
    <row r="7" spans="1:15" x14ac:dyDescent="0.25">
      <c r="A7">
        <v>1.5</v>
      </c>
      <c r="B7">
        <f t="shared" si="0"/>
        <v>2.6179938779914945E-2</v>
      </c>
      <c r="C7">
        <v>0.154</v>
      </c>
      <c r="D7">
        <v>6.7999999999999996E-3</v>
      </c>
      <c r="E7">
        <v>3.8E-3</v>
      </c>
      <c r="F7">
        <f>C7*'Données géométriques'!$B$6/(2+('Données géométriques'!$B$6^2+4)^0.5)</f>
        <v>8.5362664795786761E-2</v>
      </c>
      <c r="G7">
        <f>F7^2/(PI()*'Données géométriques'!$B$6)</f>
        <v>7.2469323039117022E-4</v>
      </c>
      <c r="H7">
        <f t="shared" si="1"/>
        <v>7.5246932303911695E-3</v>
      </c>
      <c r="I7">
        <f t="shared" si="3"/>
        <v>0.22534472475351316</v>
      </c>
      <c r="J7">
        <f>XCP_3D('Données géométriques'!$B$9,'Données géométriques'!$B$10,'Données géométriques'!$B$12,'Données géométriques'!$B$11,I7)</f>
        <v>-0.20930183004440209</v>
      </c>
      <c r="K7">
        <f>'5kts'!K7</f>
        <v>1.1514536950961625</v>
      </c>
      <c r="L7">
        <f t="shared" si="2"/>
        <v>-5.0698169955597921E-2</v>
      </c>
    </row>
    <row r="8" spans="1:15" x14ac:dyDescent="0.25">
      <c r="A8">
        <v>2</v>
      </c>
      <c r="B8">
        <f t="shared" si="0"/>
        <v>3.4906585039886591E-2</v>
      </c>
      <c r="C8">
        <v>0.2074</v>
      </c>
      <c r="D8">
        <v>7.1999999999999998E-3</v>
      </c>
      <c r="E8">
        <v>4.4999999999999997E-3</v>
      </c>
      <c r="F8">
        <f>C8*'Données géométriques'!$B$6/(2+('Données géométriques'!$B$6^2+4)^0.5)</f>
        <v>0.1149624459652349</v>
      </c>
      <c r="G8">
        <f>F8^2/(PI()*'Données géométriques'!$B$6)</f>
        <v>1.3144082214075264E-3</v>
      </c>
      <c r="H8">
        <f t="shared" si="1"/>
        <v>8.5144082214075253E-3</v>
      </c>
      <c r="I8">
        <f t="shared" si="3"/>
        <v>0.22831585865162587</v>
      </c>
      <c r="J8">
        <f>XCP_3D('Données géométriques'!$B$9,'Données géométriques'!$B$10,'Données géométriques'!$B$12,'Données géométriques'!$B$11,I8)</f>
        <v>-0.21148947727816403</v>
      </c>
      <c r="K8">
        <f>'5kts'!K8</f>
        <v>1.1514536950961625</v>
      </c>
      <c r="L8">
        <f t="shared" si="2"/>
        <v>-4.851052272183598E-2</v>
      </c>
    </row>
    <row r="9" spans="1:15" x14ac:dyDescent="0.25">
      <c r="A9">
        <v>2.5</v>
      </c>
      <c r="B9">
        <f t="shared" si="0"/>
        <v>4.3633231299858237E-2</v>
      </c>
      <c r="C9">
        <v>0.26540000000000002</v>
      </c>
      <c r="D9">
        <v>7.7499999999999999E-3</v>
      </c>
      <c r="E9">
        <v>4.0000000000000001E-3</v>
      </c>
      <c r="F9">
        <f>C9*'Données géométriques'!$B$6/(2+('Données géométriques'!$B$6^2+4)^0.5)</f>
        <v>0.14711202101819354</v>
      </c>
      <c r="G9">
        <f>F9^2/(PI()*'Données géométriques'!$B$6)</f>
        <v>2.1523584508340242E-3</v>
      </c>
      <c r="H9">
        <f t="shared" si="1"/>
        <v>9.9023584508340246E-3</v>
      </c>
      <c r="I9">
        <f t="shared" si="3"/>
        <v>0.23493326083889896</v>
      </c>
      <c r="J9">
        <f>XCP_3D('Données géométriques'!$B$9,'Données géométriques'!$B$10,'Données géométriques'!$B$12,'Données géométriques'!$B$11,I9)</f>
        <v>-0.21636187350334374</v>
      </c>
      <c r="K9">
        <f>'5kts'!K9</f>
        <v>1.1514536950961625</v>
      </c>
      <c r="L9">
        <f t="shared" si="2"/>
        <v>-4.3638126496656271E-2</v>
      </c>
    </row>
    <row r="10" spans="1:15" x14ac:dyDescent="0.25">
      <c r="A10">
        <v>3</v>
      </c>
      <c r="B10">
        <f t="shared" si="0"/>
        <v>5.235987755982989E-2</v>
      </c>
      <c r="C10">
        <v>0.3266</v>
      </c>
      <c r="D10">
        <v>8.3800000000000003E-3</v>
      </c>
      <c r="E10">
        <v>2.7000000000000001E-3</v>
      </c>
      <c r="F10">
        <f>C10*'Données géométriques'!$B$6/(2+('Données géométriques'!$B$6^2+4)^0.5)</f>
        <v>0.18103536572924644</v>
      </c>
      <c r="G10">
        <f>F10^2/(PI()*'Données géométriques'!$B$6)</f>
        <v>3.2594560058333594E-3</v>
      </c>
      <c r="H10">
        <f t="shared" si="1"/>
        <v>1.1639456005833359E-2</v>
      </c>
      <c r="I10">
        <f t="shared" si="3"/>
        <v>0.24173277844745686</v>
      </c>
      <c r="J10">
        <f>XCP_3D('Données géométriques'!$B$9,'Données géométriques'!$B$10,'Données géométriques'!$B$12,'Données géométriques'!$B$11,I10)</f>
        <v>-0.22136836139563451</v>
      </c>
      <c r="K10">
        <f>'5kts'!K10</f>
        <v>1.1514536950961625</v>
      </c>
      <c r="L10">
        <f t="shared" si="2"/>
        <v>-3.8631638604365498E-2</v>
      </c>
    </row>
    <row r="11" spans="1:15" x14ac:dyDescent="0.25">
      <c r="A11">
        <v>3.5</v>
      </c>
      <c r="B11">
        <f t="shared" si="0"/>
        <v>6.1086523819801536E-2</v>
      </c>
      <c r="C11">
        <v>0.3896</v>
      </c>
      <c r="D11">
        <v>9.0500000000000008E-3</v>
      </c>
      <c r="E11">
        <v>8.0000000000000004E-4</v>
      </c>
      <c r="F11">
        <f>C11*'Données géométriques'!$B$6/(2+('Données géométriques'!$B$6^2+4)^0.5)</f>
        <v>0.2159564558729774</v>
      </c>
      <c r="G11">
        <f>F11^2/(PI()*'Données géométriques'!$B$6)</f>
        <v>4.6382126836537274E-3</v>
      </c>
      <c r="H11">
        <f t="shared" si="1"/>
        <v>1.3688212683653729E-2</v>
      </c>
      <c r="I11">
        <f t="shared" si="3"/>
        <v>0.24794569341287187</v>
      </c>
      <c r="J11">
        <f>XCP_3D('Données géométriques'!$B$9,'Données géométriques'!$B$10,'Données géométriques'!$B$12,'Données géométriques'!$B$11,I11)</f>
        <v>-0.22594293349631209</v>
      </c>
      <c r="K11">
        <f>'5kts'!K11</f>
        <v>1.1514536950961625</v>
      </c>
      <c r="L11">
        <f t="shared" si="2"/>
        <v>-3.4057066503687922E-2</v>
      </c>
    </row>
    <row r="12" spans="1:15" x14ac:dyDescent="0.25">
      <c r="A12">
        <v>4</v>
      </c>
      <c r="B12">
        <f t="shared" si="0"/>
        <v>6.9813170079773182E-2</v>
      </c>
      <c r="C12">
        <v>0.45529999999999998</v>
      </c>
      <c r="D12">
        <v>9.7000000000000003E-3</v>
      </c>
      <c r="E12">
        <v>-1.6999999999999999E-3</v>
      </c>
      <c r="F12">
        <f>C12*'Données géométriques'!$B$6/(2+('Données géométriques'!$B$6^2+4)^0.5)</f>
        <v>0.25237416416572539</v>
      </c>
      <c r="G12">
        <f>F12^2/(PI()*'Données géométriques'!$B$6)</f>
        <v>6.3344376157876327E-3</v>
      </c>
      <c r="H12">
        <f t="shared" si="1"/>
        <v>1.6034437615787635E-2</v>
      </c>
      <c r="I12">
        <f t="shared" si="3"/>
        <v>0.25373735167622674</v>
      </c>
      <c r="J12">
        <f>XCP_3D('Données géométriques'!$B$9,'Données géométriques'!$B$10,'Données géométriques'!$B$12,'Données géométriques'!$B$11,I12)</f>
        <v>-0.23020733409662364</v>
      </c>
      <c r="K12">
        <f>'5kts'!K12</f>
        <v>1.1514536950961625</v>
      </c>
      <c r="L12">
        <f t="shared" si="2"/>
        <v>-2.979266590337637E-2</v>
      </c>
    </row>
    <row r="13" spans="1:15" x14ac:dyDescent="0.25">
      <c r="A13">
        <v>4.5</v>
      </c>
      <c r="B13">
        <f t="shared" si="0"/>
        <v>7.8539816339744828E-2</v>
      </c>
      <c r="C13">
        <v>0.52149999999999996</v>
      </c>
      <c r="D13">
        <v>1.0290000000000001E-2</v>
      </c>
      <c r="E13">
        <v>-4.3E-3</v>
      </c>
      <c r="F13">
        <f>C13*'Données géométriques'!$B$6/(2+('Données géométriques'!$B$6^2+4)^0.5)</f>
        <v>0.28906902396755063</v>
      </c>
      <c r="G13">
        <f>F13^2/(PI()*'Données géométriques'!$B$6)</f>
        <v>8.3103896735094891E-3</v>
      </c>
      <c r="H13">
        <f t="shared" si="1"/>
        <v>1.860038967350949E-2</v>
      </c>
      <c r="I13">
        <f t="shared" si="3"/>
        <v>0.25825811830162909</v>
      </c>
      <c r="J13">
        <f>XCP_3D('Données géométriques'!$B$9,'Données géométriques'!$B$10,'Données géométriques'!$B$12,'Données géométriques'!$B$11,I13)</f>
        <v>-0.23353597660877243</v>
      </c>
      <c r="K13">
        <f>'5kts'!K13</f>
        <v>1.1514536950961625</v>
      </c>
      <c r="L13">
        <f t="shared" si="2"/>
        <v>-2.6464023391227581E-2</v>
      </c>
    </row>
    <row r="14" spans="1:15" x14ac:dyDescent="0.25">
      <c r="A14">
        <v>5</v>
      </c>
      <c r="B14">
        <f t="shared" si="0"/>
        <v>8.7266462599716474E-2</v>
      </c>
      <c r="C14">
        <v>0.57320000000000004</v>
      </c>
      <c r="D14">
        <v>1.0840000000000001E-2</v>
      </c>
      <c r="E14">
        <v>-3.7000000000000002E-3</v>
      </c>
      <c r="F14">
        <f>C14*'Données géométriques'!$B$6/(2+('Données géométriques'!$B$6^2+4)^0.5)</f>
        <v>0.31772649000613623</v>
      </c>
      <c r="G14">
        <f>F14^2/(PI()*'Données géométriques'!$B$6)</f>
        <v>1.0039801497606572E-2</v>
      </c>
      <c r="H14">
        <f t="shared" si="1"/>
        <v>2.087980149760657E-2</v>
      </c>
      <c r="I14">
        <f t="shared" si="3"/>
        <v>0.25646894347692606</v>
      </c>
      <c r="J14">
        <f>XCP_3D('Données géométriques'!$B$9,'Données géométriques'!$B$10,'Données géométriques'!$B$12,'Données géométriques'!$B$11,I14)</f>
        <v>-0.23221860637565517</v>
      </c>
      <c r="K14">
        <f>'5kts'!K14</f>
        <v>1.1514536950961625</v>
      </c>
      <c r="L14">
        <f t="shared" si="2"/>
        <v>-2.7781393624344841E-2</v>
      </c>
    </row>
    <row r="15" spans="1:15" x14ac:dyDescent="0.25">
      <c r="A15">
        <v>5.5</v>
      </c>
      <c r="B15">
        <f t="shared" si="0"/>
        <v>9.599310885968812E-2</v>
      </c>
      <c r="C15">
        <v>0.62139999999999995</v>
      </c>
      <c r="D15">
        <v>1.14E-2</v>
      </c>
      <c r="E15">
        <v>-2.3E-3</v>
      </c>
      <c r="F15">
        <f>C15*'Données géométriques'!$B$6/(2+('Données géométriques'!$B$6^2+4)^0.5)</f>
        <v>0.34444389548118109</v>
      </c>
      <c r="G15">
        <f>F15^2/(PI()*'Données géométriques'!$B$6)</f>
        <v>1.1799273301107117E-2</v>
      </c>
      <c r="H15">
        <f t="shared" si="1"/>
        <v>2.3199273301107118E-2</v>
      </c>
      <c r="I15">
        <f t="shared" si="3"/>
        <v>0.25371188156310015</v>
      </c>
      <c r="J15">
        <f>XCP_3D('Données géométriques'!$B$9,'Données géométriques'!$B$10,'Données géométriques'!$B$12,'Données géométriques'!$B$11,I15)</f>
        <v>-0.2301885804408024</v>
      </c>
      <c r="K15">
        <f>'5kts'!K15</f>
        <v>1.1514536950961625</v>
      </c>
      <c r="L15">
        <f t="shared" si="2"/>
        <v>-2.9811419559197611E-2</v>
      </c>
    </row>
    <row r="16" spans="1:15" x14ac:dyDescent="0.25">
      <c r="A16">
        <v>6</v>
      </c>
      <c r="B16">
        <f t="shared" si="0"/>
        <v>0.10471975511965978</v>
      </c>
      <c r="C16">
        <v>0.66959999999999997</v>
      </c>
      <c r="D16">
        <v>1.2019999999999999E-2</v>
      </c>
      <c r="E16">
        <v>-8.9999999999999998E-4</v>
      </c>
      <c r="F16">
        <f>C16*'Données géométriques'!$B$6/(2+('Données géométriques'!$B$6^2+4)^0.5)</f>
        <v>0.37116130095622607</v>
      </c>
      <c r="G16">
        <f>F16^2/(PI()*'Données géométriques'!$B$6)</f>
        <v>1.3700728263704819E-2</v>
      </c>
      <c r="H16">
        <f t="shared" si="1"/>
        <v>2.572072826370482E-2</v>
      </c>
      <c r="I16">
        <f t="shared" si="3"/>
        <v>0.25134894453197448</v>
      </c>
      <c r="J16">
        <f>XCP_3D('Données géométriques'!$B$9,'Données géométriques'!$B$10,'Données géométriques'!$B$12,'Données géométriques'!$B$11,I16)</f>
        <v>-0.22844874883544186</v>
      </c>
      <c r="K16">
        <f>'5kts'!K16</f>
        <v>1.1514536950961625</v>
      </c>
      <c r="L16">
        <f t="shared" si="2"/>
        <v>-3.1551251164558147E-2</v>
      </c>
    </row>
    <row r="17" spans="1:12" x14ac:dyDescent="0.25">
      <c r="A17">
        <v>6.5</v>
      </c>
      <c r="B17">
        <f t="shared" si="0"/>
        <v>0.11344640137963143</v>
      </c>
      <c r="C17">
        <v>0.71779999999999999</v>
      </c>
      <c r="D17">
        <v>1.2749999999999999E-2</v>
      </c>
      <c r="E17">
        <v>5.0000000000000001E-4</v>
      </c>
      <c r="F17">
        <f>C17*'Données géométriques'!$B$6/(2+('Données géométriques'!$B$6^2+4)^0.5)</f>
        <v>0.39787870643127105</v>
      </c>
      <c r="G17">
        <f>F17^2/(PI()*'Données géométriques'!$B$6)</f>
        <v>1.5744166385399667E-2</v>
      </c>
      <c r="H17">
        <f t="shared" si="1"/>
        <v>2.8494166385399665E-2</v>
      </c>
      <c r="I17">
        <f t="shared" si="3"/>
        <v>0.24930033647278863</v>
      </c>
      <c r="J17">
        <f>XCP_3D('Données géométriques'!$B$9,'Données géométriques'!$B$10,'Données géométriques'!$B$12,'Données géométriques'!$B$11,I17)</f>
        <v>-0.22694035779437061</v>
      </c>
      <c r="K17">
        <f>'5kts'!K17</f>
        <v>1.1514536950961625</v>
      </c>
      <c r="L17">
        <f t="shared" si="2"/>
        <v>-3.3059642205629403E-2</v>
      </c>
    </row>
    <row r="18" spans="1:12" x14ac:dyDescent="0.25">
      <c r="A18">
        <v>7</v>
      </c>
      <c r="B18">
        <f t="shared" si="0"/>
        <v>0.12217304763960307</v>
      </c>
      <c r="C18">
        <v>0.76649999999999996</v>
      </c>
      <c r="D18">
        <v>1.349E-2</v>
      </c>
      <c r="E18">
        <v>1.6000000000000001E-3</v>
      </c>
      <c r="F18">
        <f>C18*'Données géométriques'!$B$6/(2+('Données géométriques'!$B$6^2+4)^0.5)</f>
        <v>0.42487326341539317</v>
      </c>
      <c r="G18">
        <f>F18^2/(PI()*'Données géométriques'!$B$6)</f>
        <v>1.7953002077887865E-2</v>
      </c>
      <c r="H18">
        <f t="shared" si="1"/>
        <v>3.1443002077887867E-2</v>
      </c>
      <c r="I18">
        <f t="shared" si="3"/>
        <v>0.24790144845912135</v>
      </c>
      <c r="J18">
        <f>XCP_3D('Données géométriques'!$B$9,'Données géométriques'!$B$10,'Données géométriques'!$B$12,'Données géométriques'!$B$11,I18)</f>
        <v>-0.22591035591684294</v>
      </c>
      <c r="K18">
        <f>'5kts'!K18</f>
        <v>1.1514536950961625</v>
      </c>
      <c r="L18">
        <f t="shared" si="2"/>
        <v>-3.4089644083157067E-2</v>
      </c>
    </row>
    <row r="19" spans="1:12" x14ac:dyDescent="0.25">
      <c r="A19">
        <v>7.5</v>
      </c>
      <c r="B19">
        <f t="shared" si="0"/>
        <v>0.1308996938995747</v>
      </c>
      <c r="C19">
        <v>0.81469999999999998</v>
      </c>
      <c r="D19">
        <v>1.4409999999999999E-2</v>
      </c>
      <c r="E19">
        <v>2.8E-3</v>
      </c>
      <c r="F19">
        <f>C19*'Données géométriques'!$B$6/(2+('Données géométriques'!$B$6^2+4)^0.5)</f>
        <v>0.45159066889043814</v>
      </c>
      <c r="G19">
        <f>F19^2/(PI()*'Données géométriques'!$B$6)</f>
        <v>2.028187937212449E-2</v>
      </c>
      <c r="H19">
        <f t="shared" si="1"/>
        <v>3.4691879372124493E-2</v>
      </c>
      <c r="I19">
        <f t="shared" si="3"/>
        <v>0.24654154901305972</v>
      </c>
      <c r="J19">
        <f>XCP_3D('Données géométriques'!$B$9,'Données géométriques'!$B$10,'Données géométriques'!$B$12,'Données géométriques'!$B$11,I19)</f>
        <v>-0.22490906133928709</v>
      </c>
      <c r="K19">
        <f>'5kts'!K19</f>
        <v>1.1514536950961625</v>
      </c>
      <c r="L19">
        <f t="shared" si="2"/>
        <v>-3.5090938660712917E-2</v>
      </c>
    </row>
    <row r="20" spans="1:12" x14ac:dyDescent="0.25">
      <c r="A20">
        <v>8</v>
      </c>
      <c r="B20">
        <f t="shared" si="0"/>
        <v>0.13962634015954636</v>
      </c>
      <c r="C20">
        <v>0.86299999999999999</v>
      </c>
      <c r="D20">
        <v>1.532E-2</v>
      </c>
      <c r="E20">
        <v>3.8999999999999998E-3</v>
      </c>
      <c r="F20">
        <f>C20*'Données géométriques'!$B$6/(2+('Données géométriques'!$B$6^2+4)^0.5)</f>
        <v>0.47836350466729854</v>
      </c>
      <c r="G20">
        <f>F20^2/(PI()*'Données géométriques'!$B$6)</f>
        <v>2.275801368296515E-2</v>
      </c>
      <c r="H20">
        <f t="shared" si="1"/>
        <v>3.8078013682965151E-2</v>
      </c>
      <c r="I20">
        <f t="shared" si="3"/>
        <v>0.24544782582593741</v>
      </c>
      <c r="J20">
        <f>XCP_3D('Données géométriques'!$B$9,'Données géométriques'!$B$10,'Données géométriques'!$B$12,'Données géométriques'!$B$11,I20)</f>
        <v>-0.22410375246164618</v>
      </c>
      <c r="K20">
        <f>'5kts'!K20</f>
        <v>1.1514536950961625</v>
      </c>
      <c r="L20">
        <f t="shared" si="2"/>
        <v>-3.5896247538353826E-2</v>
      </c>
    </row>
    <row r="21" spans="1:12" x14ac:dyDescent="0.25">
      <c r="A21">
        <v>8.5</v>
      </c>
      <c r="B21">
        <f t="shared" si="0"/>
        <v>0.14835298641951802</v>
      </c>
      <c r="C21">
        <v>0.90990000000000004</v>
      </c>
      <c r="D21">
        <v>1.6459999999999999E-2</v>
      </c>
      <c r="E21">
        <v>5.1000000000000004E-3</v>
      </c>
      <c r="F21">
        <f>C21*'Données géométriques'!$B$6/(2+('Données géométriques'!$B$6^2+4)^0.5)</f>
        <v>0.50436031621874267</v>
      </c>
      <c r="G21">
        <f>F21^2/(PI()*'Données géométriques'!$B$6)</f>
        <v>2.5298809966517503E-2</v>
      </c>
      <c r="H21">
        <f t="shared" si="1"/>
        <v>4.1758809966517499E-2</v>
      </c>
      <c r="I21">
        <f t="shared" si="3"/>
        <v>0.24434801891961003</v>
      </c>
      <c r="J21">
        <f>XCP_3D('Données géométriques'!$B$9,'Données géométriques'!$B$10,'Données géométriques'!$B$12,'Données géométriques'!$B$11,I21)</f>
        <v>-0.22329396413880273</v>
      </c>
      <c r="K21">
        <f>'5kts'!K21</f>
        <v>1.1514536950961625</v>
      </c>
      <c r="L21">
        <f t="shared" si="2"/>
        <v>-3.6706035861197278E-2</v>
      </c>
    </row>
    <row r="22" spans="1:12" x14ac:dyDescent="0.25">
      <c r="A22">
        <v>9</v>
      </c>
      <c r="B22">
        <f t="shared" si="0"/>
        <v>0.15707963267948966</v>
      </c>
      <c r="C22">
        <v>0.95630000000000004</v>
      </c>
      <c r="D22">
        <v>1.7670000000000002E-2</v>
      </c>
      <c r="E22">
        <v>6.3E-3</v>
      </c>
      <c r="F22">
        <f>C22*'Données géométriques'!$B$6/(2+('Données géométriques'!$B$6^2+4)^0.5)</f>
        <v>0.5300799762611097</v>
      </c>
      <c r="G22">
        <f>F22^2/(PI()*'Données géométriques'!$B$6)</f>
        <v>2.7944804413481523E-2</v>
      </c>
      <c r="H22">
        <f t="shared" si="1"/>
        <v>4.5614804413481522E-2</v>
      </c>
      <c r="I22">
        <f t="shared" si="3"/>
        <v>0.24334945339344374</v>
      </c>
      <c r="J22">
        <f>XCP_3D('Données géométriques'!$B$9,'Données géométriques'!$B$10,'Données géométriques'!$B$12,'Données géométriques'!$B$11,I22)</f>
        <v>-0.22255871988998632</v>
      </c>
      <c r="K22">
        <f>'5kts'!K22</f>
        <v>1.1514536950961625</v>
      </c>
      <c r="L22">
        <f t="shared" si="2"/>
        <v>-3.7441280110013686E-2</v>
      </c>
    </row>
    <row r="23" spans="1:12" x14ac:dyDescent="0.25">
      <c r="A23">
        <v>9.5</v>
      </c>
      <c r="B23">
        <f t="shared" si="0"/>
        <v>0.16580627893946132</v>
      </c>
      <c r="C23">
        <v>1.0017</v>
      </c>
      <c r="D23">
        <v>1.898E-2</v>
      </c>
      <c r="E23">
        <v>7.6E-3</v>
      </c>
      <c r="F23">
        <f>C23*'Données géométriques'!$B$6/(2+('Données géométriques'!$B$6^2+4)^0.5)</f>
        <v>0.555245333285322</v>
      </c>
      <c r="G23">
        <f>F23^2/(PI()*'Données géométriques'!$B$6)</f>
        <v>3.0661126738823402E-2</v>
      </c>
      <c r="H23">
        <f t="shared" si="1"/>
        <v>4.9641126738823399E-2</v>
      </c>
      <c r="I23">
        <f t="shared" si="3"/>
        <v>0.24233171306608925</v>
      </c>
      <c r="J23">
        <f>XCP_3D('Données géométriques'!$B$9,'Données géométriques'!$B$10,'Données géométriques'!$B$12,'Données géométriques'!$B$11,I23)</f>
        <v>-0.22180935722638007</v>
      </c>
      <c r="K23">
        <f>'5kts'!K23</f>
        <v>1.1514536950961625</v>
      </c>
      <c r="L23">
        <f t="shared" si="2"/>
        <v>-3.8190642773619943E-2</v>
      </c>
    </row>
    <row r="24" spans="1:12" x14ac:dyDescent="0.25">
      <c r="A24">
        <v>10</v>
      </c>
      <c r="B24">
        <f t="shared" si="0"/>
        <v>0.17453292519943295</v>
      </c>
      <c r="C24">
        <v>1.0445</v>
      </c>
      <c r="D24">
        <v>2.0559999999999998E-2</v>
      </c>
      <c r="E24">
        <v>8.9999999999999993E-3</v>
      </c>
      <c r="F24">
        <f>C24*'Données géométriques'!$B$6/(2+('Données géométriques'!$B$6^2+4)^0.5)</f>
        <v>0.57896950246233292</v>
      </c>
      <c r="G24">
        <f>F24^2/(PI()*'Données géométriques'!$B$6)</f>
        <v>3.3337240751621963E-2</v>
      </c>
      <c r="H24">
        <f t="shared" si="1"/>
        <v>5.3897240751621958E-2</v>
      </c>
      <c r="I24">
        <f t="shared" si="3"/>
        <v>0.24128077563091879</v>
      </c>
      <c r="J24">
        <f>XCP_3D('Données géométriques'!$B$9,'Données géométriques'!$B$10,'Données géométriques'!$B$12,'Données géométriques'!$B$11,I24)</f>
        <v>-0.22103555151726439</v>
      </c>
      <c r="K24">
        <f>'5kts'!K24</f>
        <v>1.1514536950961625</v>
      </c>
      <c r="L24">
        <f t="shared" si="2"/>
        <v>-3.8964448482735614E-2</v>
      </c>
    </row>
    <row r="25" spans="1:12" x14ac:dyDescent="0.25">
      <c r="A25">
        <v>10.5</v>
      </c>
      <c r="B25">
        <f t="shared" si="0"/>
        <v>0.18325957145940461</v>
      </c>
      <c r="C25">
        <v>1.0851</v>
      </c>
      <c r="D25">
        <v>2.2370000000000001E-2</v>
      </c>
      <c r="E25">
        <v>1.0699999999999999E-2</v>
      </c>
      <c r="F25">
        <f>C25*'Données géométriques'!$B$6/(2+('Données géométriques'!$B$6^2+4)^0.5)</f>
        <v>0.60147420499940396</v>
      </c>
      <c r="G25">
        <f>F25^2/(PI()*'Données géométriques'!$B$6)</f>
        <v>3.5979265214419485E-2</v>
      </c>
      <c r="H25">
        <f t="shared" si="1"/>
        <v>5.8349265214419486E-2</v>
      </c>
      <c r="I25">
        <f t="shared" si="3"/>
        <v>0.24000939778511651</v>
      </c>
      <c r="J25">
        <f>XCP_3D('Données géométriques'!$B$9,'Données géométriques'!$B$10,'Données géométriques'!$B$12,'Données géométriques'!$B$11,I25)</f>
        <v>-0.22009943543404137</v>
      </c>
      <c r="K25">
        <f>'5kts'!K25</f>
        <v>1.1514536950961625</v>
      </c>
      <c r="L25">
        <f t="shared" si="2"/>
        <v>-3.9900564565958641E-2</v>
      </c>
    </row>
    <row r="26" spans="1:12" x14ac:dyDescent="0.25">
      <c r="A26">
        <v>11</v>
      </c>
      <c r="B26">
        <f t="shared" si="0"/>
        <v>0.19198621771937624</v>
      </c>
      <c r="C26">
        <v>1.1238999999999999</v>
      </c>
      <c r="D26">
        <v>2.4240000000000001E-2</v>
      </c>
      <c r="E26">
        <v>1.24E-2</v>
      </c>
      <c r="F26">
        <f>C26*'Données géométriques'!$B$6/(2+('Données géométriques'!$B$6^2+4)^0.5)</f>
        <v>0.62298116210379695</v>
      </c>
      <c r="G26">
        <f>F26^2/(PI()*'Données géométriques'!$B$6)</f>
        <v>3.8598293592824053E-2</v>
      </c>
      <c r="H26">
        <f t="shared" si="1"/>
        <v>6.2838293592824057E-2</v>
      </c>
      <c r="I26">
        <f t="shared" si="3"/>
        <v>0.23880741167519287</v>
      </c>
      <c r="J26">
        <f>XCP_3D('Données géométriques'!$B$9,'Données géométriques'!$B$10,'Données géométriques'!$B$12,'Données géométriques'!$B$11,I26)</f>
        <v>-0.21921441251734711</v>
      </c>
      <c r="K26">
        <f>K25</f>
        <v>1.1514536950961625</v>
      </c>
      <c r="L26">
        <f t="shared" si="2"/>
        <v>-4.0785587482652902E-2</v>
      </c>
    </row>
    <row r="27" spans="1:12" x14ac:dyDescent="0.25">
      <c r="A27">
        <v>11.5</v>
      </c>
      <c r="B27">
        <f t="shared" si="0"/>
        <v>0.2007128639793479</v>
      </c>
      <c r="C27">
        <v>1.1591</v>
      </c>
      <c r="D27">
        <v>2.6349999999999998E-2</v>
      </c>
      <c r="E27">
        <v>1.43E-2</v>
      </c>
      <c r="F27">
        <f>C27*'Données géométriques'!$B$6/(2+('Données géométriques'!$B$6^2+4)^0.5)</f>
        <v>0.64249262834283405</v>
      </c>
      <c r="G27">
        <f>F27^2/(PI()*'Données géométriques'!$B$6)</f>
        <v>4.1053914587233037E-2</v>
      </c>
      <c r="H27">
        <f t="shared" si="1"/>
        <v>6.7403914587233035E-2</v>
      </c>
      <c r="I27">
        <f t="shared" si="3"/>
        <v>0.2374680574609021</v>
      </c>
      <c r="J27">
        <f>XCP_3D('Données géométriques'!$B$9,'Données géométriques'!$B$10,'Données géométriques'!$B$12,'Données géométriques'!$B$11,I27)</f>
        <v>-0.2182282454032429</v>
      </c>
      <c r="K27">
        <f>K26</f>
        <v>1.1514536950961625</v>
      </c>
      <c r="L27">
        <f t="shared" si="2"/>
        <v>-4.177175459675711E-2</v>
      </c>
    </row>
    <row r="28" spans="1:12" x14ac:dyDescent="0.25">
      <c r="A28">
        <v>12</v>
      </c>
      <c r="B28">
        <f t="shared" si="0"/>
        <v>0.20943951023931956</v>
      </c>
      <c r="C28">
        <v>1.1897</v>
      </c>
      <c r="D28">
        <v>2.87E-2</v>
      </c>
      <c r="E28">
        <v>1.6500000000000001E-2</v>
      </c>
      <c r="F28">
        <f>C28*'Données géométriques'!$B$6/(2+('Données géométriques'!$B$6^2+4)^0.5)</f>
        <v>0.65945430069836042</v>
      </c>
      <c r="G28">
        <f>F28^2/(PI()*'Données géométriques'!$B$6)</f>
        <v>4.325015676390738E-2</v>
      </c>
      <c r="H28">
        <f t="shared" si="1"/>
        <v>7.1950156763907383E-2</v>
      </c>
      <c r="I28">
        <f t="shared" si="3"/>
        <v>0.23589344827812669</v>
      </c>
      <c r="J28">
        <f>XCP_3D('Données géométriques'!$B$9,'Données géométriques'!$B$10,'Données géométriques'!$B$12,'Données géométriques'!$B$11,I28)</f>
        <v>-0.21706885994938011</v>
      </c>
      <c r="K28">
        <f>K27</f>
        <v>1.1514536950961625</v>
      </c>
      <c r="L28">
        <f t="shared" si="2"/>
        <v>-4.2931140050619904E-2</v>
      </c>
    </row>
    <row r="29" spans="1:12" x14ac:dyDescent="0.25">
      <c r="A29">
        <v>12.5</v>
      </c>
      <c r="B29">
        <f t="shared" si="0"/>
        <v>0.21816615649929119</v>
      </c>
      <c r="C29">
        <v>1.2118</v>
      </c>
      <c r="D29">
        <v>3.1539999999999999E-2</v>
      </c>
      <c r="E29">
        <v>1.9099999999999999E-2</v>
      </c>
      <c r="F29">
        <f>C29*'Données géométriques'!$B$6/(2+('Données géométriques'!$B$6^2+4)^0.5)</f>
        <v>0.67170439739957399</v>
      </c>
      <c r="G29">
        <f>F29^2/(PI()*'Données géométriques'!$B$6)</f>
        <v>4.487192065834722E-2</v>
      </c>
      <c r="H29">
        <f t="shared" si="1"/>
        <v>7.6411920658347218E-2</v>
      </c>
      <c r="I29">
        <f t="shared" si="3"/>
        <v>0.2339482580161889</v>
      </c>
      <c r="J29">
        <f>XCP_3D('Données géométriques'!$B$9,'Données géométriques'!$B$10,'Données géométriques'!$B$12,'Données géométriques'!$B$11,I29)</f>
        <v>-0.2156366154792225</v>
      </c>
      <c r="K29">
        <f>K28</f>
        <v>1.1514536950961625</v>
      </c>
      <c r="L29">
        <f t="shared" si="2"/>
        <v>-4.436338452077751E-2</v>
      </c>
    </row>
    <row r="30" spans="1:12" x14ac:dyDescent="0.25">
      <c r="A30" s="3">
        <v>13</v>
      </c>
      <c r="B30">
        <f t="shared" si="0"/>
        <v>0.22689280275926285</v>
      </c>
      <c r="C30">
        <v>1.2121</v>
      </c>
      <c r="D30">
        <v>3.5430000000000003E-2</v>
      </c>
      <c r="E30">
        <v>2.3199999999999998E-2</v>
      </c>
      <c r="F30">
        <f>C30*'Données géométriques'!$B$6/(2+('Données géométriques'!$B$6^2+4)^0.5)</f>
        <v>0.67187068830502028</v>
      </c>
      <c r="G30">
        <f>F30^2/(PI()*'Données géométriques'!$B$6)</f>
        <v>4.4894140896850489E-2</v>
      </c>
      <c r="H30">
        <f t="shared" si="1"/>
        <v>8.0324140896850499E-2</v>
      </c>
      <c r="I30">
        <f t="shared" si="3"/>
        <v>0.23048787005055812</v>
      </c>
      <c r="J30">
        <f>XCP_3D('Données géométriques'!$B$9,'Données géométriques'!$B$10,'Données géométriques'!$B$12,'Données géométriques'!$B$11,I30)</f>
        <v>-0.21308873025413663</v>
      </c>
      <c r="K30">
        <f>K29</f>
        <v>1.1514536950961625</v>
      </c>
      <c r="L30">
        <f t="shared" si="2"/>
        <v>-4.6911269745863377E-2</v>
      </c>
    </row>
    <row r="31" spans="1:12" x14ac:dyDescent="0.25">
      <c r="A31">
        <v>13.5</v>
      </c>
      <c r="B31">
        <f t="shared" si="0"/>
        <v>0.23561944901923448</v>
      </c>
      <c r="C31">
        <f>-$C$30*(A31-90)/(90-$A$30)</f>
        <v>1.2042292207792209</v>
      </c>
      <c r="D31">
        <f>$O$2*(A31-$A$30)+$D$30</f>
        <v>3.9320000000000008E-2</v>
      </c>
      <c r="E31" s="4" t="s">
        <v>30</v>
      </c>
      <c r="F31">
        <f>C31*'Données géométriques'!$B$6/(2+('Données géométriques'!$B$6^2+4)^0.5)</f>
        <v>0.66750789162771507</v>
      </c>
      <c r="G31">
        <f>F31^2/(PI()*'Données géométriques'!$B$6)</f>
        <v>4.4312993095563045E-2</v>
      </c>
      <c r="H31">
        <f t="shared" si="1"/>
        <v>8.3632993095563046E-2</v>
      </c>
      <c r="I31" s="4" t="s">
        <v>30</v>
      </c>
      <c r="J31" s="4">
        <f>'1kts'!J$22</f>
        <v>-0.41152228571428573</v>
      </c>
      <c r="K31" s="4">
        <f>'1kts'!K$22</f>
        <v>0.92155428571428555</v>
      </c>
      <c r="L31" s="4">
        <f>'1kts'!L$22</f>
        <v>0.15152228571428572</v>
      </c>
    </row>
    <row r="32" spans="1:12" x14ac:dyDescent="0.25">
      <c r="A32">
        <v>14</v>
      </c>
      <c r="B32">
        <f t="shared" si="0"/>
        <v>0.24434609527920614</v>
      </c>
      <c r="C32">
        <f t="shared" ref="C32:C78" si="4">-$C$30*(A32-90)/(90-$A$30)</f>
        <v>1.1963584415584414</v>
      </c>
      <c r="D32">
        <f t="shared" ref="D32:D78" si="5">$O$2*(A32-$A$30)+$D$30</f>
        <v>4.3210000000000012E-2</v>
      </c>
      <c r="E32" s="4" t="s">
        <v>30</v>
      </c>
      <c r="F32">
        <f>C32*'Données géométriques'!$B$6/(2+('Données géométriques'!$B$6^2+4)^0.5)</f>
        <v>0.66314509495040963</v>
      </c>
      <c r="G32">
        <f>F32^2/(PI()*'Données géométriques'!$B$6)</f>
        <v>4.3735631273437076E-2</v>
      </c>
      <c r="H32">
        <f t="shared" si="1"/>
        <v>8.6945631273437088E-2</v>
      </c>
      <c r="I32" s="4" t="s">
        <v>30</v>
      </c>
      <c r="J32" s="4">
        <f>'1kts'!J$22</f>
        <v>-0.41152228571428573</v>
      </c>
      <c r="K32" s="4">
        <f>'1kts'!K$22</f>
        <v>0.92155428571428555</v>
      </c>
      <c r="L32" s="4">
        <f>'1kts'!L$22</f>
        <v>0.15152228571428572</v>
      </c>
    </row>
    <row r="33" spans="1:12" x14ac:dyDescent="0.25">
      <c r="A33">
        <v>14.5</v>
      </c>
      <c r="B33">
        <f t="shared" si="0"/>
        <v>0.2530727415391778</v>
      </c>
      <c r="C33">
        <f t="shared" si="4"/>
        <v>1.1884876623376623</v>
      </c>
      <c r="D33">
        <f t="shared" si="5"/>
        <v>4.7100000000000017E-2</v>
      </c>
      <c r="E33" s="4" t="s">
        <v>30</v>
      </c>
      <c r="F33">
        <f>C33*'Données géométriques'!$B$6/(2+('Données géométriques'!$B$6^2+4)^0.5)</f>
        <v>0.65878229827310431</v>
      </c>
      <c r="G33">
        <f>F33^2/(PI()*'Données géométriques'!$B$6)</f>
        <v>4.3162055430472586E-2</v>
      </c>
      <c r="H33">
        <f t="shared" si="1"/>
        <v>9.026205543047261E-2</v>
      </c>
      <c r="I33" s="4" t="s">
        <v>30</v>
      </c>
      <c r="J33" s="4">
        <f>'1kts'!J$22</f>
        <v>-0.41152228571428573</v>
      </c>
      <c r="K33" s="4">
        <f>'1kts'!K$22</f>
        <v>0.92155428571428555</v>
      </c>
      <c r="L33" s="4">
        <f>'1kts'!L$22</f>
        <v>0.15152228571428572</v>
      </c>
    </row>
    <row r="34" spans="1:12" x14ac:dyDescent="0.25">
      <c r="A34">
        <v>15</v>
      </c>
      <c r="B34">
        <f t="shared" si="0"/>
        <v>0.26179938779914941</v>
      </c>
      <c r="C34">
        <f t="shared" si="4"/>
        <v>1.1806168831168831</v>
      </c>
      <c r="D34">
        <f t="shared" si="5"/>
        <v>5.0990000000000021E-2</v>
      </c>
      <c r="E34" s="4" t="s">
        <v>30</v>
      </c>
      <c r="F34">
        <f>C34*'Données géométriques'!$B$6/(2+('Données géométriques'!$B$6^2+4)^0.5)</f>
        <v>0.65441950159579898</v>
      </c>
      <c r="G34">
        <f>F34^2/(PI()*'Données géométriques'!$B$6)</f>
        <v>4.2592265566669583E-2</v>
      </c>
      <c r="H34">
        <f t="shared" si="1"/>
        <v>9.3582265566669598E-2</v>
      </c>
      <c r="I34" s="4" t="s">
        <v>30</v>
      </c>
      <c r="J34" s="4">
        <f>'1kts'!J$22</f>
        <v>-0.41152228571428573</v>
      </c>
      <c r="K34" s="4">
        <f>'1kts'!K$22</f>
        <v>0.92155428571428555</v>
      </c>
      <c r="L34" s="4">
        <f>'1kts'!L$22</f>
        <v>0.15152228571428572</v>
      </c>
    </row>
    <row r="35" spans="1:12" x14ac:dyDescent="0.25">
      <c r="A35">
        <v>16</v>
      </c>
      <c r="B35">
        <f t="shared" si="0"/>
        <v>0.27925268031909273</v>
      </c>
      <c r="C35">
        <f t="shared" si="4"/>
        <v>1.1648753246753245</v>
      </c>
      <c r="D35">
        <f t="shared" si="5"/>
        <v>5.8770000000000031E-2</v>
      </c>
      <c r="E35" s="4" t="s">
        <v>30</v>
      </c>
      <c r="F35">
        <f>C35*'Données géométriques'!$B$6/(2+('Données géométriques'!$B$6^2+4)^0.5)</f>
        <v>0.64569390824118833</v>
      </c>
      <c r="G35">
        <f>F35^2/(PI()*'Données géométriques'!$B$6)</f>
        <v>4.1464043776548026E-2</v>
      </c>
      <c r="H35">
        <f t="shared" si="1"/>
        <v>0.10023404377654806</v>
      </c>
      <c r="I35" s="4" t="s">
        <v>30</v>
      </c>
      <c r="J35" s="4">
        <f>'1kts'!J$22</f>
        <v>-0.41152228571428573</v>
      </c>
      <c r="K35" s="4">
        <f>'1kts'!K$22</f>
        <v>0.92155428571428555</v>
      </c>
      <c r="L35" s="4">
        <f>'1kts'!L$22</f>
        <v>0.15152228571428572</v>
      </c>
    </row>
    <row r="36" spans="1:12" x14ac:dyDescent="0.25">
      <c r="A36">
        <v>16.5</v>
      </c>
      <c r="B36">
        <f t="shared" si="0"/>
        <v>0.28797932657906439</v>
      </c>
      <c r="C36">
        <f t="shared" si="4"/>
        <v>1.1570045454545455</v>
      </c>
      <c r="D36">
        <f t="shared" si="5"/>
        <v>6.2660000000000035E-2</v>
      </c>
      <c r="E36" s="4" t="s">
        <v>30</v>
      </c>
      <c r="F36">
        <f>C36*'Données géométriques'!$B$6/(2+('Données géométriques'!$B$6^2+4)^0.5)</f>
        <v>0.64133111156388301</v>
      </c>
      <c r="G36">
        <f>F36^2/(PI()*'Données géométriques'!$B$6)</f>
        <v>4.0905611850229472E-2</v>
      </c>
      <c r="H36">
        <f t="shared" si="1"/>
        <v>0.1035656118502295</v>
      </c>
      <c r="I36" s="4" t="s">
        <v>30</v>
      </c>
      <c r="J36" s="4">
        <f>'1kts'!J$22</f>
        <v>-0.41152228571428573</v>
      </c>
      <c r="K36" s="4">
        <f>'1kts'!K$22</f>
        <v>0.92155428571428555</v>
      </c>
      <c r="L36" s="4">
        <f>'1kts'!L$22</f>
        <v>0.15152228571428572</v>
      </c>
    </row>
    <row r="37" spans="1:12" x14ac:dyDescent="0.25">
      <c r="A37">
        <v>17</v>
      </c>
      <c r="B37">
        <f t="shared" si="0"/>
        <v>0.29670597283903605</v>
      </c>
      <c r="C37">
        <f t="shared" si="4"/>
        <v>1.1491337662337662</v>
      </c>
      <c r="D37">
        <f t="shared" si="5"/>
        <v>6.655000000000004E-2</v>
      </c>
      <c r="E37" s="4" t="s">
        <v>30</v>
      </c>
      <c r="F37">
        <f>C37*'Données géométriques'!$B$6/(2+('Données géométriques'!$B$6^2+4)^0.5)</f>
        <v>0.63696831488657768</v>
      </c>
      <c r="G37">
        <f>F37^2/(PI()*'Données géométriques'!$B$6)</f>
        <v>4.0350965903072397E-2</v>
      </c>
      <c r="H37">
        <f t="shared" si="1"/>
        <v>0.10690096590307244</v>
      </c>
      <c r="I37" s="4" t="s">
        <v>30</v>
      </c>
      <c r="J37" s="4">
        <f>'1kts'!J$22</f>
        <v>-0.41152228571428573</v>
      </c>
      <c r="K37" s="4">
        <f>'1kts'!K$22</f>
        <v>0.92155428571428555</v>
      </c>
      <c r="L37" s="4">
        <f>'1kts'!L$22</f>
        <v>0.15152228571428572</v>
      </c>
    </row>
    <row r="38" spans="1:12" x14ac:dyDescent="0.25">
      <c r="A38">
        <v>17.5</v>
      </c>
      <c r="B38">
        <f t="shared" si="0"/>
        <v>0.30543261909900765</v>
      </c>
      <c r="C38">
        <f t="shared" si="4"/>
        <v>1.1412629870129871</v>
      </c>
      <c r="D38">
        <f t="shared" si="5"/>
        <v>7.0440000000000044E-2</v>
      </c>
      <c r="E38" s="4" t="s">
        <v>30</v>
      </c>
      <c r="F38">
        <f>C38*'Données géométriques'!$B$6/(2+('Données géométriques'!$B$6^2+4)^0.5)</f>
        <v>0.63260551820927247</v>
      </c>
      <c r="G38">
        <f>F38^2/(PI()*'Données géométriques'!$B$6)</f>
        <v>3.9800105935076817E-2</v>
      </c>
      <c r="H38">
        <f t="shared" si="1"/>
        <v>0.11024010593507685</v>
      </c>
      <c r="I38" s="4" t="s">
        <v>30</v>
      </c>
      <c r="J38" s="4">
        <f>'1kts'!J$22</f>
        <v>-0.41152228571428573</v>
      </c>
      <c r="K38" s="4">
        <f>'1kts'!K$22</f>
        <v>0.92155428571428555</v>
      </c>
      <c r="L38" s="4">
        <f>'1kts'!L$22</f>
        <v>0.15152228571428572</v>
      </c>
    </row>
    <row r="39" spans="1:12" x14ac:dyDescent="0.25">
      <c r="A39">
        <v>18</v>
      </c>
      <c r="B39">
        <f t="shared" si="0"/>
        <v>0.31415926535897931</v>
      </c>
      <c r="C39">
        <f t="shared" si="4"/>
        <v>1.1333922077922076</v>
      </c>
      <c r="D39">
        <f t="shared" si="5"/>
        <v>7.4330000000000049E-2</v>
      </c>
      <c r="E39" s="4" t="s">
        <v>30</v>
      </c>
      <c r="F39">
        <f>C39*'Données géométriques'!$B$6/(2+('Données géométriques'!$B$6^2+4)^0.5)</f>
        <v>0.62824272153196692</v>
      </c>
      <c r="G39">
        <f>F39^2/(PI()*'Données géométriques'!$B$6)</f>
        <v>3.9253031946242675E-2</v>
      </c>
      <c r="H39">
        <f t="shared" si="1"/>
        <v>0.11358303194624272</v>
      </c>
      <c r="I39" s="4" t="s">
        <v>30</v>
      </c>
      <c r="J39" s="4">
        <f>'1kts'!J$22</f>
        <v>-0.41152228571428573</v>
      </c>
      <c r="K39" s="4">
        <f>'1kts'!K$22</f>
        <v>0.92155428571428555</v>
      </c>
      <c r="L39" s="4">
        <f>'1kts'!L$22</f>
        <v>0.15152228571428572</v>
      </c>
    </row>
    <row r="40" spans="1:12" x14ac:dyDescent="0.25">
      <c r="A40">
        <v>18.5</v>
      </c>
      <c r="B40">
        <f t="shared" si="0"/>
        <v>0.32288591161895097</v>
      </c>
      <c r="C40">
        <f t="shared" si="4"/>
        <v>1.1255214285714286</v>
      </c>
      <c r="D40">
        <f t="shared" si="5"/>
        <v>7.8220000000000053E-2</v>
      </c>
      <c r="E40" s="4" t="s">
        <v>30</v>
      </c>
      <c r="F40">
        <f>C40*'Données géométriques'!$B$6/(2+('Données géométriques'!$B$6^2+4)^0.5)</f>
        <v>0.62387992485466182</v>
      </c>
      <c r="G40">
        <f>F40^2/(PI()*'Données géométriques'!$B$6)</f>
        <v>3.8709743936570076E-2</v>
      </c>
      <c r="H40">
        <f t="shared" si="1"/>
        <v>0.11692974393657013</v>
      </c>
      <c r="I40" s="4" t="s">
        <v>30</v>
      </c>
      <c r="J40" s="4">
        <f>'1kts'!J$22</f>
        <v>-0.41152228571428573</v>
      </c>
      <c r="K40" s="4">
        <f>'1kts'!K$22</f>
        <v>0.92155428571428555</v>
      </c>
      <c r="L40" s="4">
        <f>'1kts'!L$22</f>
        <v>0.15152228571428572</v>
      </c>
    </row>
    <row r="41" spans="1:12" x14ac:dyDescent="0.25">
      <c r="A41">
        <v>19</v>
      </c>
      <c r="B41">
        <f>RADIANS(A41)</f>
        <v>0.33161255787892263</v>
      </c>
      <c r="C41">
        <f t="shared" si="4"/>
        <v>1.1176506493506493</v>
      </c>
      <c r="D41">
        <f t="shared" si="5"/>
        <v>8.2110000000000058E-2</v>
      </c>
      <c r="E41" s="4" t="s">
        <v>30</v>
      </c>
      <c r="F41">
        <f>C41*'Données géométriques'!$B$6/(2+('Données géométriques'!$B$6^2+4)^0.5)</f>
        <v>0.61951712817735638</v>
      </c>
      <c r="G41">
        <f>F41^2/(PI()*'Données géométriques'!$B$6)</f>
        <v>3.8170241906058909E-2</v>
      </c>
      <c r="H41">
        <f>G41+D41</f>
        <v>0.12028024190605896</v>
      </c>
      <c r="I41" s="4" t="s">
        <v>30</v>
      </c>
      <c r="J41" s="4">
        <f>'1kts'!J$22</f>
        <v>-0.41152228571428573</v>
      </c>
      <c r="K41" s="4">
        <f>'1kts'!K$22</f>
        <v>0.92155428571428555</v>
      </c>
      <c r="L41" s="4">
        <f>'1kts'!L$22</f>
        <v>0.15152228571428572</v>
      </c>
    </row>
    <row r="42" spans="1:12" x14ac:dyDescent="0.25">
      <c r="A42">
        <v>19.5</v>
      </c>
      <c r="B42">
        <f t="shared" si="0"/>
        <v>0.34033920413889424</v>
      </c>
      <c r="C42">
        <f t="shared" si="4"/>
        <v>1.10977987012987</v>
      </c>
      <c r="D42">
        <f t="shared" si="5"/>
        <v>8.6000000000000063E-2</v>
      </c>
      <c r="E42" s="4" t="s">
        <v>30</v>
      </c>
      <c r="F42">
        <f>C42*'Données géométriques'!$B$6/(2+('Données géométriques'!$B$6^2+4)^0.5)</f>
        <v>0.61515433150005105</v>
      </c>
      <c r="G42">
        <f>F42^2/(PI()*'Données géométriques'!$B$6)</f>
        <v>3.763452585470925E-2</v>
      </c>
      <c r="H42">
        <f>G42+D42</f>
        <v>0.12363452585470931</v>
      </c>
      <c r="I42" s="4" t="s">
        <v>30</v>
      </c>
      <c r="J42" s="4">
        <f>'1kts'!J$22</f>
        <v>-0.41152228571428573</v>
      </c>
      <c r="K42" s="4">
        <f>'1kts'!K$22</f>
        <v>0.92155428571428555</v>
      </c>
      <c r="L42" s="4">
        <f>'1kts'!L$22</f>
        <v>0.15152228571428572</v>
      </c>
    </row>
    <row r="43" spans="1:12" x14ac:dyDescent="0.25">
      <c r="A43">
        <v>20</v>
      </c>
      <c r="B43">
        <f t="shared" si="0"/>
        <v>0.3490658503988659</v>
      </c>
      <c r="C43">
        <f t="shared" si="4"/>
        <v>1.1019090909090907</v>
      </c>
      <c r="D43">
        <f t="shared" si="5"/>
        <v>8.9890000000000067E-2</v>
      </c>
      <c r="E43" s="4" t="s">
        <v>30</v>
      </c>
      <c r="F43">
        <f>C43*'Données géométriques'!$B$6/(2+('Données géométriques'!$B$6^2+4)^0.5)</f>
        <v>0.61079153482274573</v>
      </c>
      <c r="G43">
        <f>F43^2/(PI()*'Données géométriques'!$B$6)</f>
        <v>3.7102595782521064E-2</v>
      </c>
      <c r="H43">
        <f>G43+D43</f>
        <v>0.12699259578252114</v>
      </c>
      <c r="I43" s="4" t="s">
        <v>30</v>
      </c>
      <c r="J43" s="4">
        <f>'1kts'!J$22</f>
        <v>-0.41152228571428573</v>
      </c>
      <c r="K43" s="4">
        <f>'1kts'!K$22</f>
        <v>0.92155428571428555</v>
      </c>
      <c r="L43" s="4">
        <f>'1kts'!L$22</f>
        <v>0.15152228571428572</v>
      </c>
    </row>
    <row r="44" spans="1:12" x14ac:dyDescent="0.25">
      <c r="A44">
        <v>22</v>
      </c>
      <c r="B44">
        <f t="shared" si="0"/>
        <v>0.38397243543875248</v>
      </c>
      <c r="C44">
        <f t="shared" si="4"/>
        <v>1.0704259740259741</v>
      </c>
      <c r="D44">
        <f t="shared" si="5"/>
        <v>0.10545000000000009</v>
      </c>
      <c r="E44" s="4" t="s">
        <v>30</v>
      </c>
      <c r="F44">
        <f>C44*'Données géométriques'!$B$6/(2+('Données géométriques'!$B$6^2+4)^0.5)</f>
        <v>0.59334034811352443</v>
      </c>
      <c r="G44">
        <f>F44^2/(PI()*'Données géométriques'!$B$6)</f>
        <v>3.5012735285383144E-2</v>
      </c>
      <c r="H44">
        <f t="shared" ref="H44:H78" si="6">G44+D44</f>
        <v>0.14046273528538322</v>
      </c>
      <c r="I44" s="4" t="s">
        <v>30</v>
      </c>
      <c r="J44" s="4">
        <f>'1kts'!J$22</f>
        <v>-0.41152228571428573</v>
      </c>
      <c r="K44" s="4">
        <f>'1kts'!K$22</f>
        <v>0.92155428571428555</v>
      </c>
      <c r="L44" s="4">
        <f>'1kts'!L$22</f>
        <v>0.15152228571428572</v>
      </c>
    </row>
    <row r="45" spans="1:12" x14ac:dyDescent="0.25">
      <c r="A45">
        <f>A44+2</f>
        <v>24</v>
      </c>
      <c r="B45">
        <f t="shared" si="0"/>
        <v>0.41887902047863912</v>
      </c>
      <c r="C45">
        <f t="shared" si="4"/>
        <v>1.0389428571428572</v>
      </c>
      <c r="D45">
        <f t="shared" si="5"/>
        <v>0.1210100000000001</v>
      </c>
      <c r="E45" s="4" t="s">
        <v>30</v>
      </c>
      <c r="F45">
        <f>C45*'Données géométriques'!$B$6/(2+('Données géométriques'!$B$6^2+4)^0.5)</f>
        <v>0.57588916140430313</v>
      </c>
      <c r="G45">
        <f>F45^2/(PI()*'Données géométriques'!$B$6)</f>
        <v>3.2983450454828929E-2</v>
      </c>
      <c r="H45">
        <f t="shared" si="6"/>
        <v>0.15399345045482904</v>
      </c>
      <c r="I45" s="4" t="s">
        <v>30</v>
      </c>
      <c r="J45" s="4">
        <f>'1kts'!J$22</f>
        <v>-0.41152228571428573</v>
      </c>
      <c r="K45" s="4">
        <f>'1kts'!K$22</f>
        <v>0.92155428571428555</v>
      </c>
      <c r="L45" s="4">
        <f>'1kts'!L$22</f>
        <v>0.15152228571428572</v>
      </c>
    </row>
    <row r="46" spans="1:12" x14ac:dyDescent="0.25">
      <c r="A46">
        <f t="shared" ref="A46:A78" si="7">A45+2</f>
        <v>26</v>
      </c>
      <c r="B46">
        <f t="shared" si="0"/>
        <v>0.4537856055185257</v>
      </c>
      <c r="C46">
        <f t="shared" si="4"/>
        <v>1.0074597402597403</v>
      </c>
      <c r="D46">
        <f t="shared" si="5"/>
        <v>0.13657000000000014</v>
      </c>
      <c r="E46" s="4" t="s">
        <v>30</v>
      </c>
      <c r="F46">
        <f>C46*'Données géométriques'!$B$6/(2+('Données géométriques'!$B$6^2+4)^0.5)</f>
        <v>0.55843797469508183</v>
      </c>
      <c r="G46">
        <f>F46^2/(PI()*'Données géométriques'!$B$6)</f>
        <v>3.1014741290858426E-2</v>
      </c>
      <c r="H46">
        <f t="shared" si="6"/>
        <v>0.16758474129085857</v>
      </c>
      <c r="I46" s="4" t="s">
        <v>30</v>
      </c>
      <c r="J46" s="4">
        <f>'1kts'!J$22</f>
        <v>-0.41152228571428573</v>
      </c>
      <c r="K46" s="4">
        <f>'1kts'!K$22</f>
        <v>0.92155428571428555</v>
      </c>
      <c r="L46" s="4">
        <f>'1kts'!L$22</f>
        <v>0.15152228571428572</v>
      </c>
    </row>
    <row r="47" spans="1:12" x14ac:dyDescent="0.25">
      <c r="A47">
        <f t="shared" si="7"/>
        <v>28</v>
      </c>
      <c r="B47">
        <f t="shared" si="0"/>
        <v>0.48869219055841229</v>
      </c>
      <c r="C47">
        <f t="shared" si="4"/>
        <v>0.97597662337662339</v>
      </c>
      <c r="D47">
        <f t="shared" si="5"/>
        <v>0.15213000000000015</v>
      </c>
      <c r="E47" s="4" t="s">
        <v>30</v>
      </c>
      <c r="F47">
        <f>C47*'Données géométriques'!$B$6/(2+('Données géométriques'!$B$6^2+4)^0.5)</f>
        <v>0.54098678798586053</v>
      </c>
      <c r="G47">
        <f>F47^2/(PI()*'Données géométriques'!$B$6)</f>
        <v>2.9106607793471628E-2</v>
      </c>
      <c r="H47">
        <f t="shared" si="6"/>
        <v>0.18123660779347178</v>
      </c>
      <c r="I47" s="4" t="s">
        <v>30</v>
      </c>
      <c r="J47" s="4">
        <f>'1kts'!J$22</f>
        <v>-0.41152228571428573</v>
      </c>
      <c r="K47" s="4">
        <f>'1kts'!K$22</f>
        <v>0.92155428571428555</v>
      </c>
      <c r="L47" s="4">
        <f>'1kts'!L$22</f>
        <v>0.15152228571428572</v>
      </c>
    </row>
    <row r="48" spans="1:12" x14ac:dyDescent="0.25">
      <c r="A48">
        <f t="shared" si="7"/>
        <v>30</v>
      </c>
      <c r="B48">
        <f t="shared" si="0"/>
        <v>0.52359877559829882</v>
      </c>
      <c r="C48">
        <f t="shared" si="4"/>
        <v>0.9444935064935065</v>
      </c>
      <c r="D48">
        <f t="shared" si="5"/>
        <v>0.16769000000000017</v>
      </c>
      <c r="E48" s="4" t="s">
        <v>30</v>
      </c>
      <c r="F48">
        <f>C48*'Données géométriques'!$B$6/(2+('Données géométriques'!$B$6^2+4)^0.5)</f>
        <v>0.52353560127663923</v>
      </c>
      <c r="G48">
        <f>F48^2/(PI()*'Données géométriques'!$B$6)</f>
        <v>2.7259049962668539E-2</v>
      </c>
      <c r="H48">
        <f t="shared" si="6"/>
        <v>0.19494904996266871</v>
      </c>
      <c r="I48" s="4" t="s">
        <v>30</v>
      </c>
      <c r="J48" s="4">
        <f>'1kts'!J$22</f>
        <v>-0.41152228571428573</v>
      </c>
      <c r="K48" s="4">
        <f>'1kts'!K$22</f>
        <v>0.92155428571428555</v>
      </c>
      <c r="L48" s="4">
        <f>'1kts'!L$22</f>
        <v>0.15152228571428572</v>
      </c>
    </row>
    <row r="49" spans="1:12" x14ac:dyDescent="0.25">
      <c r="A49">
        <f t="shared" si="7"/>
        <v>32</v>
      </c>
      <c r="B49">
        <f t="shared" si="0"/>
        <v>0.55850536063818546</v>
      </c>
      <c r="C49">
        <f t="shared" si="4"/>
        <v>0.91301038961038961</v>
      </c>
      <c r="D49">
        <f t="shared" si="5"/>
        <v>0.18325000000000019</v>
      </c>
      <c r="E49" s="4" t="s">
        <v>30</v>
      </c>
      <c r="F49">
        <f>C49*'Données géométriques'!$B$6/(2+('Données géométriques'!$B$6^2+4)^0.5)</f>
        <v>0.50608441456741793</v>
      </c>
      <c r="G49">
        <f>F49^2/(PI()*'Données géométriques'!$B$6)</f>
        <v>2.5472067798449158E-2</v>
      </c>
      <c r="H49">
        <f t="shared" si="6"/>
        <v>0.20872206779844935</v>
      </c>
      <c r="I49" s="4" t="s">
        <v>30</v>
      </c>
      <c r="J49" s="4">
        <f>'1kts'!J$22</f>
        <v>-0.41152228571428573</v>
      </c>
      <c r="K49" s="4">
        <f>'1kts'!K$22</f>
        <v>0.92155428571428555</v>
      </c>
      <c r="L49" s="4">
        <f>'1kts'!L$22</f>
        <v>0.15152228571428572</v>
      </c>
    </row>
    <row r="50" spans="1:12" x14ac:dyDescent="0.25">
      <c r="A50">
        <f t="shared" si="7"/>
        <v>34</v>
      </c>
      <c r="B50">
        <f t="shared" si="0"/>
        <v>0.59341194567807209</v>
      </c>
      <c r="C50">
        <f t="shared" si="4"/>
        <v>0.88152727272727271</v>
      </c>
      <c r="D50">
        <f t="shared" si="5"/>
        <v>0.19881000000000021</v>
      </c>
      <c r="E50" s="4" t="s">
        <v>30</v>
      </c>
      <c r="F50">
        <f>C50*'Données géométriques'!$B$6/(2+('Données géométriques'!$B$6^2+4)^0.5)</f>
        <v>0.48863322785819657</v>
      </c>
      <c r="G50">
        <f>F50^2/(PI()*'Données géométriques'!$B$6)</f>
        <v>2.374566130081348E-2</v>
      </c>
      <c r="H50">
        <f t="shared" si="6"/>
        <v>0.2225556613008137</v>
      </c>
      <c r="I50" s="4" t="s">
        <v>30</v>
      </c>
      <c r="J50" s="4">
        <f>'1kts'!J$22</f>
        <v>-0.41152228571428573</v>
      </c>
      <c r="K50" s="4">
        <f>'1kts'!K$22</f>
        <v>0.92155428571428555</v>
      </c>
      <c r="L50" s="4">
        <f>'1kts'!L$22</f>
        <v>0.15152228571428572</v>
      </c>
    </row>
    <row r="51" spans="1:12" x14ac:dyDescent="0.25">
      <c r="A51">
        <f t="shared" si="7"/>
        <v>36</v>
      </c>
      <c r="B51">
        <f t="shared" si="0"/>
        <v>0.62831853071795862</v>
      </c>
      <c r="C51">
        <f t="shared" si="4"/>
        <v>0.85004415584415582</v>
      </c>
      <c r="D51">
        <f t="shared" si="5"/>
        <v>0.21437000000000023</v>
      </c>
      <c r="E51" s="4" t="s">
        <v>30</v>
      </c>
      <c r="F51">
        <f>C51*'Données géométriques'!$B$6/(2+('Données géométriques'!$B$6^2+4)^0.5)</f>
        <v>0.47118204114897533</v>
      </c>
      <c r="G51">
        <f>F51^2/(PI()*'Données géométriques'!$B$6)</f>
        <v>2.207983046976152E-2</v>
      </c>
      <c r="H51">
        <f t="shared" si="6"/>
        <v>0.23644983046976176</v>
      </c>
      <c r="I51" s="4" t="s">
        <v>30</v>
      </c>
      <c r="J51" s="4">
        <f>'1kts'!J$22</f>
        <v>-0.41152228571428573</v>
      </c>
      <c r="K51" s="4">
        <f>'1kts'!K$22</f>
        <v>0.92155428571428555</v>
      </c>
      <c r="L51" s="4">
        <f>'1kts'!L$22</f>
        <v>0.15152228571428572</v>
      </c>
    </row>
    <row r="52" spans="1:12" x14ac:dyDescent="0.25">
      <c r="A52">
        <f t="shared" si="7"/>
        <v>38</v>
      </c>
      <c r="B52">
        <f t="shared" si="0"/>
        <v>0.66322511575784526</v>
      </c>
      <c r="C52">
        <f t="shared" si="4"/>
        <v>0.81856103896103893</v>
      </c>
      <c r="D52">
        <f t="shared" si="5"/>
        <v>0.22993000000000025</v>
      </c>
      <c r="E52" s="4" t="s">
        <v>30</v>
      </c>
      <c r="F52">
        <f>C52*'Données géométriques'!$B$6/(2+('Données géométriques'!$B$6^2+4)^0.5)</f>
        <v>0.45373085443975397</v>
      </c>
      <c r="G52">
        <f>F52^2/(PI()*'Données géométriques'!$B$6)</f>
        <v>2.0474575305293258E-2</v>
      </c>
      <c r="H52">
        <f t="shared" si="6"/>
        <v>0.25040457530529348</v>
      </c>
      <c r="I52" s="4" t="s">
        <v>30</v>
      </c>
      <c r="J52" s="4">
        <f>'1kts'!J$22</f>
        <v>-0.41152228571428573</v>
      </c>
      <c r="K52" s="4">
        <f>'1kts'!K$22</f>
        <v>0.92155428571428555</v>
      </c>
      <c r="L52" s="4">
        <f>'1kts'!L$22</f>
        <v>0.15152228571428572</v>
      </c>
    </row>
    <row r="53" spans="1:12" x14ac:dyDescent="0.25">
      <c r="A53">
        <f t="shared" si="7"/>
        <v>40</v>
      </c>
      <c r="B53">
        <f t="shared" si="0"/>
        <v>0.69813170079773179</v>
      </c>
      <c r="C53">
        <f t="shared" si="4"/>
        <v>0.78707792207792204</v>
      </c>
      <c r="D53">
        <f t="shared" si="5"/>
        <v>0.24549000000000026</v>
      </c>
      <c r="E53" s="4" t="s">
        <v>30</v>
      </c>
      <c r="F53">
        <f>C53*'Données géométriques'!$B$6/(2+('Données géométriques'!$B$6^2+4)^0.5)</f>
        <v>0.43627966773053267</v>
      </c>
      <c r="G53">
        <f>F53^2/(PI()*'Données géométriques'!$B$6)</f>
        <v>1.8929895807408708E-2</v>
      </c>
      <c r="H53">
        <f t="shared" si="6"/>
        <v>0.26441989580740899</v>
      </c>
      <c r="I53" s="4" t="s">
        <v>30</v>
      </c>
      <c r="J53" s="4">
        <f>'1kts'!J$22</f>
        <v>-0.41152228571428573</v>
      </c>
      <c r="K53" s="4">
        <f>'1kts'!K$22</f>
        <v>0.92155428571428555</v>
      </c>
      <c r="L53" s="4">
        <f>'1kts'!L$22</f>
        <v>0.15152228571428572</v>
      </c>
    </row>
    <row r="54" spans="1:12" x14ac:dyDescent="0.25">
      <c r="A54">
        <f t="shared" si="7"/>
        <v>42</v>
      </c>
      <c r="B54">
        <f t="shared" si="0"/>
        <v>0.73303828583761843</v>
      </c>
      <c r="C54">
        <f t="shared" si="4"/>
        <v>0.75559480519480515</v>
      </c>
      <c r="D54">
        <f t="shared" si="5"/>
        <v>0.26105000000000028</v>
      </c>
      <c r="E54" s="4" t="s">
        <v>30</v>
      </c>
      <c r="F54">
        <f>C54*'Données géométriques'!$B$6/(2+('Données géométriques'!$B$6^2+4)^0.5)</f>
        <v>0.41882848102131132</v>
      </c>
      <c r="G54">
        <f>F54^2/(PI()*'Données géométriques'!$B$6)</f>
        <v>1.744579197610786E-2</v>
      </c>
      <c r="H54">
        <f t="shared" si="6"/>
        <v>0.27849579197610813</v>
      </c>
      <c r="I54" s="4" t="s">
        <v>30</v>
      </c>
      <c r="J54" s="4">
        <f>'1kts'!J$22</f>
        <v>-0.41152228571428573</v>
      </c>
      <c r="K54" s="4">
        <f>'1kts'!K$22</f>
        <v>0.92155428571428555</v>
      </c>
      <c r="L54" s="4">
        <f>'1kts'!L$22</f>
        <v>0.15152228571428572</v>
      </c>
    </row>
    <row r="55" spans="1:12" x14ac:dyDescent="0.25">
      <c r="A55">
        <f t="shared" si="7"/>
        <v>44</v>
      </c>
      <c r="B55">
        <f t="shared" si="0"/>
        <v>0.76794487087750496</v>
      </c>
      <c r="C55">
        <f t="shared" si="4"/>
        <v>0.72411168831168826</v>
      </c>
      <c r="D55">
        <f t="shared" si="5"/>
        <v>0.2766100000000003</v>
      </c>
      <c r="E55" s="4" t="s">
        <v>30</v>
      </c>
      <c r="F55">
        <f>C55*'Données géométriques'!$B$6/(2+('Données géométriques'!$B$6^2+4)^0.5)</f>
        <v>0.40137729431209007</v>
      </c>
      <c r="G55">
        <f>F55^2/(PI()*'Données géométriques'!$B$6)</f>
        <v>1.6022263811390731E-2</v>
      </c>
      <c r="H55">
        <f t="shared" si="6"/>
        <v>0.29263226381139101</v>
      </c>
      <c r="I55" s="4" t="s">
        <v>30</v>
      </c>
      <c r="J55" s="4">
        <f>'1kts'!J$22</f>
        <v>-0.41152228571428573</v>
      </c>
      <c r="K55" s="4">
        <f>'1kts'!K$22</f>
        <v>0.92155428571428555</v>
      </c>
      <c r="L55" s="4">
        <f>'1kts'!L$22</f>
        <v>0.15152228571428572</v>
      </c>
    </row>
    <row r="56" spans="1:12" x14ac:dyDescent="0.25">
      <c r="A56">
        <f t="shared" si="7"/>
        <v>46</v>
      </c>
      <c r="B56">
        <f t="shared" si="0"/>
        <v>0.8028514559173916</v>
      </c>
      <c r="C56">
        <f t="shared" si="4"/>
        <v>0.69262857142857137</v>
      </c>
      <c r="D56">
        <f t="shared" si="5"/>
        <v>0.29217000000000032</v>
      </c>
      <c r="E56" s="4" t="s">
        <v>30</v>
      </c>
      <c r="F56">
        <f>C56*'Données géométriques'!$B$6/(2+('Données géométriques'!$B$6^2+4)^0.5)</f>
        <v>0.38392610760286872</v>
      </c>
      <c r="G56">
        <f>F56^2/(PI()*'Données géométriques'!$B$6)</f>
        <v>1.4659311313257298E-2</v>
      </c>
      <c r="H56">
        <f t="shared" si="6"/>
        <v>0.30682931131325764</v>
      </c>
      <c r="I56" s="4" t="s">
        <v>30</v>
      </c>
      <c r="J56" s="4">
        <f>'1kts'!J$22</f>
        <v>-0.41152228571428573</v>
      </c>
      <c r="K56" s="4">
        <f>'1kts'!K$22</f>
        <v>0.92155428571428555</v>
      </c>
      <c r="L56" s="4">
        <f>'1kts'!L$22</f>
        <v>0.15152228571428572</v>
      </c>
    </row>
    <row r="57" spans="1:12" x14ac:dyDescent="0.25">
      <c r="A57">
        <f t="shared" si="7"/>
        <v>48</v>
      </c>
      <c r="B57">
        <f t="shared" si="0"/>
        <v>0.83775804095727824</v>
      </c>
      <c r="C57">
        <f t="shared" si="4"/>
        <v>0.66114545454545459</v>
      </c>
      <c r="D57">
        <f t="shared" si="5"/>
        <v>0.30773000000000034</v>
      </c>
      <c r="E57" s="4" t="s">
        <v>30</v>
      </c>
      <c r="F57">
        <f>C57*'Données géométriques'!$B$6/(2+('Données géométriques'!$B$6^2+4)^0.5)</f>
        <v>0.36647492089364747</v>
      </c>
      <c r="G57">
        <f>F57^2/(PI()*'Données géométriques'!$B$6)</f>
        <v>1.3356934481707586E-2</v>
      </c>
      <c r="H57">
        <f t="shared" si="6"/>
        <v>0.32108693448170794</v>
      </c>
      <c r="I57" s="4" t="s">
        <v>30</v>
      </c>
      <c r="J57" s="4">
        <f>'1kts'!J$22</f>
        <v>-0.41152228571428573</v>
      </c>
      <c r="K57" s="4">
        <f>'1kts'!K$22</f>
        <v>0.92155428571428555</v>
      </c>
      <c r="L57" s="4">
        <f>'1kts'!L$22</f>
        <v>0.15152228571428572</v>
      </c>
    </row>
    <row r="58" spans="1:12" x14ac:dyDescent="0.25">
      <c r="A58">
        <f t="shared" si="7"/>
        <v>50</v>
      </c>
      <c r="B58">
        <f t="shared" si="0"/>
        <v>0.87266462599716477</v>
      </c>
      <c r="C58">
        <f t="shared" si="4"/>
        <v>0.62966233766233759</v>
      </c>
      <c r="D58">
        <f t="shared" si="5"/>
        <v>0.32329000000000035</v>
      </c>
      <c r="E58" s="4" t="s">
        <v>30</v>
      </c>
      <c r="F58">
        <f>C58*'Données géométriques'!$B$6/(2+('Données géométriques'!$B$6^2+4)^0.5)</f>
        <v>0.34902373418442612</v>
      </c>
      <c r="G58">
        <f>F58^2/(PI()*'Données géométriques'!$B$6)</f>
        <v>1.2115133316741571E-2</v>
      </c>
      <c r="H58">
        <f t="shared" si="6"/>
        <v>0.33540513331674193</v>
      </c>
      <c r="I58" s="4" t="s">
        <v>30</v>
      </c>
      <c r="J58" s="4">
        <f>'1kts'!J$22</f>
        <v>-0.41152228571428573</v>
      </c>
      <c r="K58" s="4">
        <f>'1kts'!K$22</f>
        <v>0.92155428571428555</v>
      </c>
      <c r="L58" s="4">
        <f>'1kts'!L$22</f>
        <v>0.15152228571428572</v>
      </c>
    </row>
    <row r="59" spans="1:12" x14ac:dyDescent="0.25">
      <c r="A59">
        <f t="shared" si="7"/>
        <v>52</v>
      </c>
      <c r="B59">
        <f t="shared" si="0"/>
        <v>0.90757121103705141</v>
      </c>
      <c r="C59">
        <f t="shared" si="4"/>
        <v>0.5981792207792207</v>
      </c>
      <c r="D59">
        <f t="shared" si="5"/>
        <v>0.33885000000000037</v>
      </c>
      <c r="E59" s="4" t="s">
        <v>30</v>
      </c>
      <c r="F59">
        <f>C59*'Données géométriques'!$B$6/(2+('Données géométriques'!$B$6^2+4)^0.5)</f>
        <v>0.33157254747520482</v>
      </c>
      <c r="G59">
        <f>F59^2/(PI()*'Données géométriques'!$B$6)</f>
        <v>1.0933907818359269E-2</v>
      </c>
      <c r="H59">
        <f t="shared" si="6"/>
        <v>0.34978390781835966</v>
      </c>
      <c r="I59" s="4" t="s">
        <v>30</v>
      </c>
      <c r="J59" s="4">
        <f>'1kts'!J$22</f>
        <v>-0.41152228571428573</v>
      </c>
      <c r="K59" s="4">
        <f>'1kts'!K$22</f>
        <v>0.92155428571428555</v>
      </c>
      <c r="L59" s="4">
        <f>'1kts'!L$22</f>
        <v>0.15152228571428572</v>
      </c>
    </row>
    <row r="60" spans="1:12" x14ac:dyDescent="0.25">
      <c r="A60">
        <f t="shared" si="7"/>
        <v>54</v>
      </c>
      <c r="B60">
        <f t="shared" si="0"/>
        <v>0.94247779607693793</v>
      </c>
      <c r="C60">
        <f t="shared" si="4"/>
        <v>0.56669610389610381</v>
      </c>
      <c r="D60">
        <f t="shared" si="5"/>
        <v>0.35441000000000039</v>
      </c>
      <c r="E60" s="4" t="s">
        <v>30</v>
      </c>
      <c r="F60">
        <f>C60*'Données géométriques'!$B$6/(2+('Données géométriques'!$B$6^2+4)^0.5)</f>
        <v>0.31412136076598346</v>
      </c>
      <c r="G60">
        <f>F60^2/(PI()*'Données géométriques'!$B$6)</f>
        <v>9.8132579865606688E-3</v>
      </c>
      <c r="H60">
        <f t="shared" si="6"/>
        <v>0.36422325798656108</v>
      </c>
      <c r="I60" s="4" t="s">
        <v>30</v>
      </c>
      <c r="J60" s="4">
        <f>'1kts'!J$22</f>
        <v>-0.41152228571428573</v>
      </c>
      <c r="K60" s="4">
        <f>'1kts'!K$22</f>
        <v>0.92155428571428555</v>
      </c>
      <c r="L60" s="4">
        <f>'1kts'!L$22</f>
        <v>0.15152228571428572</v>
      </c>
    </row>
    <row r="61" spans="1:12" x14ac:dyDescent="0.25">
      <c r="A61">
        <f t="shared" si="7"/>
        <v>56</v>
      </c>
      <c r="B61">
        <f t="shared" si="0"/>
        <v>0.97738438111682457</v>
      </c>
      <c r="C61">
        <f t="shared" si="4"/>
        <v>0.53521298701298703</v>
      </c>
      <c r="D61">
        <f t="shared" si="5"/>
        <v>0.36997000000000041</v>
      </c>
      <c r="E61" s="4" t="s">
        <v>30</v>
      </c>
      <c r="F61">
        <f>C61*'Données géométriques'!$B$6/(2+('Données géométriques'!$B$6^2+4)^0.5)</f>
        <v>0.29667017405676221</v>
      </c>
      <c r="G61">
        <f>F61^2/(PI()*'Données géométriques'!$B$6)</f>
        <v>8.753183821345786E-3</v>
      </c>
      <c r="H61">
        <f t="shared" si="6"/>
        <v>0.37872318382134618</v>
      </c>
      <c r="I61" s="4" t="s">
        <v>30</v>
      </c>
      <c r="J61" s="4">
        <f>'1kts'!J$22</f>
        <v>-0.41152228571428573</v>
      </c>
      <c r="K61" s="4">
        <f>'1kts'!K$22</f>
        <v>0.92155428571428555</v>
      </c>
      <c r="L61" s="4">
        <f>'1kts'!L$22</f>
        <v>0.15152228571428572</v>
      </c>
    </row>
    <row r="62" spans="1:12" x14ac:dyDescent="0.25">
      <c r="A62">
        <f t="shared" si="7"/>
        <v>58</v>
      </c>
      <c r="B62">
        <f t="shared" si="0"/>
        <v>1.0122909661567112</v>
      </c>
      <c r="C62">
        <f t="shared" si="4"/>
        <v>0.50372987012987014</v>
      </c>
      <c r="D62">
        <f t="shared" si="5"/>
        <v>0.38553000000000043</v>
      </c>
      <c r="E62" s="4" t="s">
        <v>30</v>
      </c>
      <c r="F62">
        <f>C62*'Données géométriques'!$B$6/(2+('Données géométriques'!$B$6^2+4)^0.5)</f>
        <v>0.27921898734754091</v>
      </c>
      <c r="G62">
        <f>F62^2/(PI()*'Données géométriques'!$B$6)</f>
        <v>7.7536853227146065E-3</v>
      </c>
      <c r="H62">
        <f t="shared" si="6"/>
        <v>0.39328368532271502</v>
      </c>
      <c r="I62" s="4" t="s">
        <v>30</v>
      </c>
      <c r="J62" s="4">
        <f>'1kts'!J$22</f>
        <v>-0.41152228571428573</v>
      </c>
      <c r="K62" s="4">
        <f>'1kts'!K$22</f>
        <v>0.92155428571428555</v>
      </c>
      <c r="L62" s="4">
        <f>'1kts'!L$22</f>
        <v>0.15152228571428572</v>
      </c>
    </row>
    <row r="63" spans="1:12" x14ac:dyDescent="0.25">
      <c r="A63">
        <f t="shared" si="7"/>
        <v>60</v>
      </c>
      <c r="B63">
        <f t="shared" si="0"/>
        <v>1.0471975511965976</v>
      </c>
      <c r="C63">
        <f t="shared" si="4"/>
        <v>0.47224675324675325</v>
      </c>
      <c r="D63">
        <f t="shared" si="5"/>
        <v>0.40109000000000045</v>
      </c>
      <c r="E63" s="4" t="s">
        <v>30</v>
      </c>
      <c r="F63">
        <f>C63*'Données géométriques'!$B$6/(2+('Données géométriques'!$B$6^2+4)^0.5)</f>
        <v>0.26176780063831961</v>
      </c>
      <c r="G63">
        <f>F63^2/(PI()*'Données géométriques'!$B$6)</f>
        <v>6.8147624906671348E-3</v>
      </c>
      <c r="H63">
        <f t="shared" si="6"/>
        <v>0.40790476249066759</v>
      </c>
      <c r="I63" s="4" t="s">
        <v>30</v>
      </c>
      <c r="J63" s="4">
        <f>'1kts'!J$22</f>
        <v>-0.41152228571428573</v>
      </c>
      <c r="K63" s="4">
        <f>'1kts'!K$22</f>
        <v>0.92155428571428555</v>
      </c>
      <c r="L63" s="4">
        <f>'1kts'!L$22</f>
        <v>0.15152228571428572</v>
      </c>
    </row>
    <row r="64" spans="1:12" x14ac:dyDescent="0.25">
      <c r="A64">
        <f t="shared" si="7"/>
        <v>62</v>
      </c>
      <c r="B64">
        <f t="shared" si="0"/>
        <v>1.0821041362364843</v>
      </c>
      <c r="C64">
        <f t="shared" si="4"/>
        <v>0.44076363636363636</v>
      </c>
      <c r="D64">
        <f t="shared" si="5"/>
        <v>0.41665000000000046</v>
      </c>
      <c r="E64" s="4" t="s">
        <v>30</v>
      </c>
      <c r="F64">
        <f>C64*'Données géométriques'!$B$6/(2+('Données géométriques'!$B$6^2+4)^0.5)</f>
        <v>0.24431661392909829</v>
      </c>
      <c r="G64">
        <f>F64^2/(PI()*'Données géométriques'!$B$6)</f>
        <v>5.9364153252033699E-3</v>
      </c>
      <c r="H64">
        <f t="shared" si="6"/>
        <v>0.42258641532520386</v>
      </c>
      <c r="I64" s="4" t="s">
        <v>30</v>
      </c>
      <c r="J64" s="4">
        <f>'1kts'!J$22</f>
        <v>-0.41152228571428573</v>
      </c>
      <c r="K64" s="4">
        <f>'1kts'!K$22</f>
        <v>0.92155428571428555</v>
      </c>
      <c r="L64" s="4">
        <f>'1kts'!L$22</f>
        <v>0.15152228571428572</v>
      </c>
    </row>
    <row r="65" spans="1:12" x14ac:dyDescent="0.25">
      <c r="A65">
        <f t="shared" si="7"/>
        <v>64</v>
      </c>
      <c r="B65">
        <f t="shared" si="0"/>
        <v>1.1170107212763709</v>
      </c>
      <c r="C65">
        <f t="shared" si="4"/>
        <v>0.40928051948051947</v>
      </c>
      <c r="D65">
        <f t="shared" si="5"/>
        <v>0.43221000000000048</v>
      </c>
      <c r="E65" s="4" t="s">
        <v>30</v>
      </c>
      <c r="F65">
        <f>C65*'Données géométriques'!$B$6/(2+('Données géométriques'!$B$6^2+4)^0.5)</f>
        <v>0.22686542721987699</v>
      </c>
      <c r="G65">
        <f>F65^2/(PI()*'Données géométriques'!$B$6)</f>
        <v>5.1186438263233144E-3</v>
      </c>
      <c r="H65">
        <f t="shared" si="6"/>
        <v>0.4373286438263238</v>
      </c>
      <c r="I65" s="4" t="s">
        <v>30</v>
      </c>
      <c r="J65" s="4">
        <f>'1kts'!J$22</f>
        <v>-0.41152228571428573</v>
      </c>
      <c r="K65" s="4">
        <f>'1kts'!K$22</f>
        <v>0.92155428571428555</v>
      </c>
      <c r="L65" s="4">
        <f>'1kts'!L$22</f>
        <v>0.15152228571428572</v>
      </c>
    </row>
    <row r="66" spans="1:12" x14ac:dyDescent="0.25">
      <c r="A66">
        <f t="shared" si="7"/>
        <v>66</v>
      </c>
      <c r="B66">
        <f t="shared" si="0"/>
        <v>1.1519173063162575</v>
      </c>
      <c r="C66">
        <f t="shared" si="4"/>
        <v>0.37779740259740258</v>
      </c>
      <c r="D66">
        <f t="shared" si="5"/>
        <v>0.4477700000000005</v>
      </c>
      <c r="E66" s="4" t="s">
        <v>30</v>
      </c>
      <c r="F66">
        <f>C66*'Données géométriques'!$B$6/(2+('Données géométriques'!$B$6^2+4)^0.5)</f>
        <v>0.20941424051065566</v>
      </c>
      <c r="G66">
        <f>F66^2/(PI()*'Données géométriques'!$B$6)</f>
        <v>4.361447994026965E-3</v>
      </c>
      <c r="H66">
        <f t="shared" si="6"/>
        <v>0.45213144799402749</v>
      </c>
      <c r="I66" s="4" t="s">
        <v>30</v>
      </c>
      <c r="J66" s="4">
        <f>'1kts'!J$22</f>
        <v>-0.41152228571428573</v>
      </c>
      <c r="K66" s="4">
        <f>'1kts'!K$22</f>
        <v>0.92155428571428555</v>
      </c>
      <c r="L66" s="4">
        <f>'1kts'!L$22</f>
        <v>0.15152228571428572</v>
      </c>
    </row>
    <row r="67" spans="1:12" x14ac:dyDescent="0.25">
      <c r="A67">
        <f t="shared" si="7"/>
        <v>68</v>
      </c>
      <c r="B67">
        <f t="shared" si="0"/>
        <v>1.1868238913561442</v>
      </c>
      <c r="C67">
        <f t="shared" si="4"/>
        <v>0.34631428571428569</v>
      </c>
      <c r="D67">
        <f t="shared" si="5"/>
        <v>0.46333000000000052</v>
      </c>
      <c r="E67" s="4" t="s">
        <v>30</v>
      </c>
      <c r="F67">
        <f>C67*'Données géométriques'!$B$6/(2+('Données géométriques'!$B$6^2+4)^0.5)</f>
        <v>0.19196305380143436</v>
      </c>
      <c r="G67">
        <f>F67^2/(PI()*'Données géométriques'!$B$6)</f>
        <v>3.6648278283143245E-3</v>
      </c>
      <c r="H67">
        <f t="shared" si="6"/>
        <v>0.46699482782831486</v>
      </c>
      <c r="I67" s="4" t="s">
        <v>30</v>
      </c>
      <c r="J67" s="4">
        <f>'1kts'!J$22</f>
        <v>-0.41152228571428573</v>
      </c>
      <c r="K67" s="4">
        <f>'1kts'!K$22</f>
        <v>0.92155428571428555</v>
      </c>
      <c r="L67" s="4">
        <f>'1kts'!L$22</f>
        <v>0.15152228571428572</v>
      </c>
    </row>
    <row r="68" spans="1:12" x14ac:dyDescent="0.25">
      <c r="A68">
        <f t="shared" si="7"/>
        <v>70</v>
      </c>
      <c r="B68">
        <f t="shared" si="0"/>
        <v>1.2217304763960306</v>
      </c>
      <c r="C68">
        <f t="shared" si="4"/>
        <v>0.3148311688311688</v>
      </c>
      <c r="D68">
        <f t="shared" si="5"/>
        <v>0.47889000000000054</v>
      </c>
      <c r="E68" s="4" t="s">
        <v>30</v>
      </c>
      <c r="F68">
        <f>C68*'Données géométriques'!$B$6/(2+('Données géométriques'!$B$6^2+4)^0.5)</f>
        <v>0.17451186709221306</v>
      </c>
      <c r="G68">
        <f>F68^2/(PI()*'Données géométriques'!$B$6)</f>
        <v>3.0287833291853927E-3</v>
      </c>
      <c r="H68">
        <f t="shared" si="6"/>
        <v>0.48191878332918592</v>
      </c>
      <c r="I68" s="4" t="s">
        <v>30</v>
      </c>
      <c r="J68" s="4">
        <f>'1kts'!J$22</f>
        <v>-0.41152228571428573</v>
      </c>
      <c r="K68" s="4">
        <f>'1kts'!K$22</f>
        <v>0.92155428571428555</v>
      </c>
      <c r="L68" s="4">
        <f>'1kts'!L$22</f>
        <v>0.15152228571428572</v>
      </c>
    </row>
    <row r="69" spans="1:12" x14ac:dyDescent="0.25">
      <c r="A69">
        <f t="shared" si="7"/>
        <v>72</v>
      </c>
      <c r="B69">
        <f t="shared" ref="B69:B78" si="8">RADIANS(A69)</f>
        <v>1.2566370614359172</v>
      </c>
      <c r="C69">
        <f t="shared" si="4"/>
        <v>0.2833480519480519</v>
      </c>
      <c r="D69">
        <f t="shared" si="5"/>
        <v>0.49445000000000056</v>
      </c>
      <c r="E69" s="4" t="s">
        <v>30</v>
      </c>
      <c r="F69">
        <f>C69*'Données géométriques'!$B$6/(2+('Données géométriques'!$B$6^2+4)^0.5)</f>
        <v>0.15706068038299173</v>
      </c>
      <c r="G69">
        <f>F69^2/(PI()*'Données géométriques'!$B$6)</f>
        <v>2.4533144966401672E-3</v>
      </c>
      <c r="H69">
        <f t="shared" si="6"/>
        <v>0.49690331449664071</v>
      </c>
      <c r="I69" s="4" t="s">
        <v>30</v>
      </c>
      <c r="J69" s="4">
        <f>'1kts'!J$22</f>
        <v>-0.41152228571428573</v>
      </c>
      <c r="K69" s="4">
        <f>'1kts'!K$22</f>
        <v>0.92155428571428555</v>
      </c>
      <c r="L69" s="4">
        <f>'1kts'!L$22</f>
        <v>0.15152228571428572</v>
      </c>
    </row>
    <row r="70" spans="1:12" x14ac:dyDescent="0.25">
      <c r="A70">
        <f t="shared" si="7"/>
        <v>74</v>
      </c>
      <c r="B70">
        <f t="shared" si="8"/>
        <v>1.2915436464758039</v>
      </c>
      <c r="C70">
        <f t="shared" si="4"/>
        <v>0.25186493506493507</v>
      </c>
      <c r="D70">
        <f t="shared" si="5"/>
        <v>0.51001000000000052</v>
      </c>
      <c r="E70" s="4" t="s">
        <v>30</v>
      </c>
      <c r="F70">
        <f>C70*'Données géométriques'!$B$6/(2+('Données géométriques'!$B$6^2+4)^0.5)</f>
        <v>0.13960949367377046</v>
      </c>
      <c r="G70">
        <f>F70^2/(PI()*'Données géométriques'!$B$6)</f>
        <v>1.9384213306786516E-3</v>
      </c>
      <c r="H70">
        <f t="shared" si="6"/>
        <v>0.51194842133067919</v>
      </c>
      <c r="I70" s="4" t="s">
        <v>30</v>
      </c>
      <c r="J70" s="4">
        <f>'1kts'!J$22</f>
        <v>-0.41152228571428573</v>
      </c>
      <c r="K70" s="4">
        <f>'1kts'!K$22</f>
        <v>0.92155428571428555</v>
      </c>
      <c r="L70" s="4">
        <f>'1kts'!L$22</f>
        <v>0.15152228571428572</v>
      </c>
    </row>
    <row r="71" spans="1:12" x14ac:dyDescent="0.25">
      <c r="A71">
        <f t="shared" si="7"/>
        <v>76</v>
      </c>
      <c r="B71">
        <f t="shared" si="8"/>
        <v>1.3264502315156905</v>
      </c>
      <c r="C71">
        <f t="shared" si="4"/>
        <v>0.22038181818181818</v>
      </c>
      <c r="D71">
        <f t="shared" si="5"/>
        <v>0.52557000000000054</v>
      </c>
      <c r="E71" s="4" t="s">
        <v>30</v>
      </c>
      <c r="F71">
        <f>C71*'Données géométriques'!$B$6/(2+('Données géométriques'!$B$6^2+4)^0.5)</f>
        <v>0.12215830696454914</v>
      </c>
      <c r="G71">
        <f>F71^2/(PI()*'Données géométriques'!$B$6)</f>
        <v>1.4841038313008425E-3</v>
      </c>
      <c r="H71">
        <f t="shared" si="6"/>
        <v>0.52705410383130136</v>
      </c>
      <c r="I71" s="4" t="s">
        <v>30</v>
      </c>
      <c r="J71" s="4">
        <f>'1kts'!J$22</f>
        <v>-0.41152228571428573</v>
      </c>
      <c r="K71" s="4">
        <f>'1kts'!K$22</f>
        <v>0.92155428571428555</v>
      </c>
      <c r="L71" s="4">
        <f>'1kts'!L$22</f>
        <v>0.15152228571428572</v>
      </c>
    </row>
    <row r="72" spans="1:12" x14ac:dyDescent="0.25">
      <c r="A72">
        <f t="shared" si="7"/>
        <v>78</v>
      </c>
      <c r="B72">
        <f t="shared" si="8"/>
        <v>1.3613568165555769</v>
      </c>
      <c r="C72">
        <f t="shared" si="4"/>
        <v>0.18889870129870129</v>
      </c>
      <c r="D72">
        <f t="shared" si="5"/>
        <v>0.54113000000000056</v>
      </c>
      <c r="E72" s="4" t="s">
        <v>30</v>
      </c>
      <c r="F72">
        <f>C72*'Données géométriques'!$B$6/(2+('Données géométriques'!$B$6^2+4)^0.5)</f>
        <v>0.10470712025532783</v>
      </c>
      <c r="G72">
        <f>F72^2/(PI()*'Données géométriques'!$B$6)</f>
        <v>1.0903619985067412E-3</v>
      </c>
      <c r="H72">
        <f t="shared" si="6"/>
        <v>0.54222036199850732</v>
      </c>
      <c r="I72" s="4" t="s">
        <v>30</v>
      </c>
      <c r="J72" s="4">
        <f>'1kts'!J$22</f>
        <v>-0.41152228571428573</v>
      </c>
      <c r="K72" s="4">
        <f>'1kts'!K$22</f>
        <v>0.92155428571428555</v>
      </c>
      <c r="L72" s="4">
        <f>'1kts'!L$22</f>
        <v>0.15152228571428572</v>
      </c>
    </row>
    <row r="73" spans="1:12" x14ac:dyDescent="0.25">
      <c r="A73">
        <f t="shared" si="7"/>
        <v>80</v>
      </c>
      <c r="B73">
        <f t="shared" si="8"/>
        <v>1.3962634015954636</v>
      </c>
      <c r="C73">
        <f t="shared" si="4"/>
        <v>0.1574155844155844</v>
      </c>
      <c r="D73">
        <f t="shared" si="5"/>
        <v>0.55669000000000057</v>
      </c>
      <c r="E73" s="4" t="s">
        <v>30</v>
      </c>
      <c r="F73">
        <f>C73*'Données géométriques'!$B$6/(2+('Données géométriques'!$B$6^2+4)^0.5)</f>
        <v>8.7255933546106529E-2</v>
      </c>
      <c r="G73">
        <f>F73^2/(PI()*'Données géométriques'!$B$6)</f>
        <v>7.5719583229634816E-4</v>
      </c>
      <c r="H73">
        <f t="shared" si="6"/>
        <v>0.55744719583229696</v>
      </c>
      <c r="I73" s="4" t="s">
        <v>30</v>
      </c>
      <c r="J73" s="4">
        <f>'1kts'!J$22</f>
        <v>-0.41152228571428573</v>
      </c>
      <c r="K73" s="4">
        <f>'1kts'!K$22</f>
        <v>0.92155428571428555</v>
      </c>
      <c r="L73" s="4">
        <f>'1kts'!L$22</f>
        <v>0.15152228571428572</v>
      </c>
    </row>
    <row r="74" spans="1:12" x14ac:dyDescent="0.25">
      <c r="A74">
        <f t="shared" si="7"/>
        <v>82</v>
      </c>
      <c r="B74">
        <f t="shared" si="8"/>
        <v>1.4311699866353502</v>
      </c>
      <c r="C74">
        <f t="shared" si="4"/>
        <v>0.12593246753246753</v>
      </c>
      <c r="D74">
        <f t="shared" si="5"/>
        <v>0.57225000000000059</v>
      </c>
      <c r="E74" s="4" t="s">
        <v>30</v>
      </c>
      <c r="F74">
        <f>C74*'Données géométriques'!$B$6/(2+('Données géométriques'!$B$6^2+4)^0.5)</f>
        <v>6.9804746836885229E-2</v>
      </c>
      <c r="G74">
        <f>F74^2/(PI()*'Données géométriques'!$B$6)</f>
        <v>4.8460533266966291E-4</v>
      </c>
      <c r="H74">
        <f t="shared" si="6"/>
        <v>0.57273460533267029</v>
      </c>
      <c r="I74" s="4" t="s">
        <v>30</v>
      </c>
      <c r="J74" s="4">
        <f>'1kts'!J$22</f>
        <v>-0.41152228571428573</v>
      </c>
      <c r="K74" s="4">
        <f>'1kts'!K$22</f>
        <v>0.92155428571428555</v>
      </c>
      <c r="L74" s="4">
        <f>'1kts'!L$22</f>
        <v>0.15152228571428572</v>
      </c>
    </row>
    <row r="75" spans="1:12" x14ac:dyDescent="0.25">
      <c r="A75">
        <f t="shared" si="7"/>
        <v>84</v>
      </c>
      <c r="B75">
        <f t="shared" si="8"/>
        <v>1.4660765716752369</v>
      </c>
      <c r="C75">
        <f t="shared" si="4"/>
        <v>9.4449350649350644E-2</v>
      </c>
      <c r="D75">
        <f t="shared" si="5"/>
        <v>0.58781000000000061</v>
      </c>
      <c r="E75" s="4" t="s">
        <v>30</v>
      </c>
      <c r="F75">
        <f>C75*'Données géométriques'!$B$6/(2+('Données géométriques'!$B$6^2+4)^0.5)</f>
        <v>5.2353560127663915E-2</v>
      </c>
      <c r="G75">
        <f>F75^2/(PI()*'Données géométriques'!$B$6)</f>
        <v>2.7259049962668531E-4</v>
      </c>
      <c r="H75">
        <f t="shared" si="6"/>
        <v>0.5880825904996273</v>
      </c>
      <c r="I75" s="4" t="s">
        <v>30</v>
      </c>
      <c r="J75" s="4">
        <f>'1kts'!J$22</f>
        <v>-0.41152228571428573</v>
      </c>
      <c r="K75" s="4">
        <f>'1kts'!K$22</f>
        <v>0.92155428571428555</v>
      </c>
      <c r="L75" s="4">
        <f>'1kts'!L$22</f>
        <v>0.15152228571428572</v>
      </c>
    </row>
    <row r="76" spans="1:12" x14ac:dyDescent="0.25">
      <c r="A76">
        <f t="shared" si="7"/>
        <v>86</v>
      </c>
      <c r="B76">
        <f t="shared" si="8"/>
        <v>1.5009831567151235</v>
      </c>
      <c r="C76">
        <f t="shared" si="4"/>
        <v>6.2966233766233767E-2</v>
      </c>
      <c r="D76">
        <f t="shared" si="5"/>
        <v>0.60337000000000063</v>
      </c>
      <c r="E76" s="4" t="s">
        <v>30</v>
      </c>
      <c r="F76">
        <f>C76*'Données géométriques'!$B$6/(2+('Données géométriques'!$B$6^2+4)^0.5)</f>
        <v>3.4902373418442614E-2</v>
      </c>
      <c r="G76">
        <f>F76^2/(PI()*'Données géométriques'!$B$6)</f>
        <v>1.2115133316741573E-4</v>
      </c>
      <c r="H76">
        <f t="shared" si="6"/>
        <v>0.603491151333168</v>
      </c>
      <c r="I76" s="4" t="s">
        <v>30</v>
      </c>
      <c r="J76" s="4">
        <f>'1kts'!J$22</f>
        <v>-0.41152228571428573</v>
      </c>
      <c r="K76" s="4">
        <f>'1kts'!K$22</f>
        <v>0.92155428571428555</v>
      </c>
      <c r="L76" s="4">
        <f>'1kts'!L$22</f>
        <v>0.15152228571428572</v>
      </c>
    </row>
    <row r="77" spans="1:12" x14ac:dyDescent="0.25">
      <c r="A77">
        <f t="shared" si="7"/>
        <v>88</v>
      </c>
      <c r="B77">
        <f t="shared" si="8"/>
        <v>1.5358897417550099</v>
      </c>
      <c r="C77">
        <f t="shared" si="4"/>
        <v>3.1483116883116884E-2</v>
      </c>
      <c r="D77">
        <f t="shared" si="5"/>
        <v>0.61893000000000065</v>
      </c>
      <c r="E77" s="4" t="s">
        <v>30</v>
      </c>
      <c r="F77">
        <f>C77*'Données géométriques'!$B$6/(2+('Données géométriques'!$B$6^2+4)^0.5)</f>
        <v>1.7451186709221307E-2</v>
      </c>
      <c r="G77">
        <f>F77^2/(PI()*'Données géométriques'!$B$6)</f>
        <v>3.0287833291853932E-5</v>
      </c>
      <c r="H77">
        <f t="shared" si="6"/>
        <v>0.61896028783329249</v>
      </c>
      <c r="I77" s="4" t="s">
        <v>30</v>
      </c>
      <c r="J77" s="4">
        <f>'1kts'!J$22</f>
        <v>-0.41152228571428573</v>
      </c>
      <c r="K77" s="4">
        <f>'1kts'!K$22</f>
        <v>0.92155428571428555</v>
      </c>
      <c r="L77" s="4">
        <f>'1kts'!L$22</f>
        <v>0.15152228571428572</v>
      </c>
    </row>
    <row r="78" spans="1:12" x14ac:dyDescent="0.25">
      <c r="A78">
        <f t="shared" si="7"/>
        <v>90</v>
      </c>
      <c r="B78">
        <f t="shared" si="8"/>
        <v>1.5707963267948966</v>
      </c>
      <c r="C78">
        <f t="shared" si="4"/>
        <v>0</v>
      </c>
      <c r="D78">
        <f t="shared" si="5"/>
        <v>0.63449000000000066</v>
      </c>
      <c r="E78" s="4" t="s">
        <v>30</v>
      </c>
      <c r="F78">
        <f>C78*'Données géométriques'!$B$6/(2+('Données géométriques'!$B$6^2+4)^0.5)</f>
        <v>0</v>
      </c>
      <c r="G78">
        <f>F78^2/(PI()*'Données géométriques'!$B$6)</f>
        <v>0</v>
      </c>
      <c r="H78">
        <f t="shared" si="6"/>
        <v>0.63449000000000066</v>
      </c>
      <c r="I78" s="4" t="s">
        <v>30</v>
      </c>
      <c r="J78" s="4">
        <f>'1kts'!J$22</f>
        <v>-0.41152228571428573</v>
      </c>
      <c r="K78" s="4">
        <f>'1kts'!K$22</f>
        <v>0.92155428571428555</v>
      </c>
      <c r="L78" s="4">
        <f>'1kts'!L$22</f>
        <v>0.15152228571428572</v>
      </c>
    </row>
    <row r="79" spans="1:12" x14ac:dyDescent="0.25">
      <c r="J79" s="4"/>
      <c r="K79" s="4"/>
      <c r="L79" s="4"/>
    </row>
    <row r="80" spans="1:12" x14ac:dyDescent="0.25">
      <c r="J80" s="4"/>
      <c r="K80" s="4"/>
      <c r="L80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6ACC0-5A7A-44C3-9A09-A9422B43CF47}">
  <sheetPr codeName="Feuil4"/>
  <dimension ref="A1:O79"/>
  <sheetViews>
    <sheetView workbookViewId="0">
      <selection activeCell="A30" sqref="A30:L30"/>
    </sheetView>
  </sheetViews>
  <sheetFormatPr baseColWidth="10" defaultRowHeight="15" x14ac:dyDescent="0.25"/>
  <sheetData>
    <row r="1" spans="1:15" x14ac:dyDescent="0.25">
      <c r="A1">
        <v>20</v>
      </c>
      <c r="C1">
        <f>ROUND(((A1*0.514)/15.6)*1000000,0)</f>
        <v>658974</v>
      </c>
      <c r="N1" t="s">
        <v>28</v>
      </c>
      <c r="O1" t="s">
        <v>29</v>
      </c>
    </row>
    <row r="2" spans="1:1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22</v>
      </c>
      <c r="J2" t="s">
        <v>23</v>
      </c>
      <c r="K2" t="s">
        <v>25</v>
      </c>
      <c r="L2" t="s">
        <v>24</v>
      </c>
      <c r="N2">
        <f>INDEX(A4:A30,MATCH(MAX(F4:F30),F4:F30,0))</f>
        <v>13</v>
      </c>
      <c r="O2">
        <f>(D30-D29)/(A30-A29)</f>
        <v>5.5400000000000033E-3</v>
      </c>
    </row>
    <row r="3" spans="1:15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5" x14ac:dyDescent="0.25">
      <c r="A4">
        <v>0</v>
      </c>
      <c r="B4">
        <f>RADIANS(A4)</f>
        <v>0</v>
      </c>
      <c r="C4">
        <v>0</v>
      </c>
      <c r="D4">
        <v>6.2300000000000003E-3</v>
      </c>
      <c r="E4">
        <v>0</v>
      </c>
      <c r="F4">
        <f>C4*'Données géométriques'!$B$6/(2+('Données géométriques'!$B$6^2+4)^0.5)</f>
        <v>0</v>
      </c>
      <c r="G4">
        <f>F4^2/(PI()*'Données géométriques'!$B$6)</f>
        <v>0</v>
      </c>
      <c r="H4">
        <f>G4+D4</f>
        <v>6.2300000000000003E-3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</row>
    <row r="5" spans="1:15" x14ac:dyDescent="0.25">
      <c r="A5">
        <v>0.5</v>
      </c>
      <c r="B5">
        <f t="shared" ref="B5:B68" si="0">RADIANS(A5)</f>
        <v>8.7266462599716477E-3</v>
      </c>
      <c r="C5">
        <v>5.2699999999999997E-2</v>
      </c>
      <c r="D5">
        <v>6.2599999999999999E-3</v>
      </c>
      <c r="E5">
        <v>1E-4</v>
      </c>
      <c r="F5">
        <f>C5*'Données géométriques'!$B$6/(2+('Données géométriques'!$B$6^2+4)^0.5)</f>
        <v>2.9211769056740011E-2</v>
      </c>
      <c r="G5">
        <f>F5^2/(PI()*'Données géométriques'!$B$6)</f>
        <v>8.486605084470789E-5</v>
      </c>
      <c r="H5">
        <f t="shared" ref="H5:H42" si="1">G5+D5</f>
        <v>6.344866050844708E-3</v>
      </c>
      <c r="I5">
        <f>0.25-E5/(C5*COS(B5)+D5*SIN(B5))</f>
        <v>0.24810435960836216</v>
      </c>
      <c r="J5">
        <f>XCP_3D('Données géométriques'!$B$9,'Données géométriques'!$B$10,'Données géométriques'!$B$12,'Données géométriques'!$B$11,I5)</f>
        <v>-0.22605975948785617</v>
      </c>
      <c r="K5">
        <f>'5kts'!K5</f>
        <v>1.1514536950961625</v>
      </c>
      <c r="L5">
        <f t="shared" ref="L5:L30" si="2" xml:space="preserve"> -(J5+0.26)</f>
        <v>-3.3940240512143838E-2</v>
      </c>
    </row>
    <row r="6" spans="1:15" x14ac:dyDescent="0.25">
      <c r="A6">
        <v>1</v>
      </c>
      <c r="B6">
        <f t="shared" si="0"/>
        <v>1.7453292519943295E-2</v>
      </c>
      <c r="C6">
        <v>0.1052</v>
      </c>
      <c r="D6">
        <v>6.3600000000000002E-3</v>
      </c>
      <c r="E6">
        <v>1E-4</v>
      </c>
      <c r="F6">
        <f>C6*'Données géométriques'!$B$6/(2+('Données géométriques'!$B$6^2+4)^0.5)</f>
        <v>5.8312677509849135E-2</v>
      </c>
      <c r="G6">
        <f>F6^2/(PI()*'Données géométriques'!$B$6)</f>
        <v>3.3817713646771359E-4</v>
      </c>
      <c r="H6">
        <f t="shared" si="1"/>
        <v>6.6981771364677135E-3</v>
      </c>
      <c r="I6">
        <f t="shared" ref="I6:I30" si="3">0.25-E6/(C6*COS(B6)+D6*SIN(B6))</f>
        <v>0.24905028706112206</v>
      </c>
      <c r="J6">
        <f>XCP_3D('Données géométriques'!$B$9,'Données géométriques'!$B$10,'Données géométriques'!$B$12,'Données géométriques'!$B$11,I6)</f>
        <v>-0.22675624629940003</v>
      </c>
      <c r="K6">
        <f>'5kts'!K6</f>
        <v>1.1514536950961625</v>
      </c>
      <c r="L6">
        <f t="shared" si="2"/>
        <v>-3.3243753700599982E-2</v>
      </c>
    </row>
    <row r="7" spans="1:15" x14ac:dyDescent="0.25">
      <c r="A7">
        <v>1.5</v>
      </c>
      <c r="B7">
        <f t="shared" si="0"/>
        <v>2.6179938779914945E-2</v>
      </c>
      <c r="C7">
        <v>0.15720000000000001</v>
      </c>
      <c r="D7">
        <v>6.5599999999999999E-3</v>
      </c>
      <c r="E7">
        <v>2.0000000000000001E-4</v>
      </c>
      <c r="F7">
        <f>C7*'Données géométriques'!$B$6/(2+('Données géométriques'!$B$6^2+4)^0.5)</f>
        <v>8.7136434453881043E-2</v>
      </c>
      <c r="G7">
        <f>F7^2/(PI()*'Données géométriques'!$B$6)</f>
        <v>7.5512325681015941E-4</v>
      </c>
      <c r="H7">
        <f t="shared" si="1"/>
        <v>7.3151232568101597E-3</v>
      </c>
      <c r="I7">
        <f t="shared" si="3"/>
        <v>0.24872868846657983</v>
      </c>
      <c r="J7">
        <f>XCP_3D('Données géométriques'!$B$9,'Données géométriques'!$B$10,'Données géométriques'!$B$12,'Données géométriques'!$B$11,I7)</f>
        <v>-0.22651945310869945</v>
      </c>
      <c r="K7">
        <f>'5kts'!K7</f>
        <v>1.1514536950961625</v>
      </c>
      <c r="L7">
        <f t="shared" si="2"/>
        <v>-3.3480546891300561E-2</v>
      </c>
    </row>
    <row r="8" spans="1:15" x14ac:dyDescent="0.25">
      <c r="A8">
        <v>2</v>
      </c>
      <c r="B8">
        <f t="shared" si="0"/>
        <v>3.4906585039886591E-2</v>
      </c>
      <c r="C8">
        <v>0.2089</v>
      </c>
      <c r="D8">
        <v>6.8700000000000002E-3</v>
      </c>
      <c r="E8">
        <v>4.0000000000000002E-4</v>
      </c>
      <c r="F8">
        <f>C8*'Données géométriques'!$B$6/(2+('Données géométriques'!$B$6^2+4)^0.5)</f>
        <v>0.11579390049246657</v>
      </c>
      <c r="G8">
        <f>F8^2/(PI()*'Données géométriques'!$B$6)</f>
        <v>1.3334896300648783E-3</v>
      </c>
      <c r="H8">
        <f t="shared" si="1"/>
        <v>8.2034896300648783E-3</v>
      </c>
      <c r="I8">
        <f t="shared" si="3"/>
        <v>0.24808623889158835</v>
      </c>
      <c r="J8">
        <f>XCP_3D('Données géométriques'!$B$9,'Données géométriques'!$B$10,'Données géométriques'!$B$12,'Données géométriques'!$B$11,I8)</f>
        <v>-0.22604641719589369</v>
      </c>
      <c r="K8">
        <f>'5kts'!K8</f>
        <v>1.1514536950961625</v>
      </c>
      <c r="L8">
        <f t="shared" si="2"/>
        <v>-3.3953582804106319E-2</v>
      </c>
    </row>
    <row r="9" spans="1:15" x14ac:dyDescent="0.25">
      <c r="A9">
        <v>2.5</v>
      </c>
      <c r="B9">
        <f t="shared" si="0"/>
        <v>4.3633231299858237E-2</v>
      </c>
      <c r="C9">
        <v>0.26119999999999999</v>
      </c>
      <c r="D9">
        <v>7.3000000000000001E-3</v>
      </c>
      <c r="E9">
        <v>5.9999999999999995E-4</v>
      </c>
      <c r="F9">
        <f>C9*'Données géométriques'!$B$6/(2+('Données géométriques'!$B$6^2+4)^0.5)</f>
        <v>0.14478394834194483</v>
      </c>
      <c r="G9">
        <f>F9^2/(PI()*'Données géométriques'!$B$6)</f>
        <v>2.0847746039997879E-3</v>
      </c>
      <c r="H9">
        <f t="shared" si="1"/>
        <v>9.3847746039997879E-3</v>
      </c>
      <c r="I9">
        <f t="shared" si="3"/>
        <v>0.24770352348052269</v>
      </c>
      <c r="J9">
        <f>XCP_3D('Données géométriques'!$B$9,'Données géométriques'!$B$10,'Données géométriques'!$B$12,'Données géométriques'!$B$11,I9)</f>
        <v>-0.22576462366553002</v>
      </c>
      <c r="K9">
        <f>'5kts'!K9</f>
        <v>1.1514536950961625</v>
      </c>
      <c r="L9">
        <f t="shared" si="2"/>
        <v>-3.4235376334469991E-2</v>
      </c>
    </row>
    <row r="10" spans="1:15" x14ac:dyDescent="0.25">
      <c r="A10">
        <v>3</v>
      </c>
      <c r="B10">
        <f t="shared" si="0"/>
        <v>5.235987755982989E-2</v>
      </c>
      <c r="C10">
        <v>0.31759999999999999</v>
      </c>
      <c r="D10">
        <v>7.8399999999999997E-3</v>
      </c>
      <c r="E10">
        <v>8.9999999999999998E-4</v>
      </c>
      <c r="F10">
        <f>C10*'Données géométriques'!$B$6/(2+('Données géométriques'!$B$6^2+4)^0.5)</f>
        <v>0.17604663856585634</v>
      </c>
      <c r="G10">
        <f>F10^2/(PI()*'Données géométriques'!$B$6)</f>
        <v>3.0822917955465531E-3</v>
      </c>
      <c r="H10">
        <f t="shared" si="1"/>
        <v>1.0922291795546553E-2</v>
      </c>
      <c r="I10">
        <f t="shared" si="3"/>
        <v>0.24716602425700154</v>
      </c>
      <c r="J10">
        <f>XCP_3D('Données géométriques'!$B$9,'Données géométriques'!$B$10,'Données géométriques'!$B$12,'Données géométriques'!$B$11,I10)</f>
        <v>-0.22536886274400661</v>
      </c>
      <c r="K10">
        <f>'5kts'!K10</f>
        <v>1.1514536950961625</v>
      </c>
      <c r="L10">
        <f t="shared" si="2"/>
        <v>-3.4631137255993399E-2</v>
      </c>
    </row>
    <row r="11" spans="1:15" x14ac:dyDescent="0.25">
      <c r="A11">
        <v>3.5</v>
      </c>
      <c r="B11">
        <f t="shared" si="0"/>
        <v>6.1086523819801536E-2</v>
      </c>
      <c r="C11">
        <v>0.37759999999999999</v>
      </c>
      <c r="D11">
        <v>8.4200000000000004E-3</v>
      </c>
      <c r="E11">
        <v>1.4E-3</v>
      </c>
      <c r="F11">
        <f>C11*'Données géométriques'!$B$6/(2+('Données géométriques'!$B$6^2+4)^0.5)</f>
        <v>0.2093048196551239</v>
      </c>
      <c r="G11">
        <f>F11^2/(PI()*'Données géométriques'!$B$6)</f>
        <v>4.3568913918560692E-3</v>
      </c>
      <c r="H11">
        <f t="shared" si="1"/>
        <v>1.277689139185607E-2</v>
      </c>
      <c r="I11">
        <f t="shared" si="3"/>
        <v>0.24629050367821309</v>
      </c>
      <c r="J11">
        <f>XCP_3D('Données géométriques'!$B$9,'Données géométriques'!$B$10,'Données géométriques'!$B$12,'Données géométriques'!$B$11,I11)</f>
        <v>-0.22472421654562838</v>
      </c>
      <c r="K11">
        <f>'5kts'!K11</f>
        <v>1.1514536950961625</v>
      </c>
      <c r="L11">
        <f t="shared" si="2"/>
        <v>-3.5275783454371629E-2</v>
      </c>
    </row>
    <row r="12" spans="1:15" x14ac:dyDescent="0.25">
      <c r="A12">
        <v>4</v>
      </c>
      <c r="B12">
        <f t="shared" si="0"/>
        <v>6.9813170079773182E-2</v>
      </c>
      <c r="C12">
        <v>0.4405</v>
      </c>
      <c r="D12">
        <v>8.9800000000000001E-3</v>
      </c>
      <c r="E12">
        <v>2E-3</v>
      </c>
      <c r="F12">
        <f>C12*'Données géométriques'!$B$6/(2+('Données géométriques'!$B$6^2+4)^0.5)</f>
        <v>0.24417047949703938</v>
      </c>
      <c r="G12">
        <f>F12^2/(PI()*'Données géométriques'!$B$6)</f>
        <v>5.9293158879410619E-3</v>
      </c>
      <c r="H12">
        <f t="shared" si="1"/>
        <v>1.4909315887941062E-2</v>
      </c>
      <c r="I12">
        <f t="shared" si="3"/>
        <v>0.24545509680577643</v>
      </c>
      <c r="J12">
        <f>XCP_3D('Données géométriques'!$B$9,'Données géométriques'!$B$10,'Données géométriques'!$B$12,'Données géométriques'!$B$11,I12)</f>
        <v>-0.22410910608739285</v>
      </c>
      <c r="K12">
        <f>'5kts'!K12</f>
        <v>1.1514536950961625</v>
      </c>
      <c r="L12">
        <f t="shared" si="2"/>
        <v>-3.5890893912607164E-2</v>
      </c>
    </row>
    <row r="13" spans="1:15" x14ac:dyDescent="0.25">
      <c r="A13">
        <v>4.5</v>
      </c>
      <c r="B13">
        <f t="shared" si="0"/>
        <v>7.8539816339744828E-2</v>
      </c>
      <c r="C13">
        <v>0.50560000000000005</v>
      </c>
      <c r="D13">
        <v>9.5200000000000007E-3</v>
      </c>
      <c r="E13">
        <v>2.8999999999999998E-3</v>
      </c>
      <c r="F13">
        <f>C13*'Données géométriques'!$B$6/(2+('Données géométriques'!$B$6^2+4)^0.5)</f>
        <v>0.28025560597889471</v>
      </c>
      <c r="G13">
        <f>F13^2/(PI()*'Données géométriques'!$B$6)</f>
        <v>7.8113643138677758E-3</v>
      </c>
      <c r="H13">
        <f t="shared" si="1"/>
        <v>1.7331364313867777E-2</v>
      </c>
      <c r="I13">
        <f t="shared" si="3"/>
        <v>0.24425501779331227</v>
      </c>
      <c r="J13">
        <f>XCP_3D('Données géométriques'!$B$9,'Données géométriques'!$B$10,'Données géométriques'!$B$12,'Données géométriques'!$B$11,I13)</f>
        <v>-0.2232254873674232</v>
      </c>
      <c r="K13">
        <f>'5kts'!K13</f>
        <v>1.1514536950961625</v>
      </c>
      <c r="L13">
        <f t="shared" si="2"/>
        <v>-3.6774512632576806E-2</v>
      </c>
    </row>
    <row r="14" spans="1:15" x14ac:dyDescent="0.25">
      <c r="A14">
        <v>5</v>
      </c>
      <c r="B14">
        <f t="shared" si="0"/>
        <v>8.7266462599716474E-2</v>
      </c>
      <c r="C14">
        <v>0.57099999999999995</v>
      </c>
      <c r="D14">
        <v>1.005E-2</v>
      </c>
      <c r="E14">
        <v>3.3999999999999998E-3</v>
      </c>
      <c r="F14">
        <f>C14*'Données géométriques'!$B$6/(2+('Données géométriques'!$B$6^2+4)^0.5)</f>
        <v>0.31650702336619629</v>
      </c>
      <c r="G14">
        <f>F14^2/(PI()*'Données géométriques'!$B$6)</f>
        <v>9.962881832095101E-3</v>
      </c>
      <c r="H14">
        <f t="shared" si="1"/>
        <v>2.0012881832095101E-2</v>
      </c>
      <c r="I14">
        <f t="shared" si="3"/>
        <v>0.24403197898578988</v>
      </c>
      <c r="J14">
        <f>XCP_3D('Données géométriques'!$B$9,'Données géométriques'!$B$10,'Données géométriques'!$B$12,'Données géométriques'!$B$11,I14)</f>
        <v>-0.22306126379250807</v>
      </c>
      <c r="K14">
        <f>'5kts'!K14</f>
        <v>1.1514536950961625</v>
      </c>
      <c r="L14">
        <f t="shared" si="2"/>
        <v>-3.693873620749194E-2</v>
      </c>
    </row>
    <row r="15" spans="1:15" x14ac:dyDescent="0.25">
      <c r="A15">
        <v>5.5</v>
      </c>
      <c r="B15">
        <f t="shared" si="0"/>
        <v>9.599310885968812E-2</v>
      </c>
      <c r="C15">
        <v>0.62490000000000001</v>
      </c>
      <c r="D15">
        <v>1.0580000000000001E-2</v>
      </c>
      <c r="E15">
        <v>2.8E-3</v>
      </c>
      <c r="F15">
        <f>C15*'Données géométriques'!$B$6/(2+('Données géométriques'!$B$6^2+4)^0.5)</f>
        <v>0.34638395604472172</v>
      </c>
      <c r="G15">
        <f>F15^2/(PI()*'Données géométriques'!$B$6)</f>
        <v>1.1932565091696924E-2</v>
      </c>
      <c r="H15">
        <f t="shared" si="1"/>
        <v>2.2512565091696926E-2</v>
      </c>
      <c r="I15">
        <f t="shared" si="3"/>
        <v>0.24550588583842775</v>
      </c>
      <c r="J15">
        <f>XCP_3D('Données géométriques'!$B$9,'Données géométriques'!$B$10,'Données géométriques'!$B$12,'Données géométriques'!$B$11,I15)</f>
        <v>-0.22414650207511871</v>
      </c>
      <c r="K15">
        <f>'5kts'!K15</f>
        <v>1.1514536950961625</v>
      </c>
      <c r="L15">
        <f t="shared" si="2"/>
        <v>-3.5853497924881295E-2</v>
      </c>
    </row>
    <row r="16" spans="1:15" x14ac:dyDescent="0.25">
      <c r="A16">
        <v>6</v>
      </c>
      <c r="B16">
        <f t="shared" si="0"/>
        <v>0.10471975511965978</v>
      </c>
      <c r="C16">
        <v>0.67320000000000002</v>
      </c>
      <c r="D16">
        <v>1.115E-2</v>
      </c>
      <c r="E16">
        <v>1.4E-3</v>
      </c>
      <c r="F16">
        <f>C16*'Données géométriques'!$B$6/(2+('Données géométriques'!$B$6^2+4)^0.5)</f>
        <v>0.37315679182158212</v>
      </c>
      <c r="G16">
        <f>F16^2/(PI()*'Données géométriques'!$B$6)</f>
        <v>1.384844394304237E-2</v>
      </c>
      <c r="H16">
        <f t="shared" si="1"/>
        <v>2.4998443943042369E-2</v>
      </c>
      <c r="I16">
        <f t="shared" si="3"/>
        <v>0.24791255898136669</v>
      </c>
      <c r="J16">
        <f>XCP_3D('Données géométriques'!$B$9,'Données géométriques'!$B$10,'Données géométriques'!$B$12,'Données géométriques'!$B$11,I16)</f>
        <v>-0.22591853659939898</v>
      </c>
      <c r="K16">
        <f>'5kts'!K16</f>
        <v>1.1514536950961625</v>
      </c>
      <c r="L16">
        <f t="shared" si="2"/>
        <v>-3.4081463400601031E-2</v>
      </c>
    </row>
    <row r="17" spans="1:12" x14ac:dyDescent="0.25">
      <c r="A17">
        <v>6.5</v>
      </c>
      <c r="B17">
        <f t="shared" si="0"/>
        <v>0.11344640137963143</v>
      </c>
      <c r="C17">
        <v>0.72199999999999998</v>
      </c>
      <c r="D17">
        <v>1.172E-2</v>
      </c>
      <c r="E17">
        <v>0</v>
      </c>
      <c r="F17">
        <f>C17*'Données géométriques'!$B$6/(2+('Données géométriques'!$B$6^2+4)^0.5)</f>
        <v>0.40020677910751973</v>
      </c>
      <c r="G17">
        <f>F17^2/(PI()*'Données géométriques'!$B$6)</f>
        <v>1.5928950325148874E-2</v>
      </c>
      <c r="H17">
        <f t="shared" si="1"/>
        <v>2.7648950325148872E-2</v>
      </c>
      <c r="I17">
        <f t="shared" si="3"/>
        <v>0.25</v>
      </c>
      <c r="J17">
        <f>XCP_3D('Données géométriques'!$B$9,'Données géométriques'!$B$10,'Données géométriques'!$B$12,'Données géométriques'!$B$11,I17)</f>
        <v>-0.22745552036608763</v>
      </c>
      <c r="K17">
        <f>'5kts'!K17</f>
        <v>1.1514536950961625</v>
      </c>
      <c r="L17">
        <f t="shared" si="2"/>
        <v>-3.2544479633912382E-2</v>
      </c>
    </row>
    <row r="18" spans="1:12" x14ac:dyDescent="0.25">
      <c r="A18">
        <v>7</v>
      </c>
      <c r="B18">
        <f t="shared" si="0"/>
        <v>0.12217304763960307</v>
      </c>
      <c r="C18">
        <v>0.77080000000000004</v>
      </c>
      <c r="D18">
        <v>1.242E-2</v>
      </c>
      <c r="E18">
        <v>-1.6000000000000001E-3</v>
      </c>
      <c r="F18">
        <f>C18*'Données géométriques'!$B$6/(2+('Données géométriques'!$B$6^2+4)^0.5)</f>
        <v>0.42725676639345739</v>
      </c>
      <c r="G18">
        <f>F18^2/(PI()*'Données géométriques'!$B$6)</f>
        <v>1.8154996717930267E-2</v>
      </c>
      <c r="H18">
        <f t="shared" si="1"/>
        <v>3.0574996717930267E-2</v>
      </c>
      <c r="I18">
        <f t="shared" si="3"/>
        <v>0.25208722461867145</v>
      </c>
      <c r="J18">
        <f>XCP_3D('Données géométriques'!$B$9,'Données géométriques'!$B$10,'Données géométriques'!$B$12,'Données géométriques'!$B$11,I18)</f>
        <v>-0.22899234479738448</v>
      </c>
      <c r="K18">
        <f>'5kts'!K18</f>
        <v>1.1514536950961625</v>
      </c>
      <c r="L18">
        <f t="shared" si="2"/>
        <v>-3.1007655202615531E-2</v>
      </c>
    </row>
    <row r="19" spans="1:12" x14ac:dyDescent="0.25">
      <c r="A19">
        <v>7.5</v>
      </c>
      <c r="B19">
        <f t="shared" si="0"/>
        <v>0.1308996938995747</v>
      </c>
      <c r="C19">
        <v>0.82</v>
      </c>
      <c r="D19">
        <v>1.3129999999999999E-2</v>
      </c>
      <c r="E19">
        <v>-5.0000000000000001E-4</v>
      </c>
      <c r="F19">
        <f>C19*'Données géométriques'!$B$6/(2+('Données géométriques'!$B$6^2+4)^0.5)</f>
        <v>0.45452847488665671</v>
      </c>
      <c r="G19">
        <f>F19^2/(PI()*'Données géométriques'!$B$6)</f>
        <v>2.0546623718798396E-2</v>
      </c>
      <c r="H19">
        <f t="shared" si="1"/>
        <v>3.3676623718798399E-2</v>
      </c>
      <c r="I19">
        <f t="shared" si="3"/>
        <v>0.25061372390099507</v>
      </c>
      <c r="J19">
        <f>XCP_3D('Données géométriques'!$B$9,'Données géométriques'!$B$10,'Données géométriques'!$B$12,'Données géométriques'!$B$11,I19)</f>
        <v>-0.22790740555212929</v>
      </c>
      <c r="K19">
        <f>'5kts'!K19</f>
        <v>1.1514536950961625</v>
      </c>
      <c r="L19">
        <f t="shared" si="2"/>
        <v>-3.2092594447870715E-2</v>
      </c>
    </row>
    <row r="20" spans="1:12" x14ac:dyDescent="0.25">
      <c r="A20">
        <v>8</v>
      </c>
      <c r="B20">
        <f t="shared" si="0"/>
        <v>0.13962634015954636</v>
      </c>
      <c r="C20">
        <v>0.86870000000000003</v>
      </c>
      <c r="D20">
        <v>1.4E-2</v>
      </c>
      <c r="E20">
        <v>5.0000000000000001E-4</v>
      </c>
      <c r="F20">
        <f>C20*'Données géométriques'!$B$6/(2+('Données géométriques'!$B$6^2+4)^0.5)</f>
        <v>0.48152303187077899</v>
      </c>
      <c r="G20">
        <f>F20^2/(PI()*'Données géométriques'!$B$6)</f>
        <v>2.3059633780042645E-2</v>
      </c>
      <c r="H20">
        <f t="shared" si="1"/>
        <v>3.7059633780042643E-2</v>
      </c>
      <c r="I20">
        <f t="shared" si="3"/>
        <v>0.24942008430923679</v>
      </c>
      <c r="J20">
        <f>XCP_3D('Données géométriques'!$B$9,'Données géométriques'!$B$10,'Données géométriques'!$B$12,'Données géométriques'!$B$11,I20)</f>
        <v>-0.22702852818053906</v>
      </c>
      <c r="K20">
        <f>'5kts'!K20</f>
        <v>1.1514536950961625</v>
      </c>
      <c r="L20">
        <f t="shared" si="2"/>
        <v>-3.2971471819460946E-2</v>
      </c>
    </row>
    <row r="21" spans="1:12" x14ac:dyDescent="0.25">
      <c r="A21">
        <v>8.5</v>
      </c>
      <c r="B21">
        <f t="shared" si="0"/>
        <v>0.14835298641951802</v>
      </c>
      <c r="C21">
        <v>0.91739999999999999</v>
      </c>
      <c r="D21">
        <v>1.489E-2</v>
      </c>
      <c r="E21">
        <v>1.2999999999999999E-3</v>
      </c>
      <c r="F21">
        <f>C21*'Données géométriques'!$B$6/(2+('Données géométriques'!$B$6^2+4)^0.5)</f>
        <v>0.50851758885490117</v>
      </c>
      <c r="G21">
        <f>F21^2/(PI()*'Données géométriques'!$B$6)</f>
        <v>2.5717587987651065E-2</v>
      </c>
      <c r="H21">
        <f t="shared" si="1"/>
        <v>4.0607587987651066E-2</v>
      </c>
      <c r="I21">
        <f t="shared" si="3"/>
        <v>0.24857068098289145</v>
      </c>
      <c r="J21">
        <f>XCP_3D('Données géométriques'!$B$9,'Données géométriques'!$B$10,'Données géométriques'!$B$12,'Données géométriques'!$B$11,I21)</f>
        <v>-0.22640311212695402</v>
      </c>
      <c r="K21">
        <f>'5kts'!K21</f>
        <v>1.1514536950961625</v>
      </c>
      <c r="L21">
        <f t="shared" si="2"/>
        <v>-3.3596887873045989E-2</v>
      </c>
    </row>
    <row r="22" spans="1:12" x14ac:dyDescent="0.25">
      <c r="A22">
        <v>9</v>
      </c>
      <c r="B22">
        <f t="shared" si="0"/>
        <v>0.15707963267948966</v>
      </c>
      <c r="C22">
        <v>0.96530000000000005</v>
      </c>
      <c r="D22">
        <v>1.5879999999999998E-2</v>
      </c>
      <c r="E22">
        <v>2.0999999999999999E-3</v>
      </c>
      <c r="F22">
        <f>C22*'Données géométriques'!$B$6/(2+('Données géométriques'!$B$6^2+4)^0.5)</f>
        <v>0.53506870342449975</v>
      </c>
      <c r="G22">
        <f>F22^2/(PI()*'Données géométriques'!$B$6)</f>
        <v>2.8473271887072219E-2</v>
      </c>
      <c r="H22">
        <f t="shared" si="1"/>
        <v>4.4353271887072221E-2</v>
      </c>
      <c r="I22">
        <f t="shared" si="3"/>
        <v>0.24780311687068365</v>
      </c>
      <c r="J22">
        <f>XCP_3D('Données géométriques'!$B$9,'Données géométriques'!$B$10,'Données géométriques'!$B$12,'Données géométriques'!$B$11,I22)</f>
        <v>-0.22583795432377574</v>
      </c>
      <c r="K22">
        <f>'5kts'!K22</f>
        <v>1.1514536950961625</v>
      </c>
      <c r="L22">
        <f t="shared" si="2"/>
        <v>-3.4162045676224273E-2</v>
      </c>
    </row>
    <row r="23" spans="1:12" x14ac:dyDescent="0.25">
      <c r="A23">
        <v>9.5</v>
      </c>
      <c r="B23">
        <f t="shared" si="0"/>
        <v>0.16580627893946132</v>
      </c>
      <c r="C23">
        <v>1.0111000000000001</v>
      </c>
      <c r="D23">
        <v>1.7170000000000001E-2</v>
      </c>
      <c r="E23">
        <v>2.8E-3</v>
      </c>
      <c r="F23">
        <f>C23*'Données géométriques'!$B$6/(2+('Données géométriques'!$B$6^2+4)^0.5)</f>
        <v>0.56045578165597409</v>
      </c>
      <c r="G23">
        <f>F23^2/(PI()*'Données géométriques'!$B$6)</f>
        <v>3.1239277684211964E-2</v>
      </c>
      <c r="H23">
        <f t="shared" si="1"/>
        <v>4.8409277684211965E-2</v>
      </c>
      <c r="I23">
        <f t="shared" si="3"/>
        <v>0.24720018825684117</v>
      </c>
      <c r="J23">
        <f>XCP_3D('Données géométriques'!$B$9,'Données géométriques'!$B$10,'Données géométriques'!$B$12,'Données géométriques'!$B$11,I23)</f>
        <v>-0.22539401771255035</v>
      </c>
      <c r="K23">
        <f>'5kts'!K23</f>
        <v>1.1514536950961625</v>
      </c>
      <c r="L23">
        <f t="shared" si="2"/>
        <v>-3.4605982287449655E-2</v>
      </c>
    </row>
    <row r="24" spans="1:12" x14ac:dyDescent="0.25">
      <c r="A24">
        <v>10</v>
      </c>
      <c r="B24">
        <f t="shared" si="0"/>
        <v>0.17453292519943295</v>
      </c>
      <c r="C24">
        <v>1.0569</v>
      </c>
      <c r="D24">
        <v>1.8370000000000001E-2</v>
      </c>
      <c r="E24">
        <v>3.5999999999999999E-3</v>
      </c>
      <c r="F24">
        <f>C24*'Données géométriques'!$B$6/(2+('Données géométriques'!$B$6^2+4)^0.5)</f>
        <v>0.58584285988744822</v>
      </c>
      <c r="G24">
        <f>F24^2/(PI()*'Données géométriques'!$B$6)</f>
        <v>3.4133479257013502E-2</v>
      </c>
      <c r="H24">
        <f t="shared" si="1"/>
        <v>5.2503479257013499E-2</v>
      </c>
      <c r="I24">
        <f t="shared" si="3"/>
        <v>0.24655183389524576</v>
      </c>
      <c r="J24">
        <f>XCP_3D('Données géométriques'!$B$9,'Données géométriques'!$B$10,'Données géométriques'!$B$12,'Données géométriques'!$B$11,I24)</f>
        <v>-0.22491663410269552</v>
      </c>
      <c r="K24">
        <f>'5kts'!K24</f>
        <v>1.1514536950961625</v>
      </c>
      <c r="L24">
        <f t="shared" si="2"/>
        <v>-3.5083365897304486E-2</v>
      </c>
    </row>
    <row r="25" spans="1:12" x14ac:dyDescent="0.25">
      <c r="A25">
        <v>10.5</v>
      </c>
      <c r="B25">
        <f t="shared" si="0"/>
        <v>0.18325957145940461</v>
      </c>
      <c r="C25">
        <v>1.1015999999999999</v>
      </c>
      <c r="D25">
        <v>1.966E-2</v>
      </c>
      <c r="E25">
        <v>4.4000000000000003E-3</v>
      </c>
      <c r="F25">
        <f>C25*'Données géométriques'!$B$6/(2+('Données géométriques'!$B$6^2+4)^0.5)</f>
        <v>0.61062020479895252</v>
      </c>
      <c r="G25">
        <f>F25^2/(PI()*'Données géométriques'!$B$6)</f>
        <v>3.7081783781369643E-2</v>
      </c>
      <c r="H25">
        <f t="shared" si="1"/>
        <v>5.674178378136964E-2</v>
      </c>
      <c r="I25">
        <f t="shared" si="3"/>
        <v>0.24595117990369689</v>
      </c>
      <c r="J25">
        <f>XCP_3D('Données géométriques'!$B$9,'Données géométriques'!$B$10,'Données géométriques'!$B$12,'Données géométriques'!$B$11,I25)</f>
        <v>-0.22447437229689382</v>
      </c>
      <c r="K25">
        <f>'5kts'!K25</f>
        <v>1.1514536950961625</v>
      </c>
      <c r="L25">
        <f t="shared" si="2"/>
        <v>-3.5525627703106188E-2</v>
      </c>
    </row>
    <row r="26" spans="1:12" x14ac:dyDescent="0.25">
      <c r="A26">
        <v>11</v>
      </c>
      <c r="B26">
        <f t="shared" si="0"/>
        <v>0.19198621771937624</v>
      </c>
      <c r="C26">
        <v>1.1442000000000001</v>
      </c>
      <c r="D26">
        <v>2.112E-2</v>
      </c>
      <c r="E26">
        <v>5.1999999999999998E-3</v>
      </c>
      <c r="F26">
        <f>C26*'Données géométriques'!$B$6/(2+('Données géométriques'!$B$6^2+4)^0.5)</f>
        <v>0.63423351337233258</v>
      </c>
      <c r="G26">
        <f>F26^2/(PI()*'Données géométriques'!$B$6)</f>
        <v>4.0005218762825721E-2</v>
      </c>
      <c r="H26">
        <f t="shared" si="1"/>
        <v>6.1125218762825721E-2</v>
      </c>
      <c r="I26">
        <f t="shared" si="3"/>
        <v>0.24538683069928002</v>
      </c>
      <c r="J26">
        <f>XCP_3D('Données géométriques'!$B$9,'Données géométriques'!$B$10,'Données géométriques'!$B$12,'Données géométriques'!$B$11,I26)</f>
        <v>-0.22405884172228599</v>
      </c>
      <c r="K26">
        <f>K25</f>
        <v>1.1514536950961625</v>
      </c>
      <c r="L26">
        <f t="shared" si="2"/>
        <v>-3.5941158277714019E-2</v>
      </c>
    </row>
    <row r="27" spans="1:12" x14ac:dyDescent="0.25">
      <c r="A27">
        <v>11.5</v>
      </c>
      <c r="B27">
        <f t="shared" si="0"/>
        <v>0.2007128639793479</v>
      </c>
      <c r="C27">
        <v>1.1820999999999999</v>
      </c>
      <c r="D27">
        <v>2.3050000000000001E-2</v>
      </c>
      <c r="E27">
        <v>6.3E-3</v>
      </c>
      <c r="F27">
        <f>C27*'Données géométriques'!$B$6/(2+('Données géométriques'!$B$6^2+4)^0.5)</f>
        <v>0.65524159776038648</v>
      </c>
      <c r="G27">
        <f>F27^2/(PI()*'Données géométriques'!$B$6)</f>
        <v>4.2699343461950999E-2</v>
      </c>
      <c r="H27">
        <f t="shared" si="1"/>
        <v>6.5749343461950993E-2</v>
      </c>
      <c r="I27">
        <f t="shared" si="3"/>
        <v>0.24458280935444593</v>
      </c>
      <c r="J27">
        <f>XCP_3D('Données géométriques'!$B$9,'Données géométriques'!$B$10,'Données géométriques'!$B$12,'Données géométriques'!$B$11,I27)</f>
        <v>-0.22346684044222534</v>
      </c>
      <c r="K27">
        <f>K26</f>
        <v>1.1514536950961625</v>
      </c>
      <c r="L27">
        <f t="shared" si="2"/>
        <v>-3.6533159557774669E-2</v>
      </c>
    </row>
    <row r="28" spans="1:12" x14ac:dyDescent="0.25">
      <c r="A28">
        <v>12</v>
      </c>
      <c r="B28">
        <f t="shared" si="0"/>
        <v>0.20943951023931956</v>
      </c>
      <c r="C28">
        <v>1.2168000000000001</v>
      </c>
      <c r="D28">
        <v>2.5170000000000001E-2</v>
      </c>
      <c r="E28">
        <v>7.4000000000000003E-3</v>
      </c>
      <c r="F28">
        <f>C28*'Données géométriques'!$B$6/(2+('Données géométriques'!$B$6^2+4)^0.5)</f>
        <v>0.67447591249034633</v>
      </c>
      <c r="G28">
        <f>F28^2/(PI()*'Données géométriques'!$B$6)</f>
        <v>4.5242976059622311E-2</v>
      </c>
      <c r="H28">
        <f t="shared" si="1"/>
        <v>7.0412976059622309E-2</v>
      </c>
      <c r="I28">
        <f t="shared" si="3"/>
        <v>0.24380982686183814</v>
      </c>
      <c r="J28">
        <f>XCP_3D('Données géométriques'!$B$9,'Données géométriques'!$B$10,'Données géométriques'!$B$12,'Données géométriques'!$B$11,I28)</f>
        <v>-0.22289769308310861</v>
      </c>
      <c r="K28">
        <f>K27</f>
        <v>1.1514536950961625</v>
      </c>
      <c r="L28">
        <f t="shared" si="2"/>
        <v>-3.7102306916891398E-2</v>
      </c>
    </row>
    <row r="29" spans="1:12" x14ac:dyDescent="0.25">
      <c r="A29">
        <v>12.5</v>
      </c>
      <c r="B29">
        <f t="shared" si="0"/>
        <v>0.21816615649929119</v>
      </c>
      <c r="C29">
        <v>1.2467999999999999</v>
      </c>
      <c r="D29">
        <v>2.7529999999999999E-2</v>
      </c>
      <c r="E29">
        <v>8.6E-3</v>
      </c>
      <c r="F29">
        <f>C29*'Données géométriques'!$B$6/(2+('Données géométriques'!$B$6^2+4)^0.5)</f>
        <v>0.69110500303498001</v>
      </c>
      <c r="G29">
        <f>F29^2/(PI()*'Données géométriques'!$B$6)</f>
        <v>4.7501393468618362E-2</v>
      </c>
      <c r="H29">
        <f t="shared" si="1"/>
        <v>7.5031393468618368E-2</v>
      </c>
      <c r="I29">
        <f t="shared" si="3"/>
        <v>0.2429692864995425</v>
      </c>
      <c r="J29">
        <f>XCP_3D('Données géométriques'!$B$9,'Données géométriques'!$B$10,'Données géométriques'!$B$12,'Données géométriques'!$B$11,I29)</f>
        <v>-0.2222788028339634</v>
      </c>
      <c r="K29">
        <f>K28</f>
        <v>1.1514536950961625</v>
      </c>
      <c r="L29">
        <f t="shared" si="2"/>
        <v>-3.7721197166036613E-2</v>
      </c>
    </row>
    <row r="30" spans="1:12" x14ac:dyDescent="0.25">
      <c r="A30" s="3">
        <v>13</v>
      </c>
      <c r="B30">
        <f t="shared" si="0"/>
        <v>0.22689280275926285</v>
      </c>
      <c r="C30">
        <v>1.2687999999999999</v>
      </c>
      <c r="D30">
        <v>3.0300000000000001E-2</v>
      </c>
      <c r="E30">
        <v>9.9000000000000008E-3</v>
      </c>
      <c r="F30">
        <f>C30*'Données géométriques'!$B$6/(2+('Données géométriques'!$B$6^2+4)^0.5)</f>
        <v>0.70329966943437816</v>
      </c>
      <c r="G30">
        <f>F30^2/(PI()*'Données géométriques'!$B$6)</f>
        <v>4.9192523608110043E-2</v>
      </c>
      <c r="H30">
        <f t="shared" si="1"/>
        <v>7.9492523608110044E-2</v>
      </c>
      <c r="I30">
        <f t="shared" si="3"/>
        <v>0.24203601814660336</v>
      </c>
      <c r="J30">
        <f>XCP_3D('Données géométriques'!$B$9,'Données géométriques'!$B$10,'Données géométriques'!$B$12,'Données géométriques'!$B$11,I30)</f>
        <v>-0.22159163692334677</v>
      </c>
      <c r="K30">
        <f>K29</f>
        <v>1.1514536950961625</v>
      </c>
      <c r="L30">
        <f t="shared" si="2"/>
        <v>-3.840836307665324E-2</v>
      </c>
    </row>
    <row r="31" spans="1:12" x14ac:dyDescent="0.25">
      <c r="A31">
        <v>13.5</v>
      </c>
      <c r="B31">
        <f t="shared" si="0"/>
        <v>0.23561944901923448</v>
      </c>
      <c r="C31">
        <f>-$C$30*(A31-90)/(90-$A$30)</f>
        <v>1.2605610389610389</v>
      </c>
      <c r="D31">
        <f>$O$2*(A31-$A$30)+$D$30</f>
        <v>3.3070000000000002E-2</v>
      </c>
      <c r="E31" s="4" t="s">
        <v>30</v>
      </c>
      <c r="F31">
        <f>C31*'Données géométriques'!$B$6/(2+('Données géométriques'!$B$6^2+4)^0.5)</f>
        <v>0.69873278846402509</v>
      </c>
      <c r="G31">
        <f>F31^2/(PI()*'Données géométriques'!$B$6)</f>
        <v>4.8555733898728623E-2</v>
      </c>
      <c r="H31">
        <f t="shared" si="1"/>
        <v>8.1625733898728625E-2</v>
      </c>
      <c r="I31" s="4" t="s">
        <v>30</v>
      </c>
      <c r="J31" s="4">
        <f>'1kts'!J$22</f>
        <v>-0.41152228571428573</v>
      </c>
      <c r="K31" s="4">
        <f>'1kts'!K$22</f>
        <v>0.92155428571428555</v>
      </c>
      <c r="L31" s="4">
        <f>'1kts'!L$22</f>
        <v>0.15152228571428572</v>
      </c>
    </row>
    <row r="32" spans="1:12" x14ac:dyDescent="0.25">
      <c r="A32">
        <v>14</v>
      </c>
      <c r="B32">
        <f t="shared" si="0"/>
        <v>0.24434609527920614</v>
      </c>
      <c r="C32">
        <f t="shared" ref="C32:C78" si="4">-$C$30*(A32-90)/(90-$A$30)</f>
        <v>1.2523220779220778</v>
      </c>
      <c r="D32">
        <f t="shared" ref="D32:D78" si="5">$O$2*(A32-$A$30)+$D$30</f>
        <v>3.5840000000000004E-2</v>
      </c>
      <c r="E32" s="4" t="s">
        <v>30</v>
      </c>
      <c r="F32">
        <f>C32*'Données géométriques'!$B$6/(2+('Données géométriques'!$B$6^2+4)^0.5)</f>
        <v>0.69416590749367202</v>
      </c>
      <c r="G32">
        <f>F32^2/(PI()*'Données géométriques'!$B$6)</f>
        <v>4.7923092656509306E-2</v>
      </c>
      <c r="H32">
        <f t="shared" si="1"/>
        <v>8.3763092656509303E-2</v>
      </c>
      <c r="I32" s="4" t="s">
        <v>30</v>
      </c>
      <c r="J32" s="4">
        <f>'1kts'!J$22</f>
        <v>-0.41152228571428573</v>
      </c>
      <c r="K32" s="4">
        <f>'1kts'!K$22</f>
        <v>0.92155428571428555</v>
      </c>
      <c r="L32" s="4">
        <f>'1kts'!L$22</f>
        <v>0.15152228571428572</v>
      </c>
    </row>
    <row r="33" spans="1:12" x14ac:dyDescent="0.25">
      <c r="A33">
        <v>14.5</v>
      </c>
      <c r="B33">
        <f t="shared" si="0"/>
        <v>0.2530727415391778</v>
      </c>
      <c r="C33">
        <f t="shared" si="4"/>
        <v>1.2440831168831168</v>
      </c>
      <c r="D33">
        <f t="shared" si="5"/>
        <v>3.8610000000000005E-2</v>
      </c>
      <c r="E33" s="4" t="s">
        <v>30</v>
      </c>
      <c r="F33">
        <f>C33*'Données géométriques'!$B$6/(2+('Données géométriques'!$B$6^2+4)^0.5)</f>
        <v>0.68959902652331884</v>
      </c>
      <c r="G33">
        <f>F33^2/(PI()*'Données géométriques'!$B$6)</f>
        <v>4.7294599881452064E-2</v>
      </c>
      <c r="H33">
        <f t="shared" si="1"/>
        <v>8.5904599881452076E-2</v>
      </c>
      <c r="I33" s="4" t="s">
        <v>30</v>
      </c>
      <c r="J33" s="4">
        <f>'1kts'!J$22</f>
        <v>-0.41152228571428573</v>
      </c>
      <c r="K33" s="4">
        <f>'1kts'!K$22</f>
        <v>0.92155428571428555</v>
      </c>
      <c r="L33" s="4">
        <f>'1kts'!L$22</f>
        <v>0.15152228571428572</v>
      </c>
    </row>
    <row r="34" spans="1:12" x14ac:dyDescent="0.25">
      <c r="A34">
        <v>15</v>
      </c>
      <c r="B34">
        <f t="shared" si="0"/>
        <v>0.26179938779914941</v>
      </c>
      <c r="C34">
        <f t="shared" si="4"/>
        <v>1.2358441558441557</v>
      </c>
      <c r="D34">
        <f t="shared" si="5"/>
        <v>4.1380000000000007E-2</v>
      </c>
      <c r="E34" s="4" t="s">
        <v>30</v>
      </c>
      <c r="F34">
        <f>C34*'Données géométriques'!$B$6/(2+('Données géométriques'!$B$6^2+4)^0.5)</f>
        <v>0.68503214555296565</v>
      </c>
      <c r="G34">
        <f>F34^2/(PI()*'Données géométriques'!$B$6)</f>
        <v>4.6670255573556911E-2</v>
      </c>
      <c r="H34">
        <f t="shared" si="1"/>
        <v>8.8050255573556918E-2</v>
      </c>
      <c r="I34" s="4" t="s">
        <v>30</v>
      </c>
      <c r="J34" s="4">
        <f>'1kts'!J$22</f>
        <v>-0.41152228571428573</v>
      </c>
      <c r="K34" s="4">
        <f>'1kts'!K$22</f>
        <v>0.92155428571428555</v>
      </c>
      <c r="L34" s="4">
        <f>'1kts'!L$22</f>
        <v>0.15152228571428572</v>
      </c>
    </row>
    <row r="35" spans="1:12" x14ac:dyDescent="0.25">
      <c r="A35">
        <v>15.5</v>
      </c>
      <c r="B35">
        <f t="shared" si="0"/>
        <v>0.27052603405912107</v>
      </c>
      <c r="C35">
        <f t="shared" si="4"/>
        <v>1.2276051948051947</v>
      </c>
      <c r="D35">
        <f t="shared" si="5"/>
        <v>4.4150000000000009E-2</v>
      </c>
      <c r="E35" s="4" t="s">
        <v>30</v>
      </c>
      <c r="F35">
        <f>C35*'Données géométriques'!$B$6/(2+('Données géométriques'!$B$6^2+4)^0.5)</f>
        <v>0.68046526458261258</v>
      </c>
      <c r="G35">
        <f>F35^2/(PI()*'Données géométriques'!$B$6)</f>
        <v>4.6050059732823868E-2</v>
      </c>
      <c r="H35">
        <f t="shared" si="1"/>
        <v>9.0200059732823884E-2</v>
      </c>
      <c r="I35" s="4" t="s">
        <v>30</v>
      </c>
      <c r="J35" s="4">
        <f>'1kts'!J$22</f>
        <v>-0.41152228571428573</v>
      </c>
      <c r="K35" s="4">
        <f>'1kts'!K$22</f>
        <v>0.92155428571428555</v>
      </c>
      <c r="L35" s="4">
        <f>'1kts'!L$22</f>
        <v>0.15152228571428572</v>
      </c>
    </row>
    <row r="36" spans="1:12" x14ac:dyDescent="0.25">
      <c r="A36">
        <v>16</v>
      </c>
      <c r="B36">
        <f t="shared" si="0"/>
        <v>0.27925268031909273</v>
      </c>
      <c r="C36">
        <f t="shared" si="4"/>
        <v>1.2193662337662337</v>
      </c>
      <c r="D36">
        <f t="shared" si="5"/>
        <v>4.692000000000001E-2</v>
      </c>
      <c r="E36" s="4" t="s">
        <v>30</v>
      </c>
      <c r="F36">
        <f>C36*'Données géométriques'!$B$6/(2+('Données géométriques'!$B$6^2+4)^0.5)</f>
        <v>0.67589838361225951</v>
      </c>
      <c r="G36">
        <f>F36^2/(PI()*'Données géométriques'!$B$6)</f>
        <v>4.5434012359252922E-2</v>
      </c>
      <c r="H36">
        <f t="shared" si="1"/>
        <v>9.2354012359252932E-2</v>
      </c>
      <c r="I36" s="4" t="s">
        <v>30</v>
      </c>
      <c r="J36" s="4">
        <f>'1kts'!J$22</f>
        <v>-0.41152228571428573</v>
      </c>
      <c r="K36" s="4">
        <f>'1kts'!K$22</f>
        <v>0.92155428571428555</v>
      </c>
      <c r="L36" s="4">
        <f>'1kts'!L$22</f>
        <v>0.15152228571428572</v>
      </c>
    </row>
    <row r="37" spans="1:12" x14ac:dyDescent="0.25">
      <c r="A37">
        <v>17</v>
      </c>
      <c r="B37">
        <f t="shared" si="0"/>
        <v>0.29670597283903605</v>
      </c>
      <c r="C37">
        <f t="shared" si="4"/>
        <v>1.2028883116883118</v>
      </c>
      <c r="D37">
        <f t="shared" si="5"/>
        <v>5.2460000000000014E-2</v>
      </c>
      <c r="E37" s="4" t="s">
        <v>30</v>
      </c>
      <c r="F37">
        <f>C37*'Données géométriques'!$B$6/(2+('Données géométriques'!$B$6^2+4)^0.5)</f>
        <v>0.66676462167155337</v>
      </c>
      <c r="G37">
        <f>F37^2/(PI()*'Données géométriques'!$B$6)</f>
        <v>4.421436301359731E-2</v>
      </c>
      <c r="H37">
        <f t="shared" si="1"/>
        <v>9.6674363013597331E-2</v>
      </c>
      <c r="I37" s="4" t="s">
        <v>30</v>
      </c>
      <c r="J37" s="4">
        <f>'1kts'!J$22</f>
        <v>-0.41152228571428573</v>
      </c>
      <c r="K37" s="4">
        <f>'1kts'!K$22</f>
        <v>0.92155428571428555</v>
      </c>
      <c r="L37" s="4">
        <f>'1kts'!L$22</f>
        <v>0.15152228571428572</v>
      </c>
    </row>
    <row r="38" spans="1:12" x14ac:dyDescent="0.25">
      <c r="A38">
        <v>17.5</v>
      </c>
      <c r="B38">
        <f t="shared" si="0"/>
        <v>0.30543261909900765</v>
      </c>
      <c r="C38">
        <f t="shared" si="4"/>
        <v>1.1946493506493507</v>
      </c>
      <c r="D38">
        <f t="shared" si="5"/>
        <v>5.5230000000000015E-2</v>
      </c>
      <c r="E38" s="4" t="s">
        <v>30</v>
      </c>
      <c r="F38">
        <f>C38*'Données géométriques'!$B$6/(2+('Données géométriques'!$B$6^2+4)^0.5)</f>
        <v>0.6621977407012003</v>
      </c>
      <c r="G38">
        <f>F38^2/(PI()*'Données géométriques'!$B$6)</f>
        <v>4.3610761041512645E-2</v>
      </c>
      <c r="H38">
        <f t="shared" si="1"/>
        <v>9.8840761041512654E-2</v>
      </c>
      <c r="I38" s="4" t="s">
        <v>30</v>
      </c>
      <c r="J38" s="4">
        <f>'1kts'!J$22</f>
        <v>-0.41152228571428573</v>
      </c>
      <c r="K38" s="4">
        <f>'1kts'!K$22</f>
        <v>0.92155428571428555</v>
      </c>
      <c r="L38" s="4">
        <f>'1kts'!L$22</f>
        <v>0.15152228571428572</v>
      </c>
    </row>
    <row r="39" spans="1:12" x14ac:dyDescent="0.25">
      <c r="A39">
        <v>18</v>
      </c>
      <c r="B39">
        <f t="shared" si="0"/>
        <v>0.31415926535897931</v>
      </c>
      <c r="C39">
        <f t="shared" si="4"/>
        <v>1.1864103896103897</v>
      </c>
      <c r="D39">
        <f t="shared" si="5"/>
        <v>5.8000000000000017E-2</v>
      </c>
      <c r="E39" s="4" t="s">
        <v>30</v>
      </c>
      <c r="F39">
        <f>C39*'Données géométriques'!$B$6/(2+('Données géométriques'!$B$6^2+4)^0.5)</f>
        <v>0.65763085973084723</v>
      </c>
      <c r="G39">
        <f>F39^2/(PI()*'Données géométriques'!$B$6)</f>
        <v>4.3011307536590077E-2</v>
      </c>
      <c r="H39">
        <f t="shared" si="1"/>
        <v>0.1010113075365901</v>
      </c>
      <c r="I39" s="4" t="s">
        <v>30</v>
      </c>
      <c r="J39" s="4">
        <f>'1kts'!J$22</f>
        <v>-0.41152228571428573</v>
      </c>
      <c r="K39" s="4">
        <f>'1kts'!K$22</f>
        <v>0.92155428571428555</v>
      </c>
      <c r="L39" s="4">
        <f>'1kts'!L$22</f>
        <v>0.15152228571428572</v>
      </c>
    </row>
    <row r="40" spans="1:12" x14ac:dyDescent="0.25">
      <c r="A40">
        <v>18.5</v>
      </c>
      <c r="B40">
        <f t="shared" si="0"/>
        <v>0.32288591161895097</v>
      </c>
      <c r="C40">
        <f t="shared" si="4"/>
        <v>1.1781714285714286</v>
      </c>
      <c r="D40">
        <f t="shared" si="5"/>
        <v>6.0770000000000018E-2</v>
      </c>
      <c r="E40" s="4" t="s">
        <v>30</v>
      </c>
      <c r="F40">
        <f>C40*'Données géométriques'!$B$6/(2+('Données géométriques'!$B$6^2+4)^0.5)</f>
        <v>0.65306397876049405</v>
      </c>
      <c r="G40">
        <f>F40^2/(PI()*'Données géométriques'!$B$6)</f>
        <v>4.2416002498829583E-2</v>
      </c>
      <c r="H40">
        <f t="shared" si="1"/>
        <v>0.1031860024988296</v>
      </c>
      <c r="I40" s="4" t="s">
        <v>30</v>
      </c>
      <c r="J40" s="4">
        <f>'1kts'!J$22</f>
        <v>-0.41152228571428573</v>
      </c>
      <c r="K40" s="4">
        <f>'1kts'!K$22</f>
        <v>0.92155428571428555</v>
      </c>
      <c r="L40" s="4">
        <f>'1kts'!L$22</f>
        <v>0.15152228571428572</v>
      </c>
    </row>
    <row r="41" spans="1:12" x14ac:dyDescent="0.25">
      <c r="A41">
        <v>19</v>
      </c>
      <c r="B41">
        <f t="shared" si="0"/>
        <v>0.33161255787892263</v>
      </c>
      <c r="C41">
        <f t="shared" si="4"/>
        <v>1.1699324675324676</v>
      </c>
      <c r="D41">
        <f t="shared" si="5"/>
        <v>6.3540000000000013E-2</v>
      </c>
      <c r="E41" s="4" t="s">
        <v>30</v>
      </c>
      <c r="F41">
        <f>C41*'Données géométriques'!$B$6/(2+('Données géométriques'!$B$6^2+4)^0.5)</f>
        <v>0.64849709779014097</v>
      </c>
      <c r="G41">
        <f>F41^2/(PI()*'Données géométriques'!$B$6)</f>
        <v>4.18248459282312E-2</v>
      </c>
      <c r="H41">
        <f t="shared" si="1"/>
        <v>0.10536484592823121</v>
      </c>
      <c r="I41" s="4" t="s">
        <v>30</v>
      </c>
      <c r="J41" s="4">
        <f>'1kts'!J$22</f>
        <v>-0.41152228571428573</v>
      </c>
      <c r="K41" s="4">
        <f>'1kts'!K$22</f>
        <v>0.92155428571428555</v>
      </c>
      <c r="L41" s="4">
        <f>'1kts'!L$22</f>
        <v>0.15152228571428572</v>
      </c>
    </row>
    <row r="42" spans="1:12" x14ac:dyDescent="0.25">
      <c r="A42">
        <v>19.5</v>
      </c>
      <c r="B42">
        <f t="shared" si="0"/>
        <v>0.34033920413889424</v>
      </c>
      <c r="C42">
        <f t="shared" si="4"/>
        <v>1.1616935064935066</v>
      </c>
      <c r="D42">
        <f t="shared" si="5"/>
        <v>6.6310000000000022E-2</v>
      </c>
      <c r="E42" s="4" t="s">
        <v>30</v>
      </c>
      <c r="F42">
        <f>C42*'Données géométriques'!$B$6/(2+('Données géométriques'!$B$6^2+4)^0.5)</f>
        <v>0.64393021681978779</v>
      </c>
      <c r="G42">
        <f>F42^2/(PI()*'Données géométriques'!$B$6)</f>
        <v>4.1237837824794898E-2</v>
      </c>
      <c r="H42">
        <f t="shared" si="1"/>
        <v>0.10754783782479492</v>
      </c>
      <c r="I42" s="4" t="s">
        <v>30</v>
      </c>
      <c r="J42" s="4">
        <f>'1kts'!J$22</f>
        <v>-0.41152228571428573</v>
      </c>
      <c r="K42" s="4">
        <f>'1kts'!K$22</f>
        <v>0.92155428571428555</v>
      </c>
      <c r="L42" s="4">
        <f>'1kts'!L$22</f>
        <v>0.15152228571428572</v>
      </c>
    </row>
    <row r="43" spans="1:12" x14ac:dyDescent="0.25">
      <c r="A43">
        <v>20</v>
      </c>
      <c r="B43">
        <f t="shared" si="0"/>
        <v>0.3490658503988659</v>
      </c>
      <c r="C43">
        <f t="shared" si="4"/>
        <v>1.1534545454545453</v>
      </c>
      <c r="D43">
        <f t="shared" si="5"/>
        <v>6.908000000000003E-2</v>
      </c>
      <c r="E43" s="4" t="s">
        <v>30</v>
      </c>
      <c r="F43">
        <f>C43*'Données géométriques'!$B$6/(2+('Données géométriques'!$B$6^2+4)^0.5)</f>
        <v>0.63936333584943461</v>
      </c>
      <c r="G43">
        <f>F43^2/(PI()*'Données géométriques'!$B$6)</f>
        <v>4.0654978188520687E-2</v>
      </c>
      <c r="H43">
        <f>G43+D43</f>
        <v>0.10973497818852071</v>
      </c>
      <c r="I43" s="4" t="s">
        <v>30</v>
      </c>
      <c r="J43" s="4">
        <f>'1kts'!J$22</f>
        <v>-0.41152228571428573</v>
      </c>
      <c r="K43" s="4">
        <f>'1kts'!K$22</f>
        <v>0.92155428571428555</v>
      </c>
      <c r="L43" s="4">
        <f>'1kts'!L$22</f>
        <v>0.15152228571428572</v>
      </c>
    </row>
    <row r="44" spans="1:12" x14ac:dyDescent="0.25">
      <c r="A44">
        <v>22</v>
      </c>
      <c r="B44">
        <f t="shared" si="0"/>
        <v>0.38397243543875248</v>
      </c>
      <c r="C44">
        <f t="shared" si="4"/>
        <v>1.1204987012987011</v>
      </c>
      <c r="D44">
        <f t="shared" si="5"/>
        <v>8.0160000000000037E-2</v>
      </c>
      <c r="E44" s="4" t="s">
        <v>30</v>
      </c>
      <c r="F44">
        <f>C44*'Données géométriques'!$B$6/(2+('Données géométriques'!$B$6^2+4)^0.5)</f>
        <v>0.62109581196802222</v>
      </c>
      <c r="G44">
        <f>F44^2/(PI()*'Données géométriques'!$B$6)</f>
        <v>3.8365024315044828E-2</v>
      </c>
      <c r="H44">
        <f t="shared" ref="H44:H78" si="6">G44+D44</f>
        <v>0.11852502431504486</v>
      </c>
      <c r="I44" s="4" t="s">
        <v>30</v>
      </c>
      <c r="J44" s="4">
        <f>'1kts'!J$22</f>
        <v>-0.41152228571428573</v>
      </c>
      <c r="K44" s="4">
        <f>'1kts'!K$22</f>
        <v>0.92155428571428555</v>
      </c>
      <c r="L44" s="4">
        <f>'1kts'!L$22</f>
        <v>0.15152228571428572</v>
      </c>
    </row>
    <row r="45" spans="1:12" x14ac:dyDescent="0.25">
      <c r="A45">
        <f>A44+2</f>
        <v>24</v>
      </c>
      <c r="B45">
        <f t="shared" si="0"/>
        <v>0.41887902047863912</v>
      </c>
      <c r="C45">
        <f t="shared" si="4"/>
        <v>1.0875428571428571</v>
      </c>
      <c r="D45">
        <f t="shared" si="5"/>
        <v>9.1240000000000043E-2</v>
      </c>
      <c r="E45" s="4" t="s">
        <v>30</v>
      </c>
      <c r="F45">
        <f>C45*'Données géométriques'!$B$6/(2+('Données géométriques'!$B$6^2+4)^0.5)</f>
        <v>0.60282828808660993</v>
      </c>
      <c r="G45">
        <f>F45^2/(PI()*'Données géométriques'!$B$6)</f>
        <v>3.6141445916162487E-2</v>
      </c>
      <c r="H45">
        <f t="shared" si="6"/>
        <v>0.12738144591616252</v>
      </c>
      <c r="I45" s="4" t="s">
        <v>30</v>
      </c>
      <c r="J45" s="4">
        <f>'1kts'!J$22</f>
        <v>-0.41152228571428573</v>
      </c>
      <c r="K45" s="4">
        <f>'1kts'!K$22</f>
        <v>0.92155428571428555</v>
      </c>
      <c r="L45" s="4">
        <f>'1kts'!L$22</f>
        <v>0.15152228571428572</v>
      </c>
    </row>
    <row r="46" spans="1:12" x14ac:dyDescent="0.25">
      <c r="A46">
        <f t="shared" ref="A46:A78" si="7">A45+2</f>
        <v>26</v>
      </c>
      <c r="B46">
        <f t="shared" si="0"/>
        <v>0.4537856055185257</v>
      </c>
      <c r="C46">
        <f t="shared" si="4"/>
        <v>1.054587012987013</v>
      </c>
      <c r="D46">
        <f t="shared" si="5"/>
        <v>0.10232000000000005</v>
      </c>
      <c r="E46" s="4" t="s">
        <v>30</v>
      </c>
      <c r="F46">
        <f>C46*'Données géométriques'!$B$6/(2+('Données géométriques'!$B$6^2+4)^0.5)</f>
        <v>0.58456076420519743</v>
      </c>
      <c r="G46">
        <f>F46^2/(PI()*'Données géométriques'!$B$6)</f>
        <v>3.398424299187363E-2</v>
      </c>
      <c r="H46">
        <f t="shared" si="6"/>
        <v>0.13630424299187369</v>
      </c>
      <c r="I46" s="4" t="s">
        <v>30</v>
      </c>
      <c r="J46" s="4">
        <f>'1kts'!J$22</f>
        <v>-0.41152228571428573</v>
      </c>
      <c r="K46" s="4">
        <f>'1kts'!K$22</f>
        <v>0.92155428571428555</v>
      </c>
      <c r="L46" s="4">
        <f>'1kts'!L$22</f>
        <v>0.15152228571428572</v>
      </c>
    </row>
    <row r="47" spans="1:12" x14ac:dyDescent="0.25">
      <c r="A47">
        <f t="shared" si="7"/>
        <v>28</v>
      </c>
      <c r="B47">
        <f t="shared" si="0"/>
        <v>0.48869219055841229</v>
      </c>
      <c r="C47">
        <f t="shared" si="4"/>
        <v>1.0216311688311688</v>
      </c>
      <c r="D47">
        <f t="shared" si="5"/>
        <v>0.11340000000000006</v>
      </c>
      <c r="E47" s="4" t="s">
        <v>30</v>
      </c>
      <c r="F47">
        <f>C47*'Données géométriques'!$B$6/(2+('Données géométriques'!$B$6^2+4)^0.5)</f>
        <v>0.56629324032378492</v>
      </c>
      <c r="G47">
        <f>F47^2/(PI()*'Données géométriques'!$B$6)</f>
        <v>3.1893415542178262E-2</v>
      </c>
      <c r="H47">
        <f t="shared" si="6"/>
        <v>0.14529341554217831</v>
      </c>
      <c r="I47" s="4" t="s">
        <v>30</v>
      </c>
      <c r="J47" s="4">
        <f>'1kts'!J$22</f>
        <v>-0.41152228571428573</v>
      </c>
      <c r="K47" s="4">
        <f>'1kts'!K$22</f>
        <v>0.92155428571428555</v>
      </c>
      <c r="L47" s="4">
        <f>'1kts'!L$22</f>
        <v>0.15152228571428572</v>
      </c>
    </row>
    <row r="48" spans="1:12" x14ac:dyDescent="0.25">
      <c r="A48">
        <f t="shared" si="7"/>
        <v>30</v>
      </c>
      <c r="B48">
        <f t="shared" si="0"/>
        <v>0.52359877559829882</v>
      </c>
      <c r="C48">
        <f t="shared" si="4"/>
        <v>0.98867532467532471</v>
      </c>
      <c r="D48">
        <f t="shared" si="5"/>
        <v>0.12448000000000006</v>
      </c>
      <c r="E48" s="4" t="s">
        <v>30</v>
      </c>
      <c r="F48">
        <f>C48*'Données géométriques'!$B$6/(2+('Données géométriques'!$B$6^2+4)^0.5)</f>
        <v>0.54802571644237263</v>
      </c>
      <c r="G48">
        <f>F48^2/(PI()*'Données géométriques'!$B$6)</f>
        <v>2.9868963567076433E-2</v>
      </c>
      <c r="H48">
        <f t="shared" si="6"/>
        <v>0.1543489635670765</v>
      </c>
      <c r="I48" s="4" t="s">
        <v>30</v>
      </c>
      <c r="J48" s="4">
        <f>'1kts'!J$22</f>
        <v>-0.41152228571428573</v>
      </c>
      <c r="K48" s="4">
        <f>'1kts'!K$22</f>
        <v>0.92155428571428555</v>
      </c>
      <c r="L48" s="4">
        <f>'1kts'!L$22</f>
        <v>0.15152228571428572</v>
      </c>
    </row>
    <row r="49" spans="1:12" x14ac:dyDescent="0.25">
      <c r="A49">
        <f t="shared" si="7"/>
        <v>32</v>
      </c>
      <c r="B49">
        <f t="shared" si="0"/>
        <v>0.55850536063818546</v>
      </c>
      <c r="C49">
        <f t="shared" si="4"/>
        <v>0.95571948051948052</v>
      </c>
      <c r="D49">
        <f t="shared" si="5"/>
        <v>0.13556000000000007</v>
      </c>
      <c r="E49" s="4" t="s">
        <v>30</v>
      </c>
      <c r="F49">
        <f>C49*'Données géométriques'!$B$6/(2+('Données géométriques'!$B$6^2+4)^0.5)</f>
        <v>0.52975819256096024</v>
      </c>
      <c r="G49">
        <f>F49^2/(PI()*'Données géométriques'!$B$6)</f>
        <v>2.7910887066568094E-2</v>
      </c>
      <c r="H49">
        <f t="shared" si="6"/>
        <v>0.16347088706656815</v>
      </c>
      <c r="I49" s="4" t="s">
        <v>30</v>
      </c>
      <c r="J49" s="4">
        <f>'1kts'!J$22</f>
        <v>-0.41152228571428573</v>
      </c>
      <c r="K49" s="4">
        <f>'1kts'!K$22</f>
        <v>0.92155428571428555</v>
      </c>
      <c r="L49" s="4">
        <f>'1kts'!L$22</f>
        <v>0.15152228571428572</v>
      </c>
    </row>
    <row r="50" spans="1:12" x14ac:dyDescent="0.25">
      <c r="A50">
        <f t="shared" si="7"/>
        <v>34</v>
      </c>
      <c r="B50">
        <f t="shared" si="0"/>
        <v>0.59341194567807209</v>
      </c>
      <c r="C50">
        <f t="shared" si="4"/>
        <v>0.92276363636363623</v>
      </c>
      <c r="D50">
        <f t="shared" si="5"/>
        <v>0.14664000000000008</v>
      </c>
      <c r="E50" s="4" t="s">
        <v>30</v>
      </c>
      <c r="F50">
        <f>C50*'Données géométriques'!$B$6/(2+('Données géométriques'!$B$6^2+4)^0.5)</f>
        <v>0.51149066867954773</v>
      </c>
      <c r="G50">
        <f>F50^2/(PI()*'Données géométriques'!$B$6)</f>
        <v>2.6019186040653244E-2</v>
      </c>
      <c r="H50">
        <f t="shared" si="6"/>
        <v>0.17265918604065333</v>
      </c>
      <c r="I50" s="4" t="s">
        <v>30</v>
      </c>
      <c r="J50" s="4">
        <f>'1kts'!J$22</f>
        <v>-0.41152228571428573</v>
      </c>
      <c r="K50" s="4">
        <f>'1kts'!K$22</f>
        <v>0.92155428571428555</v>
      </c>
      <c r="L50" s="4">
        <f>'1kts'!L$22</f>
        <v>0.15152228571428572</v>
      </c>
    </row>
    <row r="51" spans="1:12" x14ac:dyDescent="0.25">
      <c r="A51">
        <f t="shared" si="7"/>
        <v>36</v>
      </c>
      <c r="B51">
        <f t="shared" si="0"/>
        <v>0.62831853071795862</v>
      </c>
      <c r="C51">
        <f t="shared" si="4"/>
        <v>0.88980779220779216</v>
      </c>
      <c r="D51">
        <f t="shared" si="5"/>
        <v>0.15772000000000008</v>
      </c>
      <c r="E51" s="4" t="s">
        <v>30</v>
      </c>
      <c r="F51">
        <f>C51*'Données géométriques'!$B$6/(2+('Données géométriques'!$B$6^2+4)^0.5)</f>
        <v>0.49322314479813534</v>
      </c>
      <c r="G51">
        <f>F51^2/(PI()*'Données géométriques'!$B$6)</f>
        <v>2.4193860489331909E-2</v>
      </c>
      <c r="H51">
        <f t="shared" si="6"/>
        <v>0.181913860489332</v>
      </c>
      <c r="I51" s="4" t="s">
        <v>30</v>
      </c>
      <c r="J51" s="4">
        <f>'1kts'!J$22</f>
        <v>-0.41152228571428573</v>
      </c>
      <c r="K51" s="4">
        <f>'1kts'!K$22</f>
        <v>0.92155428571428555</v>
      </c>
      <c r="L51" s="4">
        <f>'1kts'!L$22</f>
        <v>0.15152228571428572</v>
      </c>
    </row>
    <row r="52" spans="1:12" x14ac:dyDescent="0.25">
      <c r="A52">
        <f t="shared" si="7"/>
        <v>38</v>
      </c>
      <c r="B52">
        <f t="shared" si="0"/>
        <v>0.66322511575784526</v>
      </c>
      <c r="C52">
        <f t="shared" si="4"/>
        <v>0.85685194805194798</v>
      </c>
      <c r="D52">
        <f t="shared" si="5"/>
        <v>0.16880000000000006</v>
      </c>
      <c r="E52" s="4" t="s">
        <v>30</v>
      </c>
      <c r="F52">
        <f>C52*'Données géométriques'!$B$6/(2+('Données géométriques'!$B$6^2+4)^0.5)</f>
        <v>0.47495562091672289</v>
      </c>
      <c r="G52">
        <f>F52^2/(PI()*'Données géométriques'!$B$6)</f>
        <v>2.2434910412604071E-2</v>
      </c>
      <c r="H52">
        <f t="shared" si="6"/>
        <v>0.19123491041260413</v>
      </c>
      <c r="I52" s="4" t="s">
        <v>30</v>
      </c>
      <c r="J52" s="4">
        <f>'1kts'!J$22</f>
        <v>-0.41152228571428573</v>
      </c>
      <c r="K52" s="4">
        <f>'1kts'!K$22</f>
        <v>0.92155428571428555</v>
      </c>
      <c r="L52" s="4">
        <f>'1kts'!L$22</f>
        <v>0.15152228571428572</v>
      </c>
    </row>
    <row r="53" spans="1:12" x14ac:dyDescent="0.25">
      <c r="A53">
        <f t="shared" si="7"/>
        <v>40</v>
      </c>
      <c r="B53">
        <f t="shared" si="0"/>
        <v>0.69813170079773179</v>
      </c>
      <c r="C53">
        <f t="shared" si="4"/>
        <v>0.8238961038961039</v>
      </c>
      <c r="D53">
        <f t="shared" si="5"/>
        <v>0.1798800000000001</v>
      </c>
      <c r="E53" s="4" t="s">
        <v>30</v>
      </c>
      <c r="F53">
        <f>C53*'Données géométriques'!$B$6/(2+('Données géométriques'!$B$6^2+4)^0.5)</f>
        <v>0.45668809703531049</v>
      </c>
      <c r="G53">
        <f>F53^2/(PI()*'Données géométriques'!$B$6)</f>
        <v>2.0742335810469744E-2</v>
      </c>
      <c r="H53">
        <f t="shared" si="6"/>
        <v>0.20062233581046984</v>
      </c>
      <c r="I53" s="4" t="s">
        <v>30</v>
      </c>
      <c r="J53" s="4">
        <f>'1kts'!J$22</f>
        <v>-0.41152228571428573</v>
      </c>
      <c r="K53" s="4">
        <f>'1kts'!K$22</f>
        <v>0.92155428571428555</v>
      </c>
      <c r="L53" s="4">
        <f>'1kts'!L$22</f>
        <v>0.15152228571428572</v>
      </c>
    </row>
    <row r="54" spans="1:12" x14ac:dyDescent="0.25">
      <c r="A54">
        <f t="shared" si="7"/>
        <v>42</v>
      </c>
      <c r="B54">
        <f t="shared" si="0"/>
        <v>0.73303828583761843</v>
      </c>
      <c r="C54">
        <f t="shared" si="4"/>
        <v>0.79094025974025972</v>
      </c>
      <c r="D54">
        <f t="shared" si="5"/>
        <v>0.19096000000000007</v>
      </c>
      <c r="E54" s="4" t="s">
        <v>30</v>
      </c>
      <c r="F54">
        <f>C54*'Données géométriques'!$B$6/(2+('Données géométriques'!$B$6^2+4)^0.5)</f>
        <v>0.43842057315389804</v>
      </c>
      <c r="G54">
        <f>F54^2/(PI()*'Données géométriques'!$B$6)</f>
        <v>1.9116136682928914E-2</v>
      </c>
      <c r="H54">
        <f t="shared" si="6"/>
        <v>0.21007613668292899</v>
      </c>
      <c r="I54" s="4" t="s">
        <v>30</v>
      </c>
      <c r="J54" s="4">
        <f>'1kts'!J$22</f>
        <v>-0.41152228571428573</v>
      </c>
      <c r="K54" s="4">
        <f>'1kts'!K$22</f>
        <v>0.92155428571428555</v>
      </c>
      <c r="L54" s="4">
        <f>'1kts'!L$22</f>
        <v>0.15152228571428572</v>
      </c>
    </row>
    <row r="55" spans="1:12" x14ac:dyDescent="0.25">
      <c r="A55">
        <f t="shared" si="7"/>
        <v>44</v>
      </c>
      <c r="B55">
        <f t="shared" si="0"/>
        <v>0.76794487087750496</v>
      </c>
      <c r="C55">
        <f t="shared" si="4"/>
        <v>0.75798441558441554</v>
      </c>
      <c r="D55">
        <f t="shared" si="5"/>
        <v>0.20204000000000011</v>
      </c>
      <c r="E55" s="4" t="s">
        <v>30</v>
      </c>
      <c r="F55">
        <f>C55*'Données géométriques'!$B$6/(2+('Données géométriques'!$B$6^2+4)^0.5)</f>
        <v>0.42015304927248565</v>
      </c>
      <c r="G55">
        <f>F55^2/(PI()*'Données géométriques'!$B$6)</f>
        <v>1.7556313029981587E-2</v>
      </c>
      <c r="H55">
        <f t="shared" si="6"/>
        <v>0.2195963130299817</v>
      </c>
      <c r="I55" s="4" t="s">
        <v>30</v>
      </c>
      <c r="J55" s="4">
        <f>'1kts'!J$22</f>
        <v>-0.41152228571428573</v>
      </c>
      <c r="K55" s="4">
        <f>'1kts'!K$22</f>
        <v>0.92155428571428555</v>
      </c>
      <c r="L55" s="4">
        <f>'1kts'!L$22</f>
        <v>0.15152228571428572</v>
      </c>
    </row>
    <row r="56" spans="1:12" x14ac:dyDescent="0.25">
      <c r="A56">
        <f t="shared" si="7"/>
        <v>46</v>
      </c>
      <c r="B56">
        <f t="shared" si="0"/>
        <v>0.8028514559173916</v>
      </c>
      <c r="C56">
        <f t="shared" si="4"/>
        <v>0.72502857142857136</v>
      </c>
      <c r="D56">
        <f t="shared" si="5"/>
        <v>0.21312000000000009</v>
      </c>
      <c r="E56" s="4" t="s">
        <v>30</v>
      </c>
      <c r="F56">
        <f>C56*'Données géométriques'!$B$6/(2+('Données géométriques'!$B$6^2+4)^0.5)</f>
        <v>0.4018855253910732</v>
      </c>
      <c r="G56">
        <f>F56^2/(PI()*'Données géométriques'!$B$6)</f>
        <v>1.6062864851627764E-2</v>
      </c>
      <c r="H56">
        <f t="shared" si="6"/>
        <v>0.22918286485162787</v>
      </c>
      <c r="I56" s="4" t="s">
        <v>30</v>
      </c>
      <c r="J56" s="4">
        <f>'1kts'!J$22</f>
        <v>-0.41152228571428573</v>
      </c>
      <c r="K56" s="4">
        <f>'1kts'!K$22</f>
        <v>0.92155428571428555</v>
      </c>
      <c r="L56" s="4">
        <f>'1kts'!L$22</f>
        <v>0.15152228571428572</v>
      </c>
    </row>
    <row r="57" spans="1:12" x14ac:dyDescent="0.25">
      <c r="A57">
        <f t="shared" si="7"/>
        <v>48</v>
      </c>
      <c r="B57">
        <f t="shared" si="0"/>
        <v>0.83775804095727824</v>
      </c>
      <c r="C57">
        <f t="shared" si="4"/>
        <v>0.69207272727272728</v>
      </c>
      <c r="D57">
        <f t="shared" si="5"/>
        <v>0.22420000000000012</v>
      </c>
      <c r="E57" s="4" t="s">
        <v>30</v>
      </c>
      <c r="F57">
        <f>C57*'Données géométriques'!$B$6/(2+('Données géométriques'!$B$6^2+4)^0.5)</f>
        <v>0.38361800150966086</v>
      </c>
      <c r="G57">
        <f>F57^2/(PI()*'Données géométriques'!$B$6)</f>
        <v>1.4635792147867454E-2</v>
      </c>
      <c r="H57">
        <f t="shared" si="6"/>
        <v>0.23883579214786757</v>
      </c>
      <c r="I57" s="4" t="s">
        <v>30</v>
      </c>
      <c r="J57" s="4">
        <f>'1kts'!J$22</f>
        <v>-0.41152228571428573</v>
      </c>
      <c r="K57" s="4">
        <f>'1kts'!K$22</f>
        <v>0.92155428571428555</v>
      </c>
      <c r="L57" s="4">
        <f>'1kts'!L$22</f>
        <v>0.15152228571428572</v>
      </c>
    </row>
    <row r="58" spans="1:12" x14ac:dyDescent="0.25">
      <c r="A58">
        <f t="shared" si="7"/>
        <v>50</v>
      </c>
      <c r="B58">
        <f t="shared" si="0"/>
        <v>0.87266462599716477</v>
      </c>
      <c r="C58">
        <f t="shared" si="4"/>
        <v>0.6591168831168831</v>
      </c>
      <c r="D58">
        <f t="shared" si="5"/>
        <v>0.2352800000000001</v>
      </c>
      <c r="E58" s="4" t="s">
        <v>30</v>
      </c>
      <c r="F58">
        <f>C58*'Données géométriques'!$B$6/(2+('Données géométriques'!$B$6^2+4)^0.5)</f>
        <v>0.3653504776282484</v>
      </c>
      <c r="G58">
        <f>F58^2/(PI()*'Données géométriques'!$B$6)</f>
        <v>1.3275094918700638E-2</v>
      </c>
      <c r="H58">
        <f t="shared" si="6"/>
        <v>0.24855509491870073</v>
      </c>
      <c r="I58" s="4" t="s">
        <v>30</v>
      </c>
      <c r="J58" s="4">
        <f>'1kts'!J$22</f>
        <v>-0.41152228571428573</v>
      </c>
      <c r="K58" s="4">
        <f>'1kts'!K$22</f>
        <v>0.92155428571428555</v>
      </c>
      <c r="L58" s="4">
        <f>'1kts'!L$22</f>
        <v>0.15152228571428572</v>
      </c>
    </row>
    <row r="59" spans="1:12" x14ac:dyDescent="0.25">
      <c r="A59">
        <f t="shared" si="7"/>
        <v>52</v>
      </c>
      <c r="B59">
        <f t="shared" si="0"/>
        <v>0.90757121103705141</v>
      </c>
      <c r="C59">
        <f t="shared" si="4"/>
        <v>0.62616103896103892</v>
      </c>
      <c r="D59">
        <f t="shared" si="5"/>
        <v>0.24636000000000013</v>
      </c>
      <c r="E59" s="4" t="s">
        <v>30</v>
      </c>
      <c r="F59">
        <f>C59*'Données géométriques'!$B$6/(2+('Données géométriques'!$B$6^2+4)^0.5)</f>
        <v>0.34708295374683601</v>
      </c>
      <c r="G59">
        <f>F59^2/(PI()*'Données géométriques'!$B$6)</f>
        <v>1.1980773164127326E-2</v>
      </c>
      <c r="H59">
        <f t="shared" si="6"/>
        <v>0.25834077316412746</v>
      </c>
      <c r="I59" s="4" t="s">
        <v>30</v>
      </c>
      <c r="J59" s="4">
        <f>'1kts'!J$22</f>
        <v>-0.41152228571428573</v>
      </c>
      <c r="K59" s="4">
        <f>'1kts'!K$22</f>
        <v>0.92155428571428555</v>
      </c>
      <c r="L59" s="4">
        <f>'1kts'!L$22</f>
        <v>0.15152228571428572</v>
      </c>
    </row>
    <row r="60" spans="1:12" x14ac:dyDescent="0.25">
      <c r="A60">
        <f t="shared" si="7"/>
        <v>54</v>
      </c>
      <c r="B60">
        <f t="shared" si="0"/>
        <v>0.94247779607693793</v>
      </c>
      <c r="C60">
        <f t="shared" si="4"/>
        <v>0.59320519480519485</v>
      </c>
      <c r="D60">
        <f t="shared" si="5"/>
        <v>0.25744000000000011</v>
      </c>
      <c r="E60" s="4" t="s">
        <v>30</v>
      </c>
      <c r="F60">
        <f>C60*'Données géométriques'!$B$6/(2+('Données géométriques'!$B$6^2+4)^0.5)</f>
        <v>0.32881542986542361</v>
      </c>
      <c r="G60">
        <f>F60^2/(PI()*'Données géométriques'!$B$6)</f>
        <v>1.0752826884147519E-2</v>
      </c>
      <c r="H60">
        <f t="shared" si="6"/>
        <v>0.26819282688414764</v>
      </c>
      <c r="I60" s="4" t="s">
        <v>30</v>
      </c>
      <c r="J60" s="4">
        <f>'1kts'!J$22</f>
        <v>-0.41152228571428573</v>
      </c>
      <c r="K60" s="4">
        <f>'1kts'!K$22</f>
        <v>0.92155428571428555</v>
      </c>
      <c r="L60" s="4">
        <f>'1kts'!L$22</f>
        <v>0.15152228571428572</v>
      </c>
    </row>
    <row r="61" spans="1:12" x14ac:dyDescent="0.25">
      <c r="A61">
        <f t="shared" si="7"/>
        <v>56</v>
      </c>
      <c r="B61">
        <f t="shared" si="0"/>
        <v>0.97738438111682457</v>
      </c>
      <c r="C61">
        <f t="shared" si="4"/>
        <v>0.56024935064935055</v>
      </c>
      <c r="D61">
        <f t="shared" si="5"/>
        <v>0.26852000000000015</v>
      </c>
      <c r="E61" s="4" t="s">
        <v>30</v>
      </c>
      <c r="F61">
        <f>C61*'Données géométriques'!$B$6/(2+('Données géométriques'!$B$6^2+4)^0.5)</f>
        <v>0.31054790598401111</v>
      </c>
      <c r="G61">
        <f>F61^2/(PI()*'Données géométriques'!$B$6)</f>
        <v>9.591256078761207E-3</v>
      </c>
      <c r="H61">
        <f t="shared" si="6"/>
        <v>0.27811125607876136</v>
      </c>
      <c r="I61" s="4" t="s">
        <v>30</v>
      </c>
      <c r="J61" s="4">
        <f>'1kts'!J$22</f>
        <v>-0.41152228571428573</v>
      </c>
      <c r="K61" s="4">
        <f>'1kts'!K$22</f>
        <v>0.92155428571428555</v>
      </c>
      <c r="L61" s="4">
        <f>'1kts'!L$22</f>
        <v>0.15152228571428572</v>
      </c>
    </row>
    <row r="62" spans="1:12" x14ac:dyDescent="0.25">
      <c r="A62">
        <f t="shared" si="7"/>
        <v>58</v>
      </c>
      <c r="B62">
        <f t="shared" si="0"/>
        <v>1.0122909661567112</v>
      </c>
      <c r="C62">
        <f t="shared" si="4"/>
        <v>0.52729350649350648</v>
      </c>
      <c r="D62">
        <f t="shared" si="5"/>
        <v>0.27960000000000013</v>
      </c>
      <c r="E62" s="4" t="s">
        <v>30</v>
      </c>
      <c r="F62">
        <f>C62*'Données géométriques'!$B$6/(2+('Données géométriques'!$B$6^2+4)^0.5)</f>
        <v>0.29228038210259871</v>
      </c>
      <c r="G62">
        <f>F62^2/(PI()*'Données géométriques'!$B$6)</f>
        <v>8.4960607479684074E-3</v>
      </c>
      <c r="H62">
        <f t="shared" si="6"/>
        <v>0.28809606074796851</v>
      </c>
      <c r="I62" s="4" t="s">
        <v>30</v>
      </c>
      <c r="J62" s="4">
        <f>'1kts'!J$22</f>
        <v>-0.41152228571428573</v>
      </c>
      <c r="K62" s="4">
        <f>'1kts'!K$22</f>
        <v>0.92155428571428555</v>
      </c>
      <c r="L62" s="4">
        <f>'1kts'!L$22</f>
        <v>0.15152228571428572</v>
      </c>
    </row>
    <row r="63" spans="1:12" x14ac:dyDescent="0.25">
      <c r="A63">
        <f t="shared" si="7"/>
        <v>60</v>
      </c>
      <c r="B63">
        <f t="shared" si="0"/>
        <v>1.0471975511965976</v>
      </c>
      <c r="C63">
        <f t="shared" si="4"/>
        <v>0.49433766233766235</v>
      </c>
      <c r="D63">
        <f t="shared" si="5"/>
        <v>0.29068000000000016</v>
      </c>
      <c r="E63" s="4" t="s">
        <v>30</v>
      </c>
      <c r="F63">
        <f>C63*'Données géométriques'!$B$6/(2+('Données géométriques'!$B$6^2+4)^0.5)</f>
        <v>0.27401285822118632</v>
      </c>
      <c r="G63">
        <f>F63^2/(PI()*'Données géométriques'!$B$6)</f>
        <v>7.4672408917691082E-3</v>
      </c>
      <c r="H63">
        <f t="shared" si="6"/>
        <v>0.29814724089176925</v>
      </c>
      <c r="I63" s="4" t="s">
        <v>30</v>
      </c>
      <c r="J63" s="4">
        <f>'1kts'!J$22</f>
        <v>-0.41152228571428573</v>
      </c>
      <c r="K63" s="4">
        <f>'1kts'!K$22</f>
        <v>0.92155428571428555</v>
      </c>
      <c r="L63" s="4">
        <f>'1kts'!L$22</f>
        <v>0.15152228571428572</v>
      </c>
    </row>
    <row r="64" spans="1:12" x14ac:dyDescent="0.25">
      <c r="A64">
        <f t="shared" si="7"/>
        <v>62</v>
      </c>
      <c r="B64">
        <f t="shared" si="0"/>
        <v>1.0821041362364843</v>
      </c>
      <c r="C64">
        <f t="shared" si="4"/>
        <v>0.46138181818181812</v>
      </c>
      <c r="D64">
        <f t="shared" si="5"/>
        <v>0.30176000000000014</v>
      </c>
      <c r="E64" s="4" t="s">
        <v>30</v>
      </c>
      <c r="F64">
        <f>C64*'Données géométriques'!$B$6/(2+('Données géométriques'!$B$6^2+4)^0.5)</f>
        <v>0.25574533433977387</v>
      </c>
      <c r="G64">
        <f>F64^2/(PI()*'Données géométriques'!$B$6)</f>
        <v>6.5047965101633111E-3</v>
      </c>
      <c r="H64">
        <f t="shared" si="6"/>
        <v>0.30826479651016347</v>
      </c>
      <c r="I64" s="4" t="s">
        <v>30</v>
      </c>
      <c r="J64" s="4">
        <f>'1kts'!J$22</f>
        <v>-0.41152228571428573</v>
      </c>
      <c r="K64" s="4">
        <f>'1kts'!K$22</f>
        <v>0.92155428571428555</v>
      </c>
      <c r="L64" s="4">
        <f>'1kts'!L$22</f>
        <v>0.15152228571428572</v>
      </c>
    </row>
    <row r="65" spans="1:12" x14ac:dyDescent="0.25">
      <c r="A65">
        <f t="shared" si="7"/>
        <v>64</v>
      </c>
      <c r="B65">
        <f t="shared" si="0"/>
        <v>1.1170107212763709</v>
      </c>
      <c r="C65">
        <f t="shared" si="4"/>
        <v>0.42842597402597399</v>
      </c>
      <c r="D65">
        <f t="shared" si="5"/>
        <v>0.31284000000000017</v>
      </c>
      <c r="E65" s="4" t="s">
        <v>30</v>
      </c>
      <c r="F65">
        <f>C65*'Données géométriques'!$B$6/(2+('Données géométriques'!$B$6^2+4)^0.5)</f>
        <v>0.23747781045836144</v>
      </c>
      <c r="G65">
        <f>F65^2/(PI()*'Données géométriques'!$B$6)</f>
        <v>5.6087276031510178E-3</v>
      </c>
      <c r="H65">
        <f t="shared" si="6"/>
        <v>0.31844872760315118</v>
      </c>
      <c r="I65" s="4" t="s">
        <v>30</v>
      </c>
      <c r="J65" s="4">
        <f>'1kts'!J$22</f>
        <v>-0.41152228571428573</v>
      </c>
      <c r="K65" s="4">
        <f>'1kts'!K$22</f>
        <v>0.92155428571428555</v>
      </c>
      <c r="L65" s="4">
        <f>'1kts'!L$22</f>
        <v>0.15152228571428572</v>
      </c>
    </row>
    <row r="66" spans="1:12" x14ac:dyDescent="0.25">
      <c r="A66">
        <f t="shared" si="7"/>
        <v>66</v>
      </c>
      <c r="B66">
        <f t="shared" si="0"/>
        <v>1.1519173063162575</v>
      </c>
      <c r="C66">
        <f t="shared" si="4"/>
        <v>0.39547012987012986</v>
      </c>
      <c r="D66">
        <f t="shared" si="5"/>
        <v>0.32392000000000015</v>
      </c>
      <c r="E66" s="4" t="s">
        <v>30</v>
      </c>
      <c r="F66">
        <f>C66*'Données géométriques'!$B$6/(2+('Données géométriques'!$B$6^2+4)^0.5)</f>
        <v>0.21921028657694902</v>
      </c>
      <c r="G66">
        <f>F66^2/(PI()*'Données géométriques'!$B$6)</f>
        <v>4.7790341707322284E-3</v>
      </c>
      <c r="H66">
        <f t="shared" si="6"/>
        <v>0.32869903417073237</v>
      </c>
      <c r="I66" s="4" t="s">
        <v>30</v>
      </c>
      <c r="J66" s="4">
        <f>'1kts'!J$22</f>
        <v>-0.41152228571428573</v>
      </c>
      <c r="K66" s="4">
        <f>'1kts'!K$22</f>
        <v>0.92155428571428555</v>
      </c>
      <c r="L66" s="4">
        <f>'1kts'!L$22</f>
        <v>0.15152228571428572</v>
      </c>
    </row>
    <row r="67" spans="1:12" x14ac:dyDescent="0.25">
      <c r="A67">
        <f t="shared" si="7"/>
        <v>68</v>
      </c>
      <c r="B67">
        <f t="shared" si="0"/>
        <v>1.1868238913561442</v>
      </c>
      <c r="C67">
        <f t="shared" si="4"/>
        <v>0.36251428571428568</v>
      </c>
      <c r="D67">
        <f t="shared" si="5"/>
        <v>0.33500000000000019</v>
      </c>
      <c r="E67" s="4" t="s">
        <v>30</v>
      </c>
      <c r="F67">
        <f>C67*'Données géométriques'!$B$6/(2+('Données géométriques'!$B$6^2+4)^0.5)</f>
        <v>0.2009427626955366</v>
      </c>
      <c r="G67">
        <f>F67^2/(PI()*'Données géométriques'!$B$6)</f>
        <v>4.0157162129069411E-3</v>
      </c>
      <c r="H67">
        <f t="shared" si="6"/>
        <v>0.3390157162129071</v>
      </c>
      <c r="I67" s="4" t="s">
        <v>30</v>
      </c>
      <c r="J67" s="4">
        <f>'1kts'!J$22</f>
        <v>-0.41152228571428573</v>
      </c>
      <c r="K67" s="4">
        <f>'1kts'!K$22</f>
        <v>0.92155428571428555</v>
      </c>
      <c r="L67" s="4">
        <f>'1kts'!L$22</f>
        <v>0.15152228571428572</v>
      </c>
    </row>
    <row r="68" spans="1:12" x14ac:dyDescent="0.25">
      <c r="A68">
        <f t="shared" si="7"/>
        <v>70</v>
      </c>
      <c r="B68">
        <f t="shared" si="0"/>
        <v>1.2217304763960306</v>
      </c>
      <c r="C68">
        <f t="shared" si="4"/>
        <v>0.32955844155844155</v>
      </c>
      <c r="D68">
        <f t="shared" si="5"/>
        <v>0.34608000000000017</v>
      </c>
      <c r="E68" s="4" t="s">
        <v>30</v>
      </c>
      <c r="F68">
        <f>C68*'Données géométriques'!$B$6/(2+('Données géométriques'!$B$6^2+4)^0.5)</f>
        <v>0.1826752388141242</v>
      </c>
      <c r="G68">
        <f>F68^2/(PI()*'Données géométriques'!$B$6)</f>
        <v>3.3187737296751594E-3</v>
      </c>
      <c r="H68">
        <f t="shared" si="6"/>
        <v>0.34939877372967532</v>
      </c>
      <c r="I68" s="4" t="s">
        <v>30</v>
      </c>
      <c r="J68" s="4">
        <f>'1kts'!J$22</f>
        <v>-0.41152228571428573</v>
      </c>
      <c r="K68" s="4">
        <f>'1kts'!K$22</f>
        <v>0.92155428571428555</v>
      </c>
      <c r="L68" s="4">
        <f>'1kts'!L$22</f>
        <v>0.15152228571428572</v>
      </c>
    </row>
    <row r="69" spans="1:12" x14ac:dyDescent="0.25">
      <c r="A69">
        <f t="shared" si="7"/>
        <v>72</v>
      </c>
      <c r="B69">
        <f t="shared" ref="B69:B78" si="8">RADIANS(A69)</f>
        <v>1.2566370614359172</v>
      </c>
      <c r="C69">
        <f t="shared" si="4"/>
        <v>0.29660259740259742</v>
      </c>
      <c r="D69">
        <f t="shared" si="5"/>
        <v>0.3571600000000002</v>
      </c>
      <c r="E69" s="4" t="s">
        <v>30</v>
      </c>
      <c r="F69">
        <f>C69*'Données géométriques'!$B$6/(2+('Données géométriques'!$B$6^2+4)^0.5)</f>
        <v>0.16440771493271181</v>
      </c>
      <c r="G69">
        <f>F69^2/(PI()*'Données géométriques'!$B$6)</f>
        <v>2.6882067210368798E-3</v>
      </c>
      <c r="H69">
        <f t="shared" si="6"/>
        <v>0.35984820672103707</v>
      </c>
      <c r="I69" s="4" t="s">
        <v>30</v>
      </c>
      <c r="J69" s="4">
        <f>'1kts'!J$22</f>
        <v>-0.41152228571428573</v>
      </c>
      <c r="K69" s="4">
        <f>'1kts'!K$22</f>
        <v>0.92155428571428555</v>
      </c>
      <c r="L69" s="4">
        <f>'1kts'!L$22</f>
        <v>0.15152228571428572</v>
      </c>
    </row>
    <row r="70" spans="1:12" x14ac:dyDescent="0.25">
      <c r="A70">
        <f t="shared" si="7"/>
        <v>74</v>
      </c>
      <c r="B70">
        <f t="shared" si="8"/>
        <v>1.2915436464758039</v>
      </c>
      <c r="C70">
        <f t="shared" si="4"/>
        <v>0.26364675324675324</v>
      </c>
      <c r="D70">
        <f t="shared" si="5"/>
        <v>0.36824000000000018</v>
      </c>
      <c r="E70" s="4" t="s">
        <v>30</v>
      </c>
      <c r="F70">
        <f>C70*'Données géométriques'!$B$6/(2+('Données géométriques'!$B$6^2+4)^0.5)</f>
        <v>0.14614019105129936</v>
      </c>
      <c r="G70">
        <f>F70^2/(PI()*'Données géométriques'!$B$6)</f>
        <v>2.1240151869921019E-3</v>
      </c>
      <c r="H70">
        <f t="shared" si="6"/>
        <v>0.3703640151869923</v>
      </c>
      <c r="I70" s="4" t="s">
        <v>30</v>
      </c>
      <c r="J70" s="4">
        <f>'1kts'!J$22</f>
        <v>-0.41152228571428573</v>
      </c>
      <c r="K70" s="4">
        <f>'1kts'!K$22</f>
        <v>0.92155428571428555</v>
      </c>
      <c r="L70" s="4">
        <f>'1kts'!L$22</f>
        <v>0.15152228571428572</v>
      </c>
    </row>
    <row r="71" spans="1:12" x14ac:dyDescent="0.25">
      <c r="A71">
        <f t="shared" si="7"/>
        <v>76</v>
      </c>
      <c r="B71">
        <f t="shared" si="8"/>
        <v>1.3264502315156905</v>
      </c>
      <c r="C71">
        <f t="shared" si="4"/>
        <v>0.23069090909090906</v>
      </c>
      <c r="D71">
        <f t="shared" si="5"/>
        <v>0.37932000000000021</v>
      </c>
      <c r="E71" s="4" t="s">
        <v>30</v>
      </c>
      <c r="F71">
        <f>C71*'Données géométriques'!$B$6/(2+('Données géométriques'!$B$6^2+4)^0.5)</f>
        <v>0.12787266716988693</v>
      </c>
      <c r="G71">
        <f>F71^2/(PI()*'Données géométriques'!$B$6)</f>
        <v>1.6261991275408278E-3</v>
      </c>
      <c r="H71">
        <f t="shared" si="6"/>
        <v>0.38094619912754102</v>
      </c>
      <c r="I71" s="4" t="s">
        <v>30</v>
      </c>
      <c r="J71" s="4">
        <f>'1kts'!J$22</f>
        <v>-0.41152228571428573</v>
      </c>
      <c r="K71" s="4">
        <f>'1kts'!K$22</f>
        <v>0.92155428571428555</v>
      </c>
      <c r="L71" s="4">
        <f>'1kts'!L$22</f>
        <v>0.15152228571428572</v>
      </c>
    </row>
    <row r="72" spans="1:12" x14ac:dyDescent="0.25">
      <c r="A72">
        <f t="shared" si="7"/>
        <v>78</v>
      </c>
      <c r="B72">
        <f t="shared" si="8"/>
        <v>1.3613568165555769</v>
      </c>
      <c r="C72">
        <f t="shared" si="4"/>
        <v>0.19773506493506493</v>
      </c>
      <c r="D72">
        <f t="shared" si="5"/>
        <v>0.39040000000000019</v>
      </c>
      <c r="E72" s="4" t="s">
        <v>30</v>
      </c>
      <c r="F72">
        <f>C72*'Données géométriques'!$B$6/(2+('Données géométriques'!$B$6^2+4)^0.5)</f>
        <v>0.10960514328847451</v>
      </c>
      <c r="G72">
        <f>F72^2/(PI()*'Données géométriques'!$B$6)</f>
        <v>1.1947585426830571E-3</v>
      </c>
      <c r="H72">
        <f t="shared" si="6"/>
        <v>0.39159475854268327</v>
      </c>
      <c r="I72" s="4" t="s">
        <v>30</v>
      </c>
      <c r="J72" s="4">
        <f>'1kts'!J$22</f>
        <v>-0.41152228571428573</v>
      </c>
      <c r="K72" s="4">
        <f>'1kts'!K$22</f>
        <v>0.92155428571428555</v>
      </c>
      <c r="L72" s="4">
        <f>'1kts'!L$22</f>
        <v>0.15152228571428572</v>
      </c>
    </row>
    <row r="73" spans="1:12" x14ac:dyDescent="0.25">
      <c r="A73">
        <f t="shared" si="7"/>
        <v>80</v>
      </c>
      <c r="B73">
        <f t="shared" si="8"/>
        <v>1.3962634015954636</v>
      </c>
      <c r="C73">
        <f t="shared" si="4"/>
        <v>0.16477922077922078</v>
      </c>
      <c r="D73">
        <f t="shared" si="5"/>
        <v>0.40148000000000023</v>
      </c>
      <c r="E73" s="4" t="s">
        <v>30</v>
      </c>
      <c r="F73">
        <f>C73*'Données géométriques'!$B$6/(2+('Données géométriques'!$B$6^2+4)^0.5)</f>
        <v>9.1337619407062101E-2</v>
      </c>
      <c r="G73">
        <f>F73^2/(PI()*'Données géométriques'!$B$6)</f>
        <v>8.2969343241878985E-4</v>
      </c>
      <c r="H73">
        <f t="shared" si="6"/>
        <v>0.40230969343241901</v>
      </c>
      <c r="I73" s="4" t="s">
        <v>30</v>
      </c>
      <c r="J73" s="4">
        <f>'1kts'!J$22</f>
        <v>-0.41152228571428573</v>
      </c>
      <c r="K73" s="4">
        <f>'1kts'!K$22</f>
        <v>0.92155428571428555</v>
      </c>
      <c r="L73" s="4">
        <f>'1kts'!L$22</f>
        <v>0.15152228571428572</v>
      </c>
    </row>
    <row r="74" spans="1:12" x14ac:dyDescent="0.25">
      <c r="A74">
        <f t="shared" si="7"/>
        <v>82</v>
      </c>
      <c r="B74">
        <f t="shared" si="8"/>
        <v>1.4311699866353502</v>
      </c>
      <c r="C74">
        <f t="shared" si="4"/>
        <v>0.13182337662337662</v>
      </c>
      <c r="D74">
        <f t="shared" si="5"/>
        <v>0.4125600000000002</v>
      </c>
      <c r="E74" s="4" t="s">
        <v>30</v>
      </c>
      <c r="F74">
        <f>C74*'Données géométriques'!$B$6/(2+('Données géométriques'!$B$6^2+4)^0.5)</f>
        <v>7.3070095525649678E-2</v>
      </c>
      <c r="G74">
        <f>F74^2/(PI()*'Données géométriques'!$B$6)</f>
        <v>5.3100379674802546E-4</v>
      </c>
      <c r="H74">
        <f t="shared" si="6"/>
        <v>0.41309100379674824</v>
      </c>
      <c r="I74" s="4" t="s">
        <v>30</v>
      </c>
      <c r="J74" s="4">
        <f>'1kts'!J$22</f>
        <v>-0.41152228571428573</v>
      </c>
      <c r="K74" s="4">
        <f>'1kts'!K$22</f>
        <v>0.92155428571428555</v>
      </c>
      <c r="L74" s="4">
        <f>'1kts'!L$22</f>
        <v>0.15152228571428572</v>
      </c>
    </row>
    <row r="75" spans="1:12" x14ac:dyDescent="0.25">
      <c r="A75">
        <f t="shared" si="7"/>
        <v>84</v>
      </c>
      <c r="B75">
        <f t="shared" si="8"/>
        <v>1.4660765716752369</v>
      </c>
      <c r="C75">
        <f t="shared" si="4"/>
        <v>9.8867532467532465E-2</v>
      </c>
      <c r="D75">
        <f t="shared" si="5"/>
        <v>0.42364000000000024</v>
      </c>
      <c r="E75" s="4" t="s">
        <v>30</v>
      </c>
      <c r="F75">
        <f>C75*'Données géométriques'!$B$6/(2+('Données géométriques'!$B$6^2+4)^0.5)</f>
        <v>5.4802571644237255E-2</v>
      </c>
      <c r="G75">
        <f>F75^2/(PI()*'Données géométriques'!$B$6)</f>
        <v>2.9868963567076428E-4</v>
      </c>
      <c r="H75">
        <f t="shared" si="6"/>
        <v>0.423938689635671</v>
      </c>
      <c r="I75" s="4" t="s">
        <v>30</v>
      </c>
      <c r="J75" s="4">
        <f>'1kts'!J$22</f>
        <v>-0.41152228571428573</v>
      </c>
      <c r="K75" s="4">
        <f>'1kts'!K$22</f>
        <v>0.92155428571428555</v>
      </c>
      <c r="L75" s="4">
        <f>'1kts'!L$22</f>
        <v>0.15152228571428572</v>
      </c>
    </row>
    <row r="76" spans="1:12" x14ac:dyDescent="0.25">
      <c r="A76">
        <f t="shared" si="7"/>
        <v>86</v>
      </c>
      <c r="B76">
        <f t="shared" si="8"/>
        <v>1.5009831567151235</v>
      </c>
      <c r="C76">
        <f t="shared" si="4"/>
        <v>6.591168831168831E-2</v>
      </c>
      <c r="D76">
        <f t="shared" si="5"/>
        <v>0.43472000000000022</v>
      </c>
      <c r="E76" s="4" t="s">
        <v>30</v>
      </c>
      <c r="F76">
        <f>C76*'Données géométriques'!$B$6/(2+('Données géométriques'!$B$6^2+4)^0.5)</f>
        <v>3.6535047762824839E-2</v>
      </c>
      <c r="G76">
        <f>F76^2/(PI()*'Données géométriques'!$B$6)</f>
        <v>1.3275094918700637E-4</v>
      </c>
      <c r="H76">
        <f t="shared" si="6"/>
        <v>0.43485275094918724</v>
      </c>
      <c r="I76" s="4" t="s">
        <v>30</v>
      </c>
      <c r="J76" s="4">
        <f>'1kts'!J$22</f>
        <v>-0.41152228571428573</v>
      </c>
      <c r="K76" s="4">
        <f>'1kts'!K$22</f>
        <v>0.92155428571428555</v>
      </c>
      <c r="L76" s="4">
        <f>'1kts'!L$22</f>
        <v>0.15152228571428572</v>
      </c>
    </row>
    <row r="77" spans="1:12" x14ac:dyDescent="0.25">
      <c r="A77">
        <f t="shared" si="7"/>
        <v>88</v>
      </c>
      <c r="B77">
        <f t="shared" si="8"/>
        <v>1.5358897417550099</v>
      </c>
      <c r="C77">
        <f t="shared" si="4"/>
        <v>3.2955844155844155E-2</v>
      </c>
      <c r="D77">
        <f t="shared" si="5"/>
        <v>0.44580000000000025</v>
      </c>
      <c r="E77" s="4" t="s">
        <v>30</v>
      </c>
      <c r="F77">
        <f>C77*'Données géométriques'!$B$6/(2+('Données géométriques'!$B$6^2+4)^0.5)</f>
        <v>1.826752388141242E-2</v>
      </c>
      <c r="G77">
        <f>F77^2/(PI()*'Données géométriques'!$B$6)</f>
        <v>3.3187737296751591E-5</v>
      </c>
      <c r="H77">
        <f t="shared" si="6"/>
        <v>0.44583318773729702</v>
      </c>
      <c r="I77" s="4" t="s">
        <v>30</v>
      </c>
      <c r="J77" s="4">
        <f>'1kts'!J$22</f>
        <v>-0.41152228571428573</v>
      </c>
      <c r="K77" s="4">
        <f>'1kts'!K$22</f>
        <v>0.92155428571428555</v>
      </c>
      <c r="L77" s="4">
        <f>'1kts'!L$22</f>
        <v>0.15152228571428572</v>
      </c>
    </row>
    <row r="78" spans="1:12" x14ac:dyDescent="0.25">
      <c r="A78">
        <f t="shared" si="7"/>
        <v>90</v>
      </c>
      <c r="B78">
        <f t="shared" si="8"/>
        <v>1.5707963267948966</v>
      </c>
      <c r="C78">
        <f t="shared" si="4"/>
        <v>0</v>
      </c>
      <c r="D78">
        <f t="shared" si="5"/>
        <v>0.45688000000000023</v>
      </c>
      <c r="E78" s="4" t="s">
        <v>30</v>
      </c>
      <c r="F78">
        <f>C78*'Données géométriques'!$B$6/(2+('Données géométriques'!$B$6^2+4)^0.5)</f>
        <v>0</v>
      </c>
      <c r="G78">
        <f>F78^2/(PI()*'Données géométriques'!$B$6)</f>
        <v>0</v>
      </c>
      <c r="H78">
        <f t="shared" si="6"/>
        <v>0.45688000000000023</v>
      </c>
      <c r="I78" s="4" t="s">
        <v>30</v>
      </c>
      <c r="J78" s="4">
        <f>'1kts'!J$22</f>
        <v>-0.41152228571428573</v>
      </c>
      <c r="K78" s="4">
        <f>'1kts'!K$22</f>
        <v>0.92155428571428555</v>
      </c>
      <c r="L78" s="4">
        <f>'1kts'!L$22</f>
        <v>0.15152228571428572</v>
      </c>
    </row>
    <row r="79" spans="1:12" x14ac:dyDescent="0.25">
      <c r="J79" s="4"/>
      <c r="K79" s="4"/>
      <c r="L79" s="4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F36F7-4354-4DC0-88B5-43DABD77F786}">
  <sheetPr codeName="Feuil5"/>
  <dimension ref="A1:O79"/>
  <sheetViews>
    <sheetView topLeftCell="A4" workbookViewId="0">
      <selection activeCell="T28" sqref="T28"/>
    </sheetView>
  </sheetViews>
  <sheetFormatPr baseColWidth="10" defaultRowHeight="15" x14ac:dyDescent="0.25"/>
  <sheetData>
    <row r="1" spans="1:15" ht="15.75" x14ac:dyDescent="0.25">
      <c r="A1" s="1">
        <v>25</v>
      </c>
      <c r="B1" s="1"/>
      <c r="C1">
        <f>ROUND(((A1*0.514)/15.6)*1000000,0)</f>
        <v>823718</v>
      </c>
      <c r="N1" t="s">
        <v>28</v>
      </c>
      <c r="O1" t="s">
        <v>29</v>
      </c>
    </row>
    <row r="2" spans="1:1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22</v>
      </c>
      <c r="J2" t="s">
        <v>23</v>
      </c>
      <c r="K2" t="s">
        <v>25</v>
      </c>
      <c r="L2" t="s">
        <v>24</v>
      </c>
      <c r="N2">
        <f>INDEX(A4:A43,MATCH(MAX(F4:F43),F4:F43,0))</f>
        <v>14</v>
      </c>
      <c r="O2">
        <f>(D32-D31)/(A32-A31)</f>
        <v>5.7600000000000012E-3</v>
      </c>
    </row>
    <row r="3" spans="1:15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5" x14ac:dyDescent="0.25">
      <c r="A4">
        <v>0</v>
      </c>
      <c r="B4">
        <f>RADIANS(A4)</f>
        <v>0</v>
      </c>
      <c r="C4">
        <v>0</v>
      </c>
      <c r="D4">
        <v>6.1700000000000001E-3</v>
      </c>
      <c r="E4">
        <v>0</v>
      </c>
      <c r="F4">
        <f>C4*'Données géométriques'!$B$6/(2+('Données géométriques'!$B$6^2+4)^0.5)</f>
        <v>0</v>
      </c>
      <c r="G4">
        <f>F4^2/(PI()*'Données géométriques'!$B$6)</f>
        <v>0</v>
      </c>
      <c r="H4">
        <f>G4+D4</f>
        <v>6.1700000000000001E-3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</row>
    <row r="5" spans="1:15" x14ac:dyDescent="0.25">
      <c r="A5">
        <v>0.5</v>
      </c>
      <c r="B5">
        <f t="shared" ref="B5:B68" si="0">RADIANS(A5)</f>
        <v>8.7266462599716477E-3</v>
      </c>
      <c r="C5">
        <v>5.3600000000000002E-2</v>
      </c>
      <c r="D5">
        <v>6.1999999999999998E-3</v>
      </c>
      <c r="E5">
        <v>5.0000000000000001E-4</v>
      </c>
      <c r="F5">
        <f>C5*'Données géométriques'!$B$6/(2+('Données géométriques'!$B$6^2+4)^0.5)</f>
        <v>2.9710641773079031E-2</v>
      </c>
      <c r="G5">
        <f>F5^2/(PI()*'Données géométriques'!$B$6)</f>
        <v>8.7789452824448331E-5</v>
      </c>
      <c r="H5">
        <f t="shared" ref="H5:H37" si="1">G5+D5</f>
        <v>6.2877894528244483E-3</v>
      </c>
      <c r="I5">
        <f>0.25-E5/(C5*COS(B5)+D5*SIN(B5))</f>
        <v>0.24068069396618313</v>
      </c>
      <c r="J5">
        <f>XCP_3D('Données géométriques'!$B$9,'Données géométriques'!$B$10,'Données géométriques'!$B$12,'Données géométriques'!$B$11,I5)</f>
        <v>-0.22059371111595491</v>
      </c>
      <c r="K5">
        <f>'5kts'!K5</f>
        <v>1.1514536950961625</v>
      </c>
      <c r="L5">
        <f t="shared" ref="L5:L32" si="2" xml:space="preserve"> -(J5+0.26)</f>
        <v>-3.9406288884045099E-2</v>
      </c>
    </row>
    <row r="6" spans="1:15" x14ac:dyDescent="0.25">
      <c r="A6">
        <v>1</v>
      </c>
      <c r="B6">
        <f t="shared" si="0"/>
        <v>1.7453292519943295E-2</v>
      </c>
      <c r="C6">
        <v>0.1069</v>
      </c>
      <c r="D6">
        <v>6.3E-3</v>
      </c>
      <c r="E6">
        <v>1E-3</v>
      </c>
      <c r="F6">
        <f>C6*'Données géométriques'!$B$6/(2+('Données géométriques'!$B$6^2+4)^0.5)</f>
        <v>5.9254992640711712E-2</v>
      </c>
      <c r="G6">
        <f>F6^2/(PI()*'Données géométriques'!$B$6)</f>
        <v>3.4919512592977058E-4</v>
      </c>
      <c r="H6">
        <f t="shared" si="1"/>
        <v>6.6491951259297702E-3</v>
      </c>
      <c r="I6">
        <f t="shared" ref="I6:I32" si="3">0.25-E6/(C6*COS(B6)+D6*SIN(B6))</f>
        <v>0.24065365258084812</v>
      </c>
      <c r="J6">
        <f>XCP_3D('Données géométriques'!$B$9,'Données géométriques'!$B$10,'Données géométriques'!$B$12,'Données géométriques'!$B$11,I6)</f>
        <v>-0.22057380053169387</v>
      </c>
      <c r="K6">
        <f>'5kts'!K6</f>
        <v>1.1514536950961625</v>
      </c>
      <c r="L6">
        <f t="shared" si="2"/>
        <v>-3.9426199468306139E-2</v>
      </c>
    </row>
    <row r="7" spans="1:15" x14ac:dyDescent="0.25">
      <c r="A7">
        <v>1.5</v>
      </c>
      <c r="B7">
        <f t="shared" si="0"/>
        <v>2.6179938779914945E-2</v>
      </c>
      <c r="C7">
        <v>0.1598</v>
      </c>
      <c r="D7">
        <v>6.4599999999999996E-3</v>
      </c>
      <c r="E7">
        <v>1.6000000000000001E-3</v>
      </c>
      <c r="F7">
        <f>C7*'Données géométriques'!$B$6/(2+('Données géométriques'!$B$6^2+4)^0.5)</f>
        <v>8.8577622301082626E-2</v>
      </c>
      <c r="G7">
        <f>F7^2/(PI()*'Données géométriques'!$B$6)</f>
        <v>7.8030845500919792E-4</v>
      </c>
      <c r="H7">
        <f t="shared" si="1"/>
        <v>7.2403084550091978E-3</v>
      </c>
      <c r="I7">
        <f t="shared" si="3"/>
        <v>0.23999464360851569</v>
      </c>
      <c r="J7">
        <f>XCP_3D('Données géométriques'!$B$9,'Données géométriques'!$B$10,'Données géométriques'!$B$12,'Données géométriques'!$B$11,I7)</f>
        <v>-0.22008857192713102</v>
      </c>
      <c r="K7">
        <f>'5kts'!K7</f>
        <v>1.1514536950961625</v>
      </c>
      <c r="L7">
        <f t="shared" si="2"/>
        <v>-3.9911428072868987E-2</v>
      </c>
    </row>
    <row r="8" spans="1:15" x14ac:dyDescent="0.25">
      <c r="A8">
        <v>2</v>
      </c>
      <c r="B8">
        <f t="shared" si="0"/>
        <v>3.4906585039886591E-2</v>
      </c>
      <c r="C8">
        <v>0.21199999999999999</v>
      </c>
      <c r="D8">
        <v>6.7200000000000003E-3</v>
      </c>
      <c r="E8">
        <v>2.3999999999999998E-3</v>
      </c>
      <c r="F8">
        <f>C8*'Données géométriques'!$B$6/(2+('Données géométriques'!$B$6^2+4)^0.5)</f>
        <v>0.11751223984874541</v>
      </c>
      <c r="G8">
        <f>F8^2/(PI()*'Données géométriques'!$B$6)</f>
        <v>1.3733602861654899E-3</v>
      </c>
      <c r="H8">
        <f t="shared" si="1"/>
        <v>8.0933602861654897E-3</v>
      </c>
      <c r="I8">
        <f t="shared" si="3"/>
        <v>0.23868486975383524</v>
      </c>
      <c r="J8">
        <f>XCP_3D('Données géométriques'!$B$9,'Données géométriques'!$B$10,'Données géométriques'!$B$12,'Données géométriques'!$B$11,I8)</f>
        <v>-0.21912418484519589</v>
      </c>
      <c r="K8">
        <f>'5kts'!K8</f>
        <v>1.1514536950961625</v>
      </c>
      <c r="L8">
        <f t="shared" si="2"/>
        <v>-4.0875815154804124E-2</v>
      </c>
    </row>
    <row r="9" spans="1:15" x14ac:dyDescent="0.25">
      <c r="A9">
        <v>2.5</v>
      </c>
      <c r="B9">
        <f t="shared" si="0"/>
        <v>4.3633231299858237E-2</v>
      </c>
      <c r="C9">
        <v>0.26369999999999999</v>
      </c>
      <c r="D9">
        <v>7.0699999999999999E-3</v>
      </c>
      <c r="E9">
        <v>3.3999999999999998E-3</v>
      </c>
      <c r="F9">
        <f>C9*'Données géométriques'!$B$6/(2+('Données géométriques'!$B$6^2+4)^0.5)</f>
        <v>0.14616970588733097</v>
      </c>
      <c r="G9">
        <f>F9^2/(PI()*'Données géométriques'!$B$6)</f>
        <v>2.1248732163956729E-3</v>
      </c>
      <c r="H9">
        <f t="shared" si="1"/>
        <v>9.1948732163956732E-3</v>
      </c>
      <c r="I9">
        <f t="shared" si="3"/>
        <v>0.23710936665943691</v>
      </c>
      <c r="J9">
        <f>XCP_3D('Données géométriques'!$B$9,'Données géométriques'!$B$10,'Données géométriques'!$B$12,'Données géométriques'!$B$11,I9)</f>
        <v>-0.21796414120380003</v>
      </c>
      <c r="K9">
        <f>'5kts'!K9</f>
        <v>1.1514536950961625</v>
      </c>
      <c r="L9">
        <f t="shared" si="2"/>
        <v>-4.2035858796199976E-2</v>
      </c>
    </row>
    <row r="10" spans="1:15" x14ac:dyDescent="0.25">
      <c r="A10">
        <v>3</v>
      </c>
      <c r="B10">
        <f t="shared" si="0"/>
        <v>5.235987755982989E-2</v>
      </c>
      <c r="C10">
        <v>0.316</v>
      </c>
      <c r="D10">
        <v>7.5100000000000002E-3</v>
      </c>
      <c r="E10">
        <v>4.1999999999999997E-3</v>
      </c>
      <c r="F10">
        <f>C10*'Données géométriques'!$B$6/(2+('Données géométriques'!$B$6^2+4)^0.5)</f>
        <v>0.1751597537368092</v>
      </c>
      <c r="G10">
        <f>F10^2/(PI()*'Données géométriques'!$B$6)</f>
        <v>3.0513141851045999E-3</v>
      </c>
      <c r="H10">
        <f t="shared" si="1"/>
        <v>1.0561314185104601E-2</v>
      </c>
      <c r="I10">
        <f t="shared" si="3"/>
        <v>0.2367071771146857</v>
      </c>
      <c r="J10">
        <f>XCP_3D('Données géométriques'!$B$9,'Données géométriques'!$B$10,'Données géométriques'!$B$12,'Données géométriques'!$B$11,I10)</f>
        <v>-0.2176680088599893</v>
      </c>
      <c r="K10">
        <f>'5kts'!K10</f>
        <v>1.1514536950961625</v>
      </c>
      <c r="L10">
        <f t="shared" si="2"/>
        <v>-4.2331991140010711E-2</v>
      </c>
    </row>
    <row r="11" spans="1:15" x14ac:dyDescent="0.25">
      <c r="A11">
        <v>3.5</v>
      </c>
      <c r="B11">
        <f t="shared" si="0"/>
        <v>6.1086523819801536E-2</v>
      </c>
      <c r="C11">
        <v>0.37219999999999998</v>
      </c>
      <c r="D11">
        <v>8.0000000000000002E-3</v>
      </c>
      <c r="E11">
        <v>4.1000000000000003E-3</v>
      </c>
      <c r="F11">
        <f>C11*'Données géométriques'!$B$6/(2+('Données géométriques'!$B$6^2+4)^0.5)</f>
        <v>0.20631158335708982</v>
      </c>
      <c r="G11">
        <f>F11^2/(PI()*'Données géométriques'!$B$6)</f>
        <v>4.2331679598103869E-3</v>
      </c>
      <c r="H11">
        <f t="shared" si="1"/>
        <v>1.2233167959810387E-2</v>
      </c>
      <c r="I11">
        <f t="shared" si="3"/>
        <v>0.23897832160371588</v>
      </c>
      <c r="J11">
        <f>XCP_3D('Données géométriques'!$B$9,'Données géométriques'!$B$10,'Données géométriques'!$B$12,'Données géométriques'!$B$11,I11)</f>
        <v>-0.21934025357506412</v>
      </c>
      <c r="K11">
        <f>'5kts'!K11</f>
        <v>1.1514536950961625</v>
      </c>
      <c r="L11">
        <f t="shared" si="2"/>
        <v>-4.0659746424935889E-2</v>
      </c>
    </row>
    <row r="12" spans="1:15" x14ac:dyDescent="0.25">
      <c r="A12">
        <v>4</v>
      </c>
      <c r="B12">
        <f t="shared" si="0"/>
        <v>6.9813170079773182E-2</v>
      </c>
      <c r="C12">
        <v>0.43359999999999999</v>
      </c>
      <c r="D12">
        <v>8.4899999999999993E-3</v>
      </c>
      <c r="E12">
        <v>2.8E-3</v>
      </c>
      <c r="F12">
        <f>C12*'Données géométriques'!$B$6/(2+('Données géométriques'!$B$6^2+4)^0.5)</f>
        <v>0.24034578867177361</v>
      </c>
      <c r="G12">
        <f>F12^2/(PI()*'Données géométriques'!$B$6)</f>
        <v>5.745016890069332E-3</v>
      </c>
      <c r="H12">
        <f t="shared" si="1"/>
        <v>1.423501689006933E-2</v>
      </c>
      <c r="I12">
        <f t="shared" si="3"/>
        <v>0.24353551778215279</v>
      </c>
      <c r="J12">
        <f>XCP_3D('Données géométriques'!$B$9,'Données géométriques'!$B$10,'Données géométriques'!$B$12,'Données géométriques'!$B$11,I12)</f>
        <v>-0.22269571918359748</v>
      </c>
      <c r="K12">
        <f>'5kts'!K12</f>
        <v>1.1514536950961625</v>
      </c>
      <c r="L12">
        <f t="shared" si="2"/>
        <v>-3.7304280816402524E-2</v>
      </c>
    </row>
    <row r="13" spans="1:15" x14ac:dyDescent="0.25">
      <c r="A13">
        <v>4.5</v>
      </c>
      <c r="B13">
        <f t="shared" si="0"/>
        <v>7.8539816339744828E-2</v>
      </c>
      <c r="C13">
        <v>0.49630000000000002</v>
      </c>
      <c r="D13">
        <v>8.9800000000000001E-3</v>
      </c>
      <c r="E13">
        <v>1.1000000000000001E-3</v>
      </c>
      <c r="F13">
        <f>C13*'Données géométriques'!$B$6/(2+('Données géométriques'!$B$6^2+4)^0.5)</f>
        <v>0.27510058791005826</v>
      </c>
      <c r="G13">
        <f>F13^2/(PI()*'Données géométriques'!$B$6)</f>
        <v>7.5266429286418154E-3</v>
      </c>
      <c r="H13">
        <f t="shared" si="1"/>
        <v>1.6506642928641815E-2</v>
      </c>
      <c r="I13">
        <f t="shared" si="3"/>
        <v>0.24777990653530291</v>
      </c>
      <c r="J13">
        <f>XCP_3D('Données géométriques'!$B$9,'Données géométriques'!$B$10,'Données géométriques'!$B$12,'Données géométriques'!$B$11,I13)</f>
        <v>-0.22582086454332911</v>
      </c>
      <c r="K13">
        <f>'5kts'!K13</f>
        <v>1.1514536950961625</v>
      </c>
      <c r="L13">
        <f t="shared" si="2"/>
        <v>-3.4179135456670895E-2</v>
      </c>
    </row>
    <row r="14" spans="1:15" x14ac:dyDescent="0.25">
      <c r="A14">
        <v>5</v>
      </c>
      <c r="B14">
        <f t="shared" si="0"/>
        <v>8.7266462599716474E-2</v>
      </c>
      <c r="C14">
        <v>0.5595</v>
      </c>
      <c r="D14">
        <v>9.4599999999999997E-3</v>
      </c>
      <c r="E14">
        <v>-6.9999999999999999E-4</v>
      </c>
      <c r="F14">
        <f>C14*'Données géométriques'!$B$6/(2+('Données géométriques'!$B$6^2+4)^0.5)</f>
        <v>0.31013253865742008</v>
      </c>
      <c r="G14">
        <f>F14^2/(PI()*'Données géométriques'!$B$6)</f>
        <v>9.5656160404351282E-3</v>
      </c>
      <c r="H14">
        <f t="shared" si="1"/>
        <v>1.902561604043513E-2</v>
      </c>
      <c r="I14">
        <f t="shared" si="3"/>
        <v>0.25125404108714505</v>
      </c>
      <c r="J14">
        <f>XCP_3D('Données géométriques'!$B$9,'Données géométriques'!$B$10,'Données géométriques'!$B$12,'Données géométriques'!$B$11,I14)</f>
        <v>-0.22837887138606464</v>
      </c>
      <c r="K14">
        <f>'5kts'!K14</f>
        <v>1.1514536950961625</v>
      </c>
      <c r="L14">
        <f t="shared" si="2"/>
        <v>-3.1621128613935373E-2</v>
      </c>
    </row>
    <row r="15" spans="1:15" x14ac:dyDescent="0.25">
      <c r="A15">
        <v>5.5</v>
      </c>
      <c r="B15">
        <f t="shared" si="0"/>
        <v>9.599310885968812E-2</v>
      </c>
      <c r="C15">
        <v>0.62490000000000001</v>
      </c>
      <c r="D15">
        <v>9.9799999999999993E-3</v>
      </c>
      <c r="E15">
        <v>-3.0000000000000001E-3</v>
      </c>
      <c r="F15">
        <f>C15*'Données géométriques'!$B$6/(2+('Données géométriques'!$B$6^2+4)^0.5)</f>
        <v>0.34638395604472172</v>
      </c>
      <c r="G15">
        <f>F15^2/(PI()*'Données géométriques'!$B$6)</f>
        <v>1.1932565091696924E-2</v>
      </c>
      <c r="H15">
        <f t="shared" si="1"/>
        <v>2.1912565091696923E-2</v>
      </c>
      <c r="I15">
        <f t="shared" si="3"/>
        <v>0.2548155668014751</v>
      </c>
      <c r="J15">
        <f>XCP_3D('Données géométriques'!$B$9,'Données géométriques'!$B$10,'Données géométriques'!$B$12,'Données géométriques'!$B$11,I15)</f>
        <v>-0.23100122438128798</v>
      </c>
      <c r="K15">
        <f>'5kts'!K15</f>
        <v>1.1514536950961625</v>
      </c>
      <c r="L15">
        <f t="shared" si="2"/>
        <v>-2.899877561871203E-2</v>
      </c>
    </row>
    <row r="16" spans="1:15" x14ac:dyDescent="0.25">
      <c r="A16">
        <v>6</v>
      </c>
      <c r="B16">
        <f t="shared" si="0"/>
        <v>0.10471975511965978</v>
      </c>
      <c r="C16">
        <v>0.67630000000000001</v>
      </c>
      <c r="D16">
        <v>1.0489999999999999E-2</v>
      </c>
      <c r="E16">
        <v>-2.3E-3</v>
      </c>
      <c r="F16">
        <f>C16*'Données géométriques'!$B$6/(2+('Données géométriques'!$B$6^2+4)^0.5)</f>
        <v>0.37487513117786098</v>
      </c>
      <c r="G16">
        <f>F16^2/(PI()*'Données géométriques'!$B$6)</f>
        <v>1.397627822768902E-2</v>
      </c>
      <c r="H16">
        <f t="shared" si="1"/>
        <v>2.4466278227689021E-2</v>
      </c>
      <c r="I16">
        <f t="shared" si="3"/>
        <v>0.25341402474117242</v>
      </c>
      <c r="J16">
        <f>XCP_3D('Données géométriques'!$B$9,'Données géométriques'!$B$10,'Données géométriques'!$B$12,'Données géométriques'!$B$11,I16)</f>
        <v>-0.22996926832802267</v>
      </c>
      <c r="K16">
        <f>'5kts'!K16</f>
        <v>1.1514536950961625</v>
      </c>
      <c r="L16">
        <f t="shared" si="2"/>
        <v>-3.003073167197734E-2</v>
      </c>
    </row>
    <row r="17" spans="1:12" x14ac:dyDescent="0.25">
      <c r="A17">
        <v>6.5</v>
      </c>
      <c r="B17">
        <f t="shared" si="0"/>
        <v>0.11344640137963143</v>
      </c>
      <c r="C17">
        <v>0.72489999999999999</v>
      </c>
      <c r="D17">
        <v>1.108E-2</v>
      </c>
      <c r="E17">
        <v>-8.9999999999999998E-4</v>
      </c>
      <c r="F17">
        <f>C17*'Données géométriques'!$B$6/(2+('Données géométriques'!$B$6^2+4)^0.5)</f>
        <v>0.40181425786016767</v>
      </c>
      <c r="G17">
        <f>F17^2/(PI()*'Données géométriques'!$B$6)</f>
        <v>1.6057168407525906E-2</v>
      </c>
      <c r="H17">
        <f t="shared" si="1"/>
        <v>2.7137168407525905E-2</v>
      </c>
      <c r="I17">
        <f t="shared" si="3"/>
        <v>0.25124741070492085</v>
      </c>
      <c r="J17">
        <f>XCP_3D('Données géométriques'!$B$9,'Données géométriques'!$B$10,'Données géométriques'!$B$12,'Données géométriques'!$B$11,I17)</f>
        <v>-0.22837398943263337</v>
      </c>
      <c r="K17">
        <f>'5kts'!K17</f>
        <v>1.1514536950961625</v>
      </c>
      <c r="L17">
        <f t="shared" si="2"/>
        <v>-3.1626010567366636E-2</v>
      </c>
    </row>
    <row r="18" spans="1:12" x14ac:dyDescent="0.25">
      <c r="A18">
        <v>7</v>
      </c>
      <c r="B18">
        <f t="shared" si="0"/>
        <v>0.12217304763960307</v>
      </c>
      <c r="C18">
        <v>0.77410000000000001</v>
      </c>
      <c r="D18">
        <v>1.1650000000000001E-2</v>
      </c>
      <c r="E18">
        <v>2.9999999999999997E-4</v>
      </c>
      <c r="F18">
        <f>C18*'Données géométriques'!$B$6/(2+('Données géométriques'!$B$6^2+4)^0.5)</f>
        <v>0.4290859663533671</v>
      </c>
      <c r="G18">
        <f>F18^2/(PI()*'Données géométriques'!$B$6)</f>
        <v>1.8310782233463382E-2</v>
      </c>
      <c r="H18">
        <f t="shared" si="1"/>
        <v>2.9960782233463382E-2</v>
      </c>
      <c r="I18">
        <f t="shared" si="3"/>
        <v>0.24961026294778935</v>
      </c>
      <c r="J18">
        <f>XCP_3D('Données géométriques'!$B$9,'Données géométriques'!$B$10,'Données géométriques'!$B$12,'Données géométriques'!$B$11,I18)</f>
        <v>-0.22716855679816939</v>
      </c>
      <c r="K18">
        <f>'5kts'!K18</f>
        <v>1.1514536950961625</v>
      </c>
      <c r="L18">
        <f t="shared" si="2"/>
        <v>-3.2831443201830623E-2</v>
      </c>
    </row>
    <row r="19" spans="1:12" x14ac:dyDescent="0.25">
      <c r="A19">
        <v>7.5</v>
      </c>
      <c r="B19">
        <f t="shared" si="0"/>
        <v>0.1308996938995747</v>
      </c>
      <c r="C19">
        <v>0.82320000000000004</v>
      </c>
      <c r="D19">
        <v>1.2370000000000001E-2</v>
      </c>
      <c r="E19">
        <v>1.4E-3</v>
      </c>
      <c r="F19">
        <f>C19*'Données géométriques'!$B$6/(2+('Données géométriques'!$B$6^2+4)^0.5)</f>
        <v>0.45630224454475105</v>
      </c>
      <c r="G19">
        <f>F19^2/(PI()*'Données géométriques'!$B$6)</f>
        <v>2.070730051639378E-2</v>
      </c>
      <c r="H19">
        <f t="shared" si="1"/>
        <v>3.3077300516393779E-2</v>
      </c>
      <c r="I19">
        <f t="shared" si="3"/>
        <v>0.24828803142235628</v>
      </c>
      <c r="J19">
        <f>XCP_3D('Données géométriques'!$B$9,'Données géométriques'!$B$10,'Données géométriques'!$B$12,'Données géométriques'!$B$11,I19)</f>
        <v>-0.22619499712762006</v>
      </c>
      <c r="K19">
        <f>'5kts'!K19</f>
        <v>1.1514536950961625</v>
      </c>
      <c r="L19">
        <f t="shared" si="2"/>
        <v>-3.3805002872379947E-2</v>
      </c>
    </row>
    <row r="20" spans="1:12" x14ac:dyDescent="0.25">
      <c r="A20">
        <v>8</v>
      </c>
      <c r="B20">
        <f t="shared" si="0"/>
        <v>0.13962634015954636</v>
      </c>
      <c r="C20">
        <v>0.873</v>
      </c>
      <c r="D20">
        <v>1.306E-2</v>
      </c>
      <c r="E20">
        <v>2.3E-3</v>
      </c>
      <c r="F20">
        <f>C20*'Données géométriques'!$B$6/(2+('Données géométriques'!$B$6^2+4)^0.5)</f>
        <v>0.48390653484884316</v>
      </c>
      <c r="G20">
        <f>F20^2/(PI()*'Données géométriques'!$B$6)</f>
        <v>2.3288485705211342E-2</v>
      </c>
      <c r="H20">
        <f t="shared" si="1"/>
        <v>3.6348485705211341E-2</v>
      </c>
      <c r="I20">
        <f t="shared" si="3"/>
        <v>0.24734509686195341</v>
      </c>
      <c r="J20">
        <f>XCP_3D('Données géométriques'!$B$9,'Données géométriques'!$B$10,'Données géométriques'!$B$12,'Données géométriques'!$B$11,I20)</f>
        <v>-0.2255007139840717</v>
      </c>
      <c r="K20">
        <f>'5kts'!K20</f>
        <v>1.1514536950961625</v>
      </c>
      <c r="L20">
        <f t="shared" si="2"/>
        <v>-3.4499286015928304E-2</v>
      </c>
    </row>
    <row r="21" spans="1:12" x14ac:dyDescent="0.25">
      <c r="A21">
        <v>8.5</v>
      </c>
      <c r="B21">
        <f t="shared" si="0"/>
        <v>0.14835298641951802</v>
      </c>
      <c r="C21">
        <v>0.92220000000000002</v>
      </c>
      <c r="D21">
        <v>1.3860000000000001E-2</v>
      </c>
      <c r="E21">
        <v>3.3E-3</v>
      </c>
      <c r="F21">
        <f>C21*'Données géométriques'!$B$6/(2+('Données géométriques'!$B$6^2+4)^0.5)</f>
        <v>0.51117824334204254</v>
      </c>
      <c r="G21">
        <f>F21^2/(PI()*'Données géométriques'!$B$6)</f>
        <v>2.5987410014966478E-2</v>
      </c>
      <c r="H21">
        <f t="shared" si="1"/>
        <v>3.9847410014966479E-2</v>
      </c>
      <c r="I21">
        <f t="shared" si="3"/>
        <v>0.24638996700008287</v>
      </c>
      <c r="J21">
        <f>XCP_3D('Données géométriques'!$B$9,'Données géométriques'!$B$10,'Données géométriques'!$B$12,'Données géométriques'!$B$11,I21)</f>
        <v>-0.22479745143453536</v>
      </c>
      <c r="K21">
        <f>'5kts'!K21</f>
        <v>1.1514536950961625</v>
      </c>
      <c r="L21">
        <f t="shared" si="2"/>
        <v>-3.5202548565464648E-2</v>
      </c>
    </row>
    <row r="22" spans="1:12" x14ac:dyDescent="0.25">
      <c r="A22">
        <v>9</v>
      </c>
      <c r="B22">
        <f t="shared" si="0"/>
        <v>0.15707963267948966</v>
      </c>
      <c r="C22">
        <v>0.97019999999999995</v>
      </c>
      <c r="D22">
        <v>1.487E-2</v>
      </c>
      <c r="E22">
        <v>4.3E-3</v>
      </c>
      <c r="F22">
        <f>C22*'Données géométriques'!$B$6/(2+('Données géométriques'!$B$6^2+4)^0.5)</f>
        <v>0.53778478821345654</v>
      </c>
      <c r="G22">
        <f>F22^2/(PI()*'Données géométriques'!$B$6)</f>
        <v>2.8763074314225541E-2</v>
      </c>
      <c r="H22">
        <f t="shared" si="1"/>
        <v>4.3633074314225542E-2</v>
      </c>
      <c r="I22">
        <f t="shared" si="3"/>
        <v>0.24552354442656438</v>
      </c>
      <c r="J22">
        <f>XCP_3D('Données géométriques'!$B$9,'Données géométriques'!$B$10,'Données géométriques'!$B$12,'Données géométriques'!$B$11,I22)</f>
        <v>-0.22415950410155475</v>
      </c>
      <c r="K22">
        <f>'5kts'!K22</f>
        <v>1.1514536950961625</v>
      </c>
      <c r="L22">
        <f t="shared" si="2"/>
        <v>-3.5840495898445263E-2</v>
      </c>
    </row>
    <row r="23" spans="1:12" x14ac:dyDescent="0.25">
      <c r="A23">
        <v>9.5</v>
      </c>
      <c r="B23">
        <f t="shared" si="0"/>
        <v>0.16580627893946132</v>
      </c>
      <c r="C23">
        <v>1.0183</v>
      </c>
      <c r="D23">
        <v>1.583E-2</v>
      </c>
      <c r="E23">
        <v>5.3E-3</v>
      </c>
      <c r="F23">
        <f>C23*'Données géométriques'!$B$6/(2+('Données géométriques'!$B$6^2+4)^0.5)</f>
        <v>0.56444676338668609</v>
      </c>
      <c r="G23">
        <f>F23^2/(PI()*'Données géométriques'!$B$6)</f>
        <v>3.1685768896079131E-2</v>
      </c>
      <c r="H23">
        <f t="shared" si="1"/>
        <v>4.7515768896079127E-2</v>
      </c>
      <c r="I23">
        <f t="shared" si="3"/>
        <v>0.24473656681592704</v>
      </c>
      <c r="J23">
        <f>XCP_3D('Données géométriques'!$B$9,'Données géométriques'!$B$10,'Données géométriques'!$B$12,'Données géométriques'!$B$11,I23)</f>
        <v>-0.22358005213069762</v>
      </c>
      <c r="K23">
        <f>'5kts'!K23</f>
        <v>1.1514536950961625</v>
      </c>
      <c r="L23">
        <f t="shared" si="2"/>
        <v>-3.6419947869302388E-2</v>
      </c>
    </row>
    <row r="24" spans="1:12" x14ac:dyDescent="0.25">
      <c r="A24">
        <v>10</v>
      </c>
      <c r="B24">
        <f t="shared" si="0"/>
        <v>0.17453292519943295</v>
      </c>
      <c r="C24">
        <v>1.0657000000000001</v>
      </c>
      <c r="D24">
        <v>1.6840000000000001E-2</v>
      </c>
      <c r="E24">
        <v>6.3E-3</v>
      </c>
      <c r="F24">
        <f>C24*'Données géométriques'!$B$6/(2+('Données géométriques'!$B$6^2+4)^0.5)</f>
        <v>0.59072072644720752</v>
      </c>
      <c r="G24">
        <f>F24^2/(PI()*'Données géométriques'!$B$6)</f>
        <v>3.4704252485521218E-2</v>
      </c>
      <c r="H24">
        <f t="shared" si="1"/>
        <v>5.1544252485521219E-2</v>
      </c>
      <c r="I24">
        <f t="shared" si="3"/>
        <v>0.24401387559519805</v>
      </c>
      <c r="J24">
        <f>XCP_3D('Données géométriques'!$B$9,'Données géométriques'!$B$10,'Données géométriques'!$B$12,'Données géométriques'!$B$11,I24)</f>
        <v>-0.22304793425782279</v>
      </c>
      <c r="K24">
        <f>'5kts'!K24</f>
        <v>1.1514536950961625</v>
      </c>
      <c r="L24">
        <f t="shared" si="2"/>
        <v>-3.6952065742177215E-2</v>
      </c>
    </row>
    <row r="25" spans="1:12" x14ac:dyDescent="0.25">
      <c r="A25">
        <v>10.5</v>
      </c>
      <c r="B25">
        <f t="shared" si="0"/>
        <v>0.18325957145940461</v>
      </c>
      <c r="C25">
        <v>1.1113999999999999</v>
      </c>
      <c r="D25">
        <v>1.8030000000000001E-2</v>
      </c>
      <c r="E25">
        <v>7.4000000000000003E-3</v>
      </c>
      <c r="F25">
        <f>C25*'Données géométriques'!$B$6/(2+('Données géométriques'!$B$6^2+4)^0.5)</f>
        <v>0.61605237437686622</v>
      </c>
      <c r="G25">
        <f>F25^2/(PI()*'Données géométriques'!$B$6)</f>
        <v>3.7744488789161243E-2</v>
      </c>
      <c r="H25">
        <f t="shared" si="1"/>
        <v>5.5774488789161247E-2</v>
      </c>
      <c r="I25">
        <f t="shared" si="3"/>
        <v>0.24324863848105979</v>
      </c>
      <c r="J25">
        <f>XCP_3D('Données géométriques'!$B$9,'Données géométriques'!$B$10,'Données géométriques'!$B$12,'Données géométriques'!$B$11,I25)</f>
        <v>-0.22248448982437458</v>
      </c>
      <c r="K25">
        <f>'5kts'!K25</f>
        <v>1.1514536950961625</v>
      </c>
      <c r="L25">
        <f t="shared" si="2"/>
        <v>-3.7515510175625433E-2</v>
      </c>
    </row>
    <row r="26" spans="1:12" x14ac:dyDescent="0.25">
      <c r="A26">
        <v>11</v>
      </c>
      <c r="B26">
        <f t="shared" si="0"/>
        <v>0.19198621771937624</v>
      </c>
      <c r="C26">
        <v>1.1539999999999999</v>
      </c>
      <c r="D26">
        <v>1.958E-2</v>
      </c>
      <c r="E26">
        <v>8.8999999999999999E-3</v>
      </c>
      <c r="F26">
        <f>C26*'Données géométriques'!$B$6/(2+('Données géométriques'!$B$6^2+4)^0.5)</f>
        <v>0.63966568295024617</v>
      </c>
      <c r="G26">
        <f>F26^2/(PI()*'Données géométriques'!$B$6)</f>
        <v>4.0693437763687272E-2</v>
      </c>
      <c r="H26">
        <f t="shared" si="1"/>
        <v>6.0273437763687272E-2</v>
      </c>
      <c r="I26">
        <f t="shared" si="3"/>
        <v>0.24216917268713167</v>
      </c>
      <c r="J26">
        <f>XCP_3D('Données géométriques'!$B$9,'Données géométriques'!$B$10,'Données géométriques'!$B$12,'Données géométriques'!$B$11,I26)</f>
        <v>-0.22168967867179754</v>
      </c>
      <c r="K26">
        <f>K25</f>
        <v>1.1514536950961625</v>
      </c>
      <c r="L26">
        <f t="shared" si="2"/>
        <v>-3.8310321328202473E-2</v>
      </c>
    </row>
    <row r="27" spans="1:12" x14ac:dyDescent="0.25">
      <c r="A27">
        <v>11.5</v>
      </c>
      <c r="B27">
        <f t="shared" si="0"/>
        <v>0.2007128639793479</v>
      </c>
      <c r="C27">
        <v>1.196</v>
      </c>
      <c r="D27">
        <v>2.1059999999999999E-2</v>
      </c>
      <c r="E27">
        <v>1.03E-2</v>
      </c>
      <c r="F27">
        <f>C27*'Données géométriques'!$B$6/(2+('Données géométriques'!$B$6^2+4)^0.5)</f>
        <v>0.66294640971273344</v>
      </c>
      <c r="G27">
        <f>F27^2/(PI()*'Données géométriques'!$B$6)</f>
        <v>4.3709427890167636E-2</v>
      </c>
      <c r="H27">
        <f t="shared" si="1"/>
        <v>6.4769427890167638E-2</v>
      </c>
      <c r="I27">
        <f t="shared" si="3"/>
        <v>0.24124290127469625</v>
      </c>
      <c r="J27">
        <f>XCP_3D('Données géométriques'!$B$9,'Données géométriques'!$B$10,'Données géométriques'!$B$12,'Données géométriques'!$B$11,I27)</f>
        <v>-0.22100766461163784</v>
      </c>
      <c r="K27">
        <f t="shared" ref="K27:K32" si="4">K26</f>
        <v>1.1514536950961625</v>
      </c>
      <c r="L27">
        <f t="shared" si="2"/>
        <v>-3.8992335388362165E-2</v>
      </c>
    </row>
    <row r="28" spans="1:12" x14ac:dyDescent="0.25">
      <c r="A28">
        <v>12</v>
      </c>
      <c r="B28">
        <f t="shared" si="0"/>
        <v>0.20943951023931956</v>
      </c>
      <c r="C28">
        <v>1.2351000000000001</v>
      </c>
      <c r="D28">
        <v>2.2759999999999999E-2</v>
      </c>
      <c r="E28">
        <v>1.2E-2</v>
      </c>
      <c r="F28">
        <f>C28*'Données géométriques'!$B$6/(2+('Données géométriques'!$B$6^2+4)^0.5)</f>
        <v>0.68461965772257294</v>
      </c>
      <c r="G28">
        <f>F28^2/(PI()*'Données géométriques'!$B$6)</f>
        <v>4.6614068088978396E-2</v>
      </c>
      <c r="H28">
        <f t="shared" si="1"/>
        <v>6.9374068088978391E-2</v>
      </c>
      <c r="I28">
        <f t="shared" si="3"/>
        <v>0.24010588493745078</v>
      </c>
      <c r="J28">
        <f>XCP_3D('Données géométriques'!$B$9,'Données géométriques'!$B$10,'Données géométriques'!$B$12,'Données géométriques'!$B$11,I28)</f>
        <v>-0.22017047896797021</v>
      </c>
      <c r="K28">
        <f t="shared" si="4"/>
        <v>1.1514536950961625</v>
      </c>
      <c r="L28">
        <f t="shared" si="2"/>
        <v>-3.9829521032029802E-2</v>
      </c>
    </row>
    <row r="29" spans="1:12" x14ac:dyDescent="0.25">
      <c r="A29">
        <v>12.5</v>
      </c>
      <c r="B29">
        <f t="shared" si="0"/>
        <v>0.21816615649929119</v>
      </c>
      <c r="C29">
        <v>1.2706999999999999</v>
      </c>
      <c r="D29">
        <v>2.4680000000000001E-2</v>
      </c>
      <c r="E29">
        <v>1.3899999999999999E-2</v>
      </c>
      <c r="F29">
        <f>C29*'Données géométriques'!$B$6/(2+('Données géométriques'!$B$6^2+4)^0.5)</f>
        <v>0.70435284516887164</v>
      </c>
      <c r="G29">
        <f>F29^2/(PI()*'Données géométriques'!$B$6)</f>
        <v>4.933996335643602E-2</v>
      </c>
      <c r="H29">
        <f t="shared" si="1"/>
        <v>7.4019963356436014E-2</v>
      </c>
      <c r="I29">
        <f t="shared" si="3"/>
        <v>0.23884359500756655</v>
      </c>
      <c r="J29">
        <f>XCP_3D('Données géométriques'!$B$9,'Données géométriques'!$B$10,'Données géométriques'!$B$12,'Données géométriques'!$B$11,I29)</f>
        <v>-0.21924105432134935</v>
      </c>
      <c r="K29">
        <f t="shared" si="4"/>
        <v>1.1514536950961625</v>
      </c>
      <c r="L29">
        <f t="shared" si="2"/>
        <v>-4.0758945678650654E-2</v>
      </c>
    </row>
    <row r="30" spans="1:12" x14ac:dyDescent="0.25">
      <c r="A30">
        <v>13</v>
      </c>
      <c r="B30">
        <f t="shared" si="0"/>
        <v>0.22689280275926285</v>
      </c>
      <c r="C30">
        <v>1.3018000000000001</v>
      </c>
      <c r="D30">
        <v>2.6800000000000001E-2</v>
      </c>
      <c r="E30">
        <v>1.61E-2</v>
      </c>
      <c r="F30">
        <f>C30*'Données géométriques'!$B$6/(2+('Données géométriques'!$B$6^2+4)^0.5)</f>
        <v>0.72159166903347527</v>
      </c>
      <c r="G30">
        <f>F30^2/(PI()*'Données géométriques'!$B$6)</f>
        <v>5.178468003395912E-2</v>
      </c>
      <c r="H30">
        <f t="shared" si="1"/>
        <v>7.8584680033959117E-2</v>
      </c>
      <c r="I30">
        <f t="shared" si="3"/>
        <v>0.23736723472333526</v>
      </c>
      <c r="J30">
        <f>XCP_3D('Données géométriques'!$B$9,'Données géométriques'!$B$10,'Données géométriques'!$B$12,'Données géométriques'!$B$11,I30)</f>
        <v>-0.21815400957594588</v>
      </c>
      <c r="K30">
        <f t="shared" si="4"/>
        <v>1.1514536950961625</v>
      </c>
      <c r="L30">
        <f t="shared" si="2"/>
        <v>-4.1845990424054125E-2</v>
      </c>
    </row>
    <row r="31" spans="1:12" x14ac:dyDescent="0.25">
      <c r="A31">
        <v>13.5</v>
      </c>
      <c r="B31">
        <f t="shared" si="0"/>
        <v>0.23561944901923448</v>
      </c>
      <c r="C31">
        <v>1.3263</v>
      </c>
      <c r="D31">
        <v>2.9229999999999999E-2</v>
      </c>
      <c r="E31">
        <v>1.8800000000000001E-2</v>
      </c>
      <c r="F31">
        <f>C31*'Données géométriques'!$B$6/(2+('Données géométriques'!$B$6^2+4)^0.5)</f>
        <v>0.73517209297825958</v>
      </c>
      <c r="G31">
        <f>F31^2/(PI()*'Données géométriques'!$B$6)</f>
        <v>5.3752207181470529E-2</v>
      </c>
      <c r="H31">
        <f t="shared" si="1"/>
        <v>8.2982207181470535E-2</v>
      </c>
      <c r="I31">
        <f t="shared" si="3"/>
        <v>0.23549917359514935</v>
      </c>
      <c r="J31">
        <f>XCP_3D('Données géométriques'!$B$9,'Données géométriques'!$B$10,'Données géométriques'!$B$12,'Données géométriques'!$B$11,I31)</f>
        <v>-0.21677855532187543</v>
      </c>
      <c r="K31">
        <f t="shared" si="4"/>
        <v>1.1514536950961625</v>
      </c>
      <c r="L31">
        <f t="shared" si="2"/>
        <v>-4.3221444678124582E-2</v>
      </c>
    </row>
    <row r="32" spans="1:12" x14ac:dyDescent="0.25">
      <c r="A32" s="3">
        <v>14</v>
      </c>
      <c r="B32">
        <f t="shared" si="0"/>
        <v>0.24434609527920614</v>
      </c>
      <c r="C32">
        <v>1.3358000000000001</v>
      </c>
      <c r="D32">
        <v>3.211E-2</v>
      </c>
      <c r="E32">
        <v>2.2800000000000001E-2</v>
      </c>
      <c r="F32">
        <f>C32*'Données géométriques'!$B$6/(2+('Données géométriques'!$B$6^2+4)^0.5)</f>
        <v>0.740437971650727</v>
      </c>
      <c r="G32">
        <f>F32^2/(PI()*'Données géométriques'!$B$6)</f>
        <v>5.452499582887866E-2</v>
      </c>
      <c r="H32">
        <f t="shared" si="1"/>
        <v>8.6634995828878653E-2</v>
      </c>
      <c r="I32">
        <f t="shared" si="3"/>
        <v>0.23251385087572013</v>
      </c>
      <c r="J32">
        <f>XCP_3D('Données géométriques'!$B$9,'Données géométriques'!$B$10,'Données géométriques'!$B$12,'Données géométriques'!$B$11,I32)</f>
        <v>-0.21458046085255589</v>
      </c>
      <c r="K32">
        <f t="shared" si="4"/>
        <v>1.1514536950961625</v>
      </c>
      <c r="L32">
        <f t="shared" si="2"/>
        <v>-4.5419539147444121E-2</v>
      </c>
    </row>
    <row r="33" spans="1:12" x14ac:dyDescent="0.25">
      <c r="A33">
        <v>14.5</v>
      </c>
      <c r="B33">
        <f t="shared" si="0"/>
        <v>0.2530727415391778</v>
      </c>
      <c r="C33">
        <f>-$C$32*(A33-90)/(90-$A$32)</f>
        <v>1.3270118421052632</v>
      </c>
      <c r="D33">
        <f>$O$2*(A33-$A$32)+$D$32</f>
        <v>3.499E-2</v>
      </c>
      <c r="E33" s="4" t="s">
        <v>30</v>
      </c>
      <c r="F33">
        <f>C33*'Données géométriques'!$B$6/(2+('Données géométriques'!$B$6^2+4)^0.5)</f>
        <v>0.73556666920565639</v>
      </c>
      <c r="G33">
        <f>F33^2/(PI()*'Données géométriques'!$B$6)</f>
        <v>5.3809921654010662E-2</v>
      </c>
      <c r="H33">
        <f t="shared" si="1"/>
        <v>8.8799921654010655E-2</v>
      </c>
      <c r="I33" s="4" t="s">
        <v>30</v>
      </c>
      <c r="J33" s="4">
        <f>'1kts'!J$22</f>
        <v>-0.41152228571428573</v>
      </c>
      <c r="K33" s="4">
        <f>'1kts'!K$22</f>
        <v>0.92155428571428555</v>
      </c>
      <c r="L33" s="4">
        <f>'1kts'!L$22</f>
        <v>0.15152228571428572</v>
      </c>
    </row>
    <row r="34" spans="1:12" x14ac:dyDescent="0.25">
      <c r="A34">
        <v>15</v>
      </c>
      <c r="B34">
        <f t="shared" si="0"/>
        <v>0.26179938779914941</v>
      </c>
      <c r="C34">
        <f t="shared" ref="C34:C77" si="5">-$C$32*(A34-90)/(90-$A$32)</f>
        <v>1.3182236842105264</v>
      </c>
      <c r="D34">
        <f t="shared" ref="D34:D77" si="6">$O$2*(A34-$A$32)+$D$32</f>
        <v>3.7870000000000001E-2</v>
      </c>
      <c r="E34" s="4" t="s">
        <v>30</v>
      </c>
      <c r="F34">
        <f>C34*'Données géométriques'!$B$6/(2+('Données géométriques'!$B$6^2+4)^0.5)</f>
        <v>0.73069536676058588</v>
      </c>
      <c r="G34">
        <f>F34^2/(PI()*'Données géométriques'!$B$6)</f>
        <v>5.3099567440692955E-2</v>
      </c>
      <c r="H34">
        <f t="shared" si="1"/>
        <v>9.0969567440692956E-2</v>
      </c>
      <c r="I34" s="4" t="s">
        <v>30</v>
      </c>
      <c r="J34" s="4">
        <f>'1kts'!J$22</f>
        <v>-0.41152228571428573</v>
      </c>
      <c r="K34" s="4">
        <f>'1kts'!K$22</f>
        <v>0.92155428571428555</v>
      </c>
      <c r="L34" s="4">
        <f>'1kts'!L$22</f>
        <v>0.15152228571428572</v>
      </c>
    </row>
    <row r="35" spans="1:12" x14ac:dyDescent="0.25">
      <c r="A35">
        <v>15.5</v>
      </c>
      <c r="B35">
        <f t="shared" si="0"/>
        <v>0.27052603405912107</v>
      </c>
      <c r="C35">
        <f t="shared" si="5"/>
        <v>1.3094355263157897</v>
      </c>
      <c r="D35">
        <f t="shared" si="6"/>
        <v>4.0750000000000001E-2</v>
      </c>
      <c r="E35" s="4" t="s">
        <v>30</v>
      </c>
      <c r="F35">
        <f>C35*'Données géométriques'!$B$6/(2+('Données géométriques'!$B$6^2+4)^0.5)</f>
        <v>0.72582406431551549</v>
      </c>
      <c r="G35">
        <f>F35^2/(PI()*'Données géométriques'!$B$6)</f>
        <v>5.2393933188925546E-2</v>
      </c>
      <c r="H35">
        <f t="shared" si="1"/>
        <v>9.3143933188925554E-2</v>
      </c>
      <c r="I35" s="4" t="s">
        <v>30</v>
      </c>
      <c r="J35" s="4">
        <f>'1kts'!J$22</f>
        <v>-0.41152228571428573</v>
      </c>
      <c r="K35" s="4">
        <f>'1kts'!K$22</f>
        <v>0.92155428571428555</v>
      </c>
      <c r="L35" s="4">
        <f>'1kts'!L$22</f>
        <v>0.15152228571428572</v>
      </c>
    </row>
    <row r="36" spans="1:12" x14ac:dyDescent="0.25">
      <c r="A36">
        <v>16</v>
      </c>
      <c r="B36">
        <f t="shared" si="0"/>
        <v>0.27925268031909273</v>
      </c>
      <c r="C36">
        <f t="shared" si="5"/>
        <v>1.3006473684210527</v>
      </c>
      <c r="D36">
        <f t="shared" si="6"/>
        <v>4.3630000000000002E-2</v>
      </c>
      <c r="E36" s="4" t="s">
        <v>30</v>
      </c>
      <c r="F36">
        <f>C36*'Données géométriques'!$B$6/(2+('Données géométriques'!$B$6^2+4)^0.5)</f>
        <v>0.72095276187044477</v>
      </c>
      <c r="G36">
        <f>F36^2/(PI()*'Données géométriques'!$B$6)</f>
        <v>5.1693018898708386E-2</v>
      </c>
      <c r="H36">
        <f t="shared" si="1"/>
        <v>9.5323018898708395E-2</v>
      </c>
      <c r="I36" s="4" t="s">
        <v>30</v>
      </c>
      <c r="J36" s="4">
        <f>'1kts'!J$22</f>
        <v>-0.41152228571428573</v>
      </c>
      <c r="K36" s="4">
        <f>'1kts'!K$22</f>
        <v>0.92155428571428555</v>
      </c>
      <c r="L36" s="4">
        <f>'1kts'!L$22</f>
        <v>0.15152228571428572</v>
      </c>
    </row>
    <row r="37" spans="1:12" x14ac:dyDescent="0.25">
      <c r="A37">
        <v>16.5</v>
      </c>
      <c r="B37">
        <f t="shared" si="0"/>
        <v>0.28797932657906439</v>
      </c>
      <c r="C37">
        <f t="shared" si="5"/>
        <v>1.2918592105263158</v>
      </c>
      <c r="D37">
        <f t="shared" si="6"/>
        <v>4.6510000000000003E-2</v>
      </c>
      <c r="E37" s="4" t="s">
        <v>30</v>
      </c>
      <c r="F37">
        <f>C37*'Données géométriques'!$B$6/(2+('Données géométriques'!$B$6^2+4)^0.5)</f>
        <v>0.71608145942537405</v>
      </c>
      <c r="G37">
        <f>F37^2/(PI()*'Données géométriques'!$B$6)</f>
        <v>5.0996824570041496E-2</v>
      </c>
      <c r="H37">
        <f t="shared" si="1"/>
        <v>9.7506824570041506E-2</v>
      </c>
      <c r="I37" s="4" t="s">
        <v>30</v>
      </c>
      <c r="J37" s="4">
        <f>'1kts'!J$22</f>
        <v>-0.41152228571428573</v>
      </c>
      <c r="K37" s="4">
        <f>'1kts'!K$22</f>
        <v>0.92155428571428555</v>
      </c>
      <c r="L37" s="4">
        <f>'1kts'!L$22</f>
        <v>0.15152228571428572</v>
      </c>
    </row>
    <row r="38" spans="1:12" x14ac:dyDescent="0.25">
      <c r="A38">
        <v>18</v>
      </c>
      <c r="B38">
        <f t="shared" si="0"/>
        <v>0.31415926535897931</v>
      </c>
      <c r="C38">
        <f t="shared" si="5"/>
        <v>1.2654947368421054</v>
      </c>
      <c r="D38">
        <f t="shared" si="6"/>
        <v>5.5150000000000005E-2</v>
      </c>
      <c r="E38" s="4" t="s">
        <v>30</v>
      </c>
      <c r="F38">
        <f>C38*'Données géométriques'!$B$6/(2+('Données géométriques'!$B$6^2+4)^0.5)</f>
        <v>0.70146755209016243</v>
      </c>
      <c r="G38">
        <f>F38^2/(PI()*'Données géométriques'!$B$6)</f>
        <v>4.8936561353342622E-2</v>
      </c>
      <c r="H38">
        <f>G38+D38</f>
        <v>0.10408656135334263</v>
      </c>
      <c r="I38" s="4" t="s">
        <v>30</v>
      </c>
      <c r="J38" s="4">
        <f>'1kts'!J$22</f>
        <v>-0.41152228571428573</v>
      </c>
      <c r="K38" s="4">
        <f>'1kts'!K$22</f>
        <v>0.92155428571428555</v>
      </c>
      <c r="L38" s="4">
        <f>'1kts'!L$22</f>
        <v>0.15152228571428572</v>
      </c>
    </row>
    <row r="39" spans="1:12" x14ac:dyDescent="0.25">
      <c r="A39">
        <v>18.5</v>
      </c>
      <c r="B39">
        <f t="shared" si="0"/>
        <v>0.32288591161895097</v>
      </c>
      <c r="C39">
        <f t="shared" si="5"/>
        <v>1.2567065789473686</v>
      </c>
      <c r="D39">
        <f t="shared" si="6"/>
        <v>5.8030000000000005E-2</v>
      </c>
      <c r="E39" s="4" t="s">
        <v>30</v>
      </c>
      <c r="F39">
        <f>C39*'Données géométriques'!$B$6/(2+('Données géométriques'!$B$6^2+4)^0.5)</f>
        <v>0.69659624964509193</v>
      </c>
      <c r="G39">
        <f>F39^2/(PI()*'Données géométriques'!$B$6)</f>
        <v>4.8259246870876904E-2</v>
      </c>
      <c r="H39">
        <f>G39+D39</f>
        <v>0.1062892468708769</v>
      </c>
      <c r="I39" s="4" t="s">
        <v>30</v>
      </c>
      <c r="J39" s="4">
        <f>'1kts'!J$22</f>
        <v>-0.41152228571428573</v>
      </c>
      <c r="K39" s="4">
        <f>'1kts'!K$22</f>
        <v>0.92155428571428555</v>
      </c>
      <c r="L39" s="4">
        <f>'1kts'!L$22</f>
        <v>0.15152228571428572</v>
      </c>
    </row>
    <row r="40" spans="1:12" x14ac:dyDescent="0.25">
      <c r="A40">
        <v>19</v>
      </c>
      <c r="B40">
        <f t="shared" si="0"/>
        <v>0.33161255787892263</v>
      </c>
      <c r="C40">
        <f t="shared" si="5"/>
        <v>1.2479184210526317</v>
      </c>
      <c r="D40">
        <f t="shared" si="6"/>
        <v>6.0910000000000006E-2</v>
      </c>
      <c r="E40" s="4" t="s">
        <v>30</v>
      </c>
      <c r="F40">
        <f>C40*'Données géométriques'!$B$6/(2+('Données géométriques'!$B$6^2+4)^0.5)</f>
        <v>0.69172494720002131</v>
      </c>
      <c r="G40">
        <f>F40^2/(PI()*'Données géométriques'!$B$6)</f>
        <v>4.7586652349961456E-2</v>
      </c>
      <c r="H40">
        <f>G40+D40</f>
        <v>0.10849665234996146</v>
      </c>
      <c r="I40" s="4" t="s">
        <v>30</v>
      </c>
      <c r="J40" s="4">
        <f>'1kts'!J$22</f>
        <v>-0.41152228571428573</v>
      </c>
      <c r="K40" s="4">
        <f>'1kts'!K$22</f>
        <v>0.92155428571428555</v>
      </c>
      <c r="L40" s="4">
        <f>'1kts'!L$22</f>
        <v>0.15152228571428572</v>
      </c>
    </row>
    <row r="41" spans="1:12" x14ac:dyDescent="0.25">
      <c r="A41">
        <v>19.5</v>
      </c>
      <c r="B41">
        <f t="shared" si="0"/>
        <v>0.34033920413889424</v>
      </c>
      <c r="C41">
        <f t="shared" si="5"/>
        <v>1.2391302631578949</v>
      </c>
      <c r="D41">
        <f t="shared" si="6"/>
        <v>6.3790000000000013E-2</v>
      </c>
      <c r="E41" s="4" t="s">
        <v>30</v>
      </c>
      <c r="F41">
        <f>C41*'Données géométriques'!$B$6/(2+('Données géométriques'!$B$6^2+4)^0.5)</f>
        <v>0.6868536447549507</v>
      </c>
      <c r="G41">
        <f>F41^2/(PI()*'Données géométriques'!$B$6)</f>
        <v>4.6918777790596292E-2</v>
      </c>
      <c r="H41">
        <f>G41+D41</f>
        <v>0.1107087777905963</v>
      </c>
      <c r="I41" s="4" t="s">
        <v>30</v>
      </c>
      <c r="J41" s="4">
        <f>'1kts'!J$22</f>
        <v>-0.41152228571428573</v>
      </c>
      <c r="K41" s="4">
        <f>'1kts'!K$22</f>
        <v>0.92155428571428555</v>
      </c>
      <c r="L41" s="4">
        <f>'1kts'!L$22</f>
        <v>0.15152228571428572</v>
      </c>
    </row>
    <row r="42" spans="1:12" x14ac:dyDescent="0.25">
      <c r="A42">
        <v>20</v>
      </c>
      <c r="B42">
        <f t="shared" si="0"/>
        <v>0.3490658503988659</v>
      </c>
      <c r="C42">
        <f t="shared" si="5"/>
        <v>1.2303421052631578</v>
      </c>
      <c r="D42">
        <f t="shared" si="6"/>
        <v>6.6670000000000007E-2</v>
      </c>
      <c r="E42" s="4" t="s">
        <v>30</v>
      </c>
      <c r="F42">
        <f>C42*'Données géométriques'!$B$6/(2+('Données géométriques'!$B$6^2+4)^0.5)</f>
        <v>0.68198234230988009</v>
      </c>
      <c r="G42">
        <f>F42^2/(PI()*'Données géométriques'!$B$6)</f>
        <v>4.6255623192781412E-2</v>
      </c>
      <c r="H42">
        <f>G42+D42</f>
        <v>0.11292562319278142</v>
      </c>
      <c r="I42" s="4" t="s">
        <v>30</v>
      </c>
      <c r="J42" s="4">
        <f>'1kts'!J$22</f>
        <v>-0.41152228571428573</v>
      </c>
      <c r="K42" s="4">
        <f>'1kts'!K$22</f>
        <v>0.92155428571428555</v>
      </c>
      <c r="L42" s="4">
        <f>'1kts'!L$22</f>
        <v>0.15152228571428572</v>
      </c>
    </row>
    <row r="43" spans="1:12" x14ac:dyDescent="0.25">
      <c r="A43">
        <v>22</v>
      </c>
      <c r="B43">
        <f t="shared" si="0"/>
        <v>0.38397243543875248</v>
      </c>
      <c r="C43">
        <f t="shared" si="5"/>
        <v>1.1951894736842106</v>
      </c>
      <c r="D43">
        <f t="shared" si="6"/>
        <v>7.8190000000000009E-2</v>
      </c>
      <c r="E43" s="4" t="s">
        <v>30</v>
      </c>
      <c r="F43">
        <f>C43*'Données géométriques'!$B$6/(2+('Données géométriques'!$B$6^2+4)^0.5)</f>
        <v>0.66249713252959785</v>
      </c>
      <c r="G43">
        <f>F43^2/(PI()*'Données géométriques'!$B$6)</f>
        <v>4.3650204417024746E-2</v>
      </c>
      <c r="H43">
        <f t="shared" ref="H43:H77" si="7">G43+D43</f>
        <v>0.12184020441702476</v>
      </c>
      <c r="I43" s="4" t="s">
        <v>30</v>
      </c>
      <c r="J43" s="4">
        <f>'1kts'!J$22</f>
        <v>-0.41152228571428573</v>
      </c>
      <c r="K43" s="4">
        <f>'1kts'!K$22</f>
        <v>0.92155428571428555</v>
      </c>
      <c r="L43" s="4">
        <f>'1kts'!L$22</f>
        <v>0.15152228571428572</v>
      </c>
    </row>
    <row r="44" spans="1:12" x14ac:dyDescent="0.25">
      <c r="A44">
        <f>A43+2</f>
        <v>24</v>
      </c>
      <c r="B44">
        <f t="shared" si="0"/>
        <v>0.41887902047863912</v>
      </c>
      <c r="C44">
        <f t="shared" si="5"/>
        <v>1.1600368421052631</v>
      </c>
      <c r="D44">
        <f t="shared" si="6"/>
        <v>8.9710000000000012E-2</v>
      </c>
      <c r="E44" s="4" t="s">
        <v>30</v>
      </c>
      <c r="F44">
        <f>C44*'Données géométriques'!$B$6/(2+('Données géométriques'!$B$6^2+4)^0.5)</f>
        <v>0.64301192274931551</v>
      </c>
      <c r="G44">
        <f>F44^2/(PI()*'Données géométriques'!$B$6)</f>
        <v>4.1120305026072612E-2</v>
      </c>
      <c r="H44">
        <f t="shared" si="7"/>
        <v>0.13083030502607262</v>
      </c>
      <c r="I44" s="4" t="s">
        <v>30</v>
      </c>
      <c r="J44" s="4">
        <f>'1kts'!J$22</f>
        <v>-0.41152228571428573</v>
      </c>
      <c r="K44" s="4">
        <f>'1kts'!K$22</f>
        <v>0.92155428571428555</v>
      </c>
      <c r="L44" s="4">
        <f>'1kts'!L$22</f>
        <v>0.15152228571428572</v>
      </c>
    </row>
    <row r="45" spans="1:12" x14ac:dyDescent="0.25">
      <c r="A45">
        <f t="shared" ref="A45:A77" si="8">A44+2</f>
        <v>26</v>
      </c>
      <c r="B45">
        <f t="shared" si="0"/>
        <v>0.4537856055185257</v>
      </c>
      <c r="C45">
        <f t="shared" si="5"/>
        <v>1.1248842105263159</v>
      </c>
      <c r="D45">
        <f t="shared" si="6"/>
        <v>0.10123000000000001</v>
      </c>
      <c r="E45" s="4" t="s">
        <v>30</v>
      </c>
      <c r="F45">
        <f>C45*'Données géométriques'!$B$6/(2+('Données géométriques'!$B$6^2+4)^0.5)</f>
        <v>0.62352671296903339</v>
      </c>
      <c r="G45">
        <f>F45^2/(PI()*'Données géométriques'!$B$6)</f>
        <v>3.8665925019925051E-2</v>
      </c>
      <c r="H45">
        <f t="shared" si="7"/>
        <v>0.13989592501992507</v>
      </c>
      <c r="I45" s="4" t="s">
        <v>30</v>
      </c>
      <c r="J45" s="4">
        <f>'1kts'!J$22</f>
        <v>-0.41152228571428573</v>
      </c>
      <c r="K45" s="4">
        <f>'1kts'!K$22</f>
        <v>0.92155428571428555</v>
      </c>
      <c r="L45" s="4">
        <f>'1kts'!L$22</f>
        <v>0.15152228571428572</v>
      </c>
    </row>
    <row r="46" spans="1:12" x14ac:dyDescent="0.25">
      <c r="A46">
        <f t="shared" si="8"/>
        <v>28</v>
      </c>
      <c r="B46">
        <f t="shared" si="0"/>
        <v>0.48869219055841229</v>
      </c>
      <c r="C46">
        <f t="shared" si="5"/>
        <v>1.0897315789473685</v>
      </c>
      <c r="D46">
        <f t="shared" si="6"/>
        <v>0.11275000000000002</v>
      </c>
      <c r="E46" s="4" t="s">
        <v>30</v>
      </c>
      <c r="F46">
        <f>C46*'Données géométriques'!$B$6/(2+('Données géométriques'!$B$6^2+4)^0.5)</f>
        <v>0.60404150318875105</v>
      </c>
      <c r="G46">
        <f>F46^2/(PI()*'Données géométriques'!$B$6)</f>
        <v>3.6287064398582002E-2</v>
      </c>
      <c r="H46">
        <f t="shared" si="7"/>
        <v>0.14903706439858203</v>
      </c>
      <c r="I46" s="4" t="s">
        <v>30</v>
      </c>
      <c r="J46" s="4">
        <f>'1kts'!J$22</f>
        <v>-0.41152228571428573</v>
      </c>
      <c r="K46" s="4">
        <f>'1kts'!K$22</f>
        <v>0.92155428571428555</v>
      </c>
      <c r="L46" s="4">
        <f>'1kts'!L$22</f>
        <v>0.15152228571428572</v>
      </c>
    </row>
    <row r="47" spans="1:12" x14ac:dyDescent="0.25">
      <c r="A47">
        <f t="shared" si="8"/>
        <v>30</v>
      </c>
      <c r="B47">
        <f t="shared" si="0"/>
        <v>0.52359877559829882</v>
      </c>
      <c r="C47">
        <f t="shared" si="5"/>
        <v>1.0545789473684213</v>
      </c>
      <c r="D47">
        <f t="shared" si="6"/>
        <v>0.12427000000000002</v>
      </c>
      <c r="E47" s="4" t="s">
        <v>30</v>
      </c>
      <c r="F47">
        <f>C47*'Données géométriques'!$B$6/(2+('Données géométriques'!$B$6^2+4)^0.5)</f>
        <v>0.58455629340846871</v>
      </c>
      <c r="G47">
        <f>F47^2/(PI()*'Données géométriques'!$B$6)</f>
        <v>3.398372316204349E-2</v>
      </c>
      <c r="H47">
        <f t="shared" si="7"/>
        <v>0.1582537231620435</v>
      </c>
      <c r="I47" s="4" t="s">
        <v>30</v>
      </c>
      <c r="J47" s="4">
        <f>'1kts'!J$22</f>
        <v>-0.41152228571428573</v>
      </c>
      <c r="K47" s="4">
        <f>'1kts'!K$22</f>
        <v>0.92155428571428555</v>
      </c>
      <c r="L47" s="4">
        <f>'1kts'!L$22</f>
        <v>0.15152228571428572</v>
      </c>
    </row>
    <row r="48" spans="1:12" x14ac:dyDescent="0.25">
      <c r="A48">
        <f t="shared" si="8"/>
        <v>32</v>
      </c>
      <c r="B48">
        <f t="shared" si="0"/>
        <v>0.55850536063818546</v>
      </c>
      <c r="C48">
        <f t="shared" si="5"/>
        <v>1.0194263157894738</v>
      </c>
      <c r="D48">
        <f t="shared" si="6"/>
        <v>0.13579000000000002</v>
      </c>
      <c r="E48" s="4" t="s">
        <v>30</v>
      </c>
      <c r="F48">
        <f>C48*'Données géométriques'!$B$6/(2+('Données géométriques'!$B$6^2+4)^0.5)</f>
        <v>0.56507108362818648</v>
      </c>
      <c r="G48">
        <f>F48^2/(PI()*'Données géométriques'!$B$6)</f>
        <v>3.1755901310309538E-2</v>
      </c>
      <c r="H48">
        <f t="shared" si="7"/>
        <v>0.16754590131030955</v>
      </c>
      <c r="I48" s="4" t="s">
        <v>30</v>
      </c>
      <c r="J48" s="4">
        <f>'1kts'!J$22</f>
        <v>-0.41152228571428573</v>
      </c>
      <c r="K48" s="4">
        <f>'1kts'!K$22</f>
        <v>0.92155428571428555</v>
      </c>
      <c r="L48" s="4">
        <f>'1kts'!L$22</f>
        <v>0.15152228571428572</v>
      </c>
    </row>
    <row r="49" spans="1:12" x14ac:dyDescent="0.25">
      <c r="A49">
        <f t="shared" si="8"/>
        <v>34</v>
      </c>
      <c r="B49">
        <f t="shared" si="0"/>
        <v>0.59341194567807209</v>
      </c>
      <c r="C49">
        <f t="shared" si="5"/>
        <v>0.9842736842105263</v>
      </c>
      <c r="D49">
        <f t="shared" si="6"/>
        <v>0.14731000000000002</v>
      </c>
      <c r="E49" s="4" t="s">
        <v>30</v>
      </c>
      <c r="F49">
        <f>C49*'Données géométriques'!$B$6/(2+('Données géométriques'!$B$6^2+4)^0.5)</f>
        <v>0.54558587384790413</v>
      </c>
      <c r="G49">
        <f>F49^2/(PI()*'Données géométriques'!$B$6)</f>
        <v>2.9603598843380107E-2</v>
      </c>
      <c r="H49">
        <f t="shared" si="7"/>
        <v>0.17691359884338012</v>
      </c>
      <c r="I49" s="4" t="s">
        <v>30</v>
      </c>
      <c r="J49" s="4">
        <f>'1kts'!J$22</f>
        <v>-0.41152228571428573</v>
      </c>
      <c r="K49" s="4">
        <f>'1kts'!K$22</f>
        <v>0.92155428571428555</v>
      </c>
      <c r="L49" s="4">
        <f>'1kts'!L$22</f>
        <v>0.15152228571428572</v>
      </c>
    </row>
    <row r="50" spans="1:12" x14ac:dyDescent="0.25">
      <c r="A50">
        <f t="shared" si="8"/>
        <v>36</v>
      </c>
      <c r="B50">
        <f t="shared" si="0"/>
        <v>0.62831853071795862</v>
      </c>
      <c r="C50">
        <f t="shared" si="5"/>
        <v>0.94912105263157898</v>
      </c>
      <c r="D50">
        <f t="shared" si="6"/>
        <v>0.15883000000000003</v>
      </c>
      <c r="E50" s="4" t="s">
        <v>30</v>
      </c>
      <c r="F50">
        <f>C50*'Données géométriques'!$B$6/(2+('Données géométriques'!$B$6^2+4)^0.5)</f>
        <v>0.52610066406762179</v>
      </c>
      <c r="G50">
        <f>F50^2/(PI()*'Données géométriques'!$B$6)</f>
        <v>2.7526815761255222E-2</v>
      </c>
      <c r="H50">
        <f t="shared" si="7"/>
        <v>0.18635681576125523</v>
      </c>
      <c r="I50" s="4" t="s">
        <v>30</v>
      </c>
      <c r="J50" s="4">
        <f>'1kts'!J$22</f>
        <v>-0.41152228571428573</v>
      </c>
      <c r="K50" s="4">
        <f>'1kts'!K$22</f>
        <v>0.92155428571428555</v>
      </c>
      <c r="L50" s="4">
        <f>'1kts'!L$22</f>
        <v>0.15152228571428572</v>
      </c>
    </row>
    <row r="51" spans="1:12" x14ac:dyDescent="0.25">
      <c r="A51">
        <f t="shared" si="8"/>
        <v>38</v>
      </c>
      <c r="B51">
        <f t="shared" si="0"/>
        <v>0.66322511575784526</v>
      </c>
      <c r="C51">
        <f t="shared" si="5"/>
        <v>0.91396842105263165</v>
      </c>
      <c r="D51">
        <f t="shared" si="6"/>
        <v>0.17035000000000003</v>
      </c>
      <c r="E51" s="4" t="s">
        <v>30</v>
      </c>
      <c r="F51">
        <f>C51*'Données géométriques'!$B$6/(2+('Données géométriques'!$B$6^2+4)^0.5)</f>
        <v>0.50661545428733956</v>
      </c>
      <c r="G51">
        <f>F51^2/(PI()*'Données géométriques'!$B$6)</f>
        <v>2.5525552063934892E-2</v>
      </c>
      <c r="H51">
        <f t="shared" si="7"/>
        <v>0.19587555206393492</v>
      </c>
      <c r="I51" s="4" t="s">
        <v>30</v>
      </c>
      <c r="J51" s="4">
        <f>'1kts'!J$22</f>
        <v>-0.41152228571428573</v>
      </c>
      <c r="K51" s="4">
        <f>'1kts'!K$22</f>
        <v>0.92155428571428555</v>
      </c>
      <c r="L51" s="4">
        <f>'1kts'!L$22</f>
        <v>0.15152228571428572</v>
      </c>
    </row>
    <row r="52" spans="1:12" x14ac:dyDescent="0.25">
      <c r="A52">
        <f t="shared" si="8"/>
        <v>40</v>
      </c>
      <c r="B52">
        <f t="shared" si="0"/>
        <v>0.69813170079773179</v>
      </c>
      <c r="C52">
        <f t="shared" si="5"/>
        <v>0.87881578947368433</v>
      </c>
      <c r="D52">
        <f t="shared" si="6"/>
        <v>0.18187000000000003</v>
      </c>
      <c r="E52" s="4" t="s">
        <v>30</v>
      </c>
      <c r="F52">
        <f>C52*'Données géométriques'!$B$6/(2+('Données géométriques'!$B$6^2+4)^0.5)</f>
        <v>0.48713024450705733</v>
      </c>
      <c r="G52">
        <f>F52^2/(PI()*'Données géométriques'!$B$6)</f>
        <v>2.3599807751419101E-2</v>
      </c>
      <c r="H52">
        <f t="shared" si="7"/>
        <v>0.20546980775141913</v>
      </c>
      <c r="I52" s="4" t="s">
        <v>30</v>
      </c>
      <c r="J52" s="4">
        <f>'1kts'!J$22</f>
        <v>-0.41152228571428573</v>
      </c>
      <c r="K52" s="4">
        <f>'1kts'!K$22</f>
        <v>0.92155428571428555</v>
      </c>
      <c r="L52" s="4">
        <f>'1kts'!L$22</f>
        <v>0.15152228571428572</v>
      </c>
    </row>
    <row r="53" spans="1:12" x14ac:dyDescent="0.25">
      <c r="A53">
        <f t="shared" si="8"/>
        <v>42</v>
      </c>
      <c r="B53">
        <f t="shared" si="0"/>
        <v>0.73303828583761843</v>
      </c>
      <c r="C53">
        <f t="shared" si="5"/>
        <v>0.843663157894737</v>
      </c>
      <c r="D53">
        <f t="shared" si="6"/>
        <v>0.19339000000000003</v>
      </c>
      <c r="E53" s="4" t="s">
        <v>30</v>
      </c>
      <c r="F53">
        <f>C53*'Données géométriques'!$B$6/(2+('Données géométriques'!$B$6^2+4)^0.5)</f>
        <v>0.46764503472677499</v>
      </c>
      <c r="G53">
        <f>F53^2/(PI()*'Données géométriques'!$B$6)</f>
        <v>2.1749582823707835E-2</v>
      </c>
      <c r="H53">
        <f t="shared" si="7"/>
        <v>0.21513958282370788</v>
      </c>
      <c r="I53" s="4" t="s">
        <v>30</v>
      </c>
      <c r="J53" s="4">
        <f>'1kts'!J$22</f>
        <v>-0.41152228571428573</v>
      </c>
      <c r="K53" s="4">
        <f>'1kts'!K$22</f>
        <v>0.92155428571428555</v>
      </c>
      <c r="L53" s="4">
        <f>'1kts'!L$22</f>
        <v>0.15152228571428572</v>
      </c>
    </row>
    <row r="54" spans="1:12" x14ac:dyDescent="0.25">
      <c r="A54">
        <f t="shared" si="8"/>
        <v>44</v>
      </c>
      <c r="B54">
        <f t="shared" si="0"/>
        <v>0.76794487087750496</v>
      </c>
      <c r="C54">
        <f t="shared" si="5"/>
        <v>0.80851052631578957</v>
      </c>
      <c r="D54">
        <f t="shared" si="6"/>
        <v>0.20491000000000004</v>
      </c>
      <c r="E54" s="4" t="s">
        <v>30</v>
      </c>
      <c r="F54">
        <f>C54*'Données géométriques'!$B$6/(2+('Données géométriques'!$B$6^2+4)^0.5)</f>
        <v>0.44815982494649276</v>
      </c>
      <c r="G54">
        <f>F54^2/(PI()*'Données géométriques'!$B$6)</f>
        <v>1.9974877280801124E-2</v>
      </c>
      <c r="H54">
        <f t="shared" si="7"/>
        <v>0.22488487728080117</v>
      </c>
      <c r="I54" s="4" t="s">
        <v>30</v>
      </c>
      <c r="J54" s="4">
        <f>'1kts'!J$22</f>
        <v>-0.41152228571428573</v>
      </c>
      <c r="K54" s="4">
        <f>'1kts'!K$22</f>
        <v>0.92155428571428555</v>
      </c>
      <c r="L54" s="4">
        <f>'1kts'!L$22</f>
        <v>0.15152228571428572</v>
      </c>
    </row>
    <row r="55" spans="1:12" x14ac:dyDescent="0.25">
      <c r="A55">
        <f t="shared" si="8"/>
        <v>46</v>
      </c>
      <c r="B55">
        <f t="shared" si="0"/>
        <v>0.8028514559173916</v>
      </c>
      <c r="C55">
        <f t="shared" si="5"/>
        <v>0.77335789473684213</v>
      </c>
      <c r="D55">
        <f t="shared" si="6"/>
        <v>0.21643000000000004</v>
      </c>
      <c r="E55" s="4" t="s">
        <v>30</v>
      </c>
      <c r="F55">
        <f>C55*'Données géométriques'!$B$6/(2+('Données géométriques'!$B$6^2+4)^0.5)</f>
        <v>0.42867461516621042</v>
      </c>
      <c r="G55">
        <f>F55^2/(PI()*'Données géométriques'!$B$6)</f>
        <v>1.8275691122698945E-2</v>
      </c>
      <c r="H55">
        <f t="shared" si="7"/>
        <v>0.23470569112269898</v>
      </c>
      <c r="I55" s="4" t="s">
        <v>30</v>
      </c>
      <c r="J55" s="4">
        <f>'1kts'!J$22</f>
        <v>-0.41152228571428573</v>
      </c>
      <c r="K55" s="4">
        <f>'1kts'!K$22</f>
        <v>0.92155428571428555</v>
      </c>
      <c r="L55" s="4">
        <f>'1kts'!L$22</f>
        <v>0.15152228571428572</v>
      </c>
    </row>
    <row r="56" spans="1:12" x14ac:dyDescent="0.25">
      <c r="A56">
        <f t="shared" si="8"/>
        <v>48</v>
      </c>
      <c r="B56">
        <f t="shared" si="0"/>
        <v>0.83775804095727824</v>
      </c>
      <c r="C56">
        <f t="shared" si="5"/>
        <v>0.73820526315789481</v>
      </c>
      <c r="D56">
        <f t="shared" si="6"/>
        <v>0.22795000000000004</v>
      </c>
      <c r="E56" s="4" t="s">
        <v>30</v>
      </c>
      <c r="F56">
        <f>C56*'Données géométriques'!$B$6/(2+('Données géométriques'!$B$6^2+4)^0.5)</f>
        <v>0.40918940538592807</v>
      </c>
      <c r="G56">
        <f>F56^2/(PI()*'Données géométriques'!$B$6)</f>
        <v>1.6652024349401308E-2</v>
      </c>
      <c r="H56">
        <f t="shared" si="7"/>
        <v>0.24460202434940134</v>
      </c>
      <c r="I56" s="4" t="s">
        <v>30</v>
      </c>
      <c r="J56" s="4">
        <f>'1kts'!J$22</f>
        <v>-0.41152228571428573</v>
      </c>
      <c r="K56" s="4">
        <f>'1kts'!K$22</f>
        <v>0.92155428571428555</v>
      </c>
      <c r="L56" s="4">
        <f>'1kts'!L$22</f>
        <v>0.15152228571428572</v>
      </c>
    </row>
    <row r="57" spans="1:12" x14ac:dyDescent="0.25">
      <c r="A57">
        <f t="shared" si="8"/>
        <v>50</v>
      </c>
      <c r="B57">
        <f t="shared" si="0"/>
        <v>0.87266462599716477</v>
      </c>
      <c r="C57">
        <f t="shared" si="5"/>
        <v>0.70305263157894737</v>
      </c>
      <c r="D57">
        <f t="shared" si="6"/>
        <v>0.23947000000000004</v>
      </c>
      <c r="E57" s="4" t="s">
        <v>30</v>
      </c>
      <c r="F57">
        <f>C57*'Données géométriques'!$B$6/(2+('Données géométriques'!$B$6^2+4)^0.5)</f>
        <v>0.38970419560564579</v>
      </c>
      <c r="G57">
        <f>F57^2/(PI()*'Données géométriques'!$B$6)</f>
        <v>1.5103876960908216E-2</v>
      </c>
      <c r="H57">
        <f t="shared" si="7"/>
        <v>0.25457387696090827</v>
      </c>
      <c r="I57" s="4" t="s">
        <v>30</v>
      </c>
      <c r="J57" s="4">
        <f>'1kts'!J$22</f>
        <v>-0.41152228571428573</v>
      </c>
      <c r="K57" s="4">
        <f>'1kts'!K$22</f>
        <v>0.92155428571428555</v>
      </c>
      <c r="L57" s="4">
        <f>'1kts'!L$22</f>
        <v>0.15152228571428572</v>
      </c>
    </row>
    <row r="58" spans="1:12" x14ac:dyDescent="0.25">
      <c r="A58">
        <f t="shared" si="8"/>
        <v>52</v>
      </c>
      <c r="B58">
        <f t="shared" si="0"/>
        <v>0.90757121103705141</v>
      </c>
      <c r="C58">
        <f t="shared" si="5"/>
        <v>0.66790000000000005</v>
      </c>
      <c r="D58">
        <f t="shared" si="6"/>
        <v>0.25099000000000005</v>
      </c>
      <c r="E58" s="4" t="s">
        <v>30</v>
      </c>
      <c r="F58">
        <f>C58*'Données géométriques'!$B$6/(2+('Données géométriques'!$B$6^2+4)^0.5)</f>
        <v>0.3702189858253635</v>
      </c>
      <c r="G58">
        <f>F58^2/(PI()*'Données géométriques'!$B$6)</f>
        <v>1.3631248957219665E-2</v>
      </c>
      <c r="H58">
        <f t="shared" si="7"/>
        <v>0.26462124895721972</v>
      </c>
      <c r="I58" s="4" t="s">
        <v>30</v>
      </c>
      <c r="J58" s="4">
        <f>'1kts'!J$22</f>
        <v>-0.41152228571428573</v>
      </c>
      <c r="K58" s="4">
        <f>'1kts'!K$22</f>
        <v>0.92155428571428555</v>
      </c>
      <c r="L58" s="4">
        <f>'1kts'!L$22</f>
        <v>0.15152228571428572</v>
      </c>
    </row>
    <row r="59" spans="1:12" x14ac:dyDescent="0.25">
      <c r="A59">
        <f t="shared" si="8"/>
        <v>54</v>
      </c>
      <c r="B59">
        <f t="shared" si="0"/>
        <v>0.94247779607693793</v>
      </c>
      <c r="C59">
        <f t="shared" si="5"/>
        <v>0.63274736842105272</v>
      </c>
      <c r="D59">
        <f t="shared" si="6"/>
        <v>0.26251000000000002</v>
      </c>
      <c r="E59" s="4" t="s">
        <v>30</v>
      </c>
      <c r="F59">
        <f>C59*'Données géométriques'!$B$6/(2+('Données géométriques'!$B$6^2+4)^0.5)</f>
        <v>0.35073377604508121</v>
      </c>
      <c r="G59">
        <f>F59^2/(PI()*'Données géométriques'!$B$6)</f>
        <v>1.2234140338335656E-2</v>
      </c>
      <c r="H59">
        <f t="shared" si="7"/>
        <v>0.27474414033833566</v>
      </c>
      <c r="I59" s="4" t="s">
        <v>30</v>
      </c>
      <c r="J59" s="4">
        <f>'1kts'!J$22</f>
        <v>-0.41152228571428573</v>
      </c>
      <c r="K59" s="4">
        <f>'1kts'!K$22</f>
        <v>0.92155428571428555</v>
      </c>
      <c r="L59" s="4">
        <f>'1kts'!L$22</f>
        <v>0.15152228571428572</v>
      </c>
    </row>
    <row r="60" spans="1:12" x14ac:dyDescent="0.25">
      <c r="A60">
        <f t="shared" si="8"/>
        <v>56</v>
      </c>
      <c r="B60">
        <f t="shared" si="0"/>
        <v>0.97738438111682457</v>
      </c>
      <c r="C60">
        <f t="shared" si="5"/>
        <v>0.59759473684210529</v>
      </c>
      <c r="D60">
        <f t="shared" si="6"/>
        <v>0.27403000000000005</v>
      </c>
      <c r="E60" s="4" t="s">
        <v>30</v>
      </c>
      <c r="F60">
        <f>C60*'Données géométriques'!$B$6/(2+('Données géométriques'!$B$6^2+4)^0.5)</f>
        <v>0.33124856626479893</v>
      </c>
      <c r="G60">
        <f>F60^2/(PI()*'Données géométriques'!$B$6)</f>
        <v>1.0912551104256187E-2</v>
      </c>
      <c r="H60">
        <f t="shared" si="7"/>
        <v>0.28494255110425626</v>
      </c>
      <c r="I60" s="4" t="s">
        <v>30</v>
      </c>
      <c r="J60" s="4">
        <f>'1kts'!J$22</f>
        <v>-0.41152228571428573</v>
      </c>
      <c r="K60" s="4">
        <f>'1kts'!K$22</f>
        <v>0.92155428571428555</v>
      </c>
      <c r="L60" s="4">
        <f>'1kts'!L$22</f>
        <v>0.15152228571428572</v>
      </c>
    </row>
    <row r="61" spans="1:12" x14ac:dyDescent="0.25">
      <c r="A61">
        <f t="shared" si="8"/>
        <v>58</v>
      </c>
      <c r="B61">
        <f t="shared" si="0"/>
        <v>1.0122909661567112</v>
      </c>
      <c r="C61">
        <f t="shared" si="5"/>
        <v>0.56244210526315797</v>
      </c>
      <c r="D61">
        <f t="shared" si="6"/>
        <v>0.28555000000000008</v>
      </c>
      <c r="E61" s="4" t="s">
        <v>30</v>
      </c>
      <c r="F61">
        <f>C61*'Données géométriques'!$B$6/(2+('Données géométriques'!$B$6^2+4)^0.5)</f>
        <v>0.3117633564845167</v>
      </c>
      <c r="G61">
        <f>F61^2/(PI()*'Données géométriques'!$B$6)</f>
        <v>9.6664812549812629E-3</v>
      </c>
      <c r="H61">
        <f t="shared" si="7"/>
        <v>0.29521648125498134</v>
      </c>
      <c r="I61" s="4" t="s">
        <v>30</v>
      </c>
      <c r="J61" s="4">
        <f>'1kts'!J$22</f>
        <v>-0.41152228571428573</v>
      </c>
      <c r="K61" s="4">
        <f>'1kts'!K$22</f>
        <v>0.92155428571428555</v>
      </c>
      <c r="L61" s="4">
        <f>'1kts'!L$22</f>
        <v>0.15152228571428572</v>
      </c>
    </row>
    <row r="62" spans="1:12" x14ac:dyDescent="0.25">
      <c r="A62">
        <f t="shared" si="8"/>
        <v>60</v>
      </c>
      <c r="B62">
        <f t="shared" si="0"/>
        <v>1.0471975511965976</v>
      </c>
      <c r="C62">
        <f t="shared" si="5"/>
        <v>0.52728947368421064</v>
      </c>
      <c r="D62">
        <f t="shared" si="6"/>
        <v>0.29707000000000006</v>
      </c>
      <c r="E62" s="4" t="s">
        <v>30</v>
      </c>
      <c r="F62">
        <f>C62*'Données géométriques'!$B$6/(2+('Données géométriques'!$B$6^2+4)^0.5)</f>
        <v>0.29227814670423435</v>
      </c>
      <c r="G62">
        <f>F62^2/(PI()*'Données géométriques'!$B$6)</f>
        <v>8.4959307905108725E-3</v>
      </c>
      <c r="H62">
        <f t="shared" si="7"/>
        <v>0.30556593079051092</v>
      </c>
      <c r="I62" s="4" t="s">
        <v>30</v>
      </c>
      <c r="J62" s="4">
        <f>'1kts'!J$22</f>
        <v>-0.41152228571428573</v>
      </c>
      <c r="K62" s="4">
        <f>'1kts'!K$22</f>
        <v>0.92155428571428555</v>
      </c>
      <c r="L62" s="4">
        <f>'1kts'!L$22</f>
        <v>0.15152228571428572</v>
      </c>
    </row>
    <row r="63" spans="1:12" x14ac:dyDescent="0.25">
      <c r="A63">
        <f t="shared" si="8"/>
        <v>62</v>
      </c>
      <c r="B63">
        <f t="shared" si="0"/>
        <v>1.0821041362364843</v>
      </c>
      <c r="C63">
        <f t="shared" si="5"/>
        <v>0.49213684210526315</v>
      </c>
      <c r="D63">
        <f t="shared" si="6"/>
        <v>0.30859000000000003</v>
      </c>
      <c r="E63" s="4" t="s">
        <v>30</v>
      </c>
      <c r="F63">
        <f>C63*'Données géométriques'!$B$6/(2+('Données géométriques'!$B$6^2+4)^0.5)</f>
        <v>0.27279293692395207</v>
      </c>
      <c r="G63">
        <f>F63^2/(PI()*'Données géométriques'!$B$6)</f>
        <v>7.4008997108450268E-3</v>
      </c>
      <c r="H63">
        <f t="shared" si="7"/>
        <v>0.31599089971084504</v>
      </c>
      <c r="I63" s="4" t="s">
        <v>30</v>
      </c>
      <c r="J63" s="4">
        <f>'1kts'!J$22</f>
        <v>-0.41152228571428573</v>
      </c>
      <c r="K63" s="4">
        <f>'1kts'!K$22</f>
        <v>0.92155428571428555</v>
      </c>
      <c r="L63" s="4">
        <f>'1kts'!L$22</f>
        <v>0.15152228571428572</v>
      </c>
    </row>
    <row r="64" spans="1:12" x14ac:dyDescent="0.25">
      <c r="A64">
        <f t="shared" si="8"/>
        <v>64</v>
      </c>
      <c r="B64">
        <f t="shared" si="0"/>
        <v>1.1170107212763709</v>
      </c>
      <c r="C64">
        <f t="shared" si="5"/>
        <v>0.45698421052631583</v>
      </c>
      <c r="D64">
        <f t="shared" si="6"/>
        <v>0.32011000000000001</v>
      </c>
      <c r="E64" s="4" t="s">
        <v>30</v>
      </c>
      <c r="F64">
        <f>C64*'Données géométriques'!$B$6/(2+('Données géométriques'!$B$6^2+4)^0.5)</f>
        <v>0.25330772714366978</v>
      </c>
      <c r="G64">
        <f>F64^2/(PI()*'Données géométriques'!$B$6)</f>
        <v>6.381388015983723E-3</v>
      </c>
      <c r="H64">
        <f t="shared" si="7"/>
        <v>0.32649138801598371</v>
      </c>
      <c r="I64" s="4" t="s">
        <v>30</v>
      </c>
      <c r="J64" s="4">
        <f>'1kts'!J$22</f>
        <v>-0.41152228571428573</v>
      </c>
      <c r="K64" s="4">
        <f>'1kts'!K$22</f>
        <v>0.92155428571428555</v>
      </c>
      <c r="L64" s="4">
        <f>'1kts'!L$22</f>
        <v>0.15152228571428572</v>
      </c>
    </row>
    <row r="65" spans="1:12" x14ac:dyDescent="0.25">
      <c r="A65">
        <f t="shared" si="8"/>
        <v>66</v>
      </c>
      <c r="B65">
        <f t="shared" si="0"/>
        <v>1.1519173063162575</v>
      </c>
      <c r="C65">
        <f t="shared" si="5"/>
        <v>0.4218315789473685</v>
      </c>
      <c r="D65">
        <f t="shared" si="6"/>
        <v>0.33163000000000009</v>
      </c>
      <c r="E65" s="4" t="s">
        <v>30</v>
      </c>
      <c r="F65">
        <f>C65*'Données géométriques'!$B$6/(2+('Données géométriques'!$B$6^2+4)^0.5)</f>
        <v>0.23382251736338749</v>
      </c>
      <c r="G65">
        <f>F65^2/(PI()*'Données géométriques'!$B$6)</f>
        <v>5.4373957059269586E-3</v>
      </c>
      <c r="H65">
        <f t="shared" si="7"/>
        <v>0.33706739570592703</v>
      </c>
      <c r="I65" s="4" t="s">
        <v>30</v>
      </c>
      <c r="J65" s="4">
        <f>'1kts'!J$22</f>
        <v>-0.41152228571428573</v>
      </c>
      <c r="K65" s="4">
        <f>'1kts'!K$22</f>
        <v>0.92155428571428555</v>
      </c>
      <c r="L65" s="4">
        <f>'1kts'!L$22</f>
        <v>0.15152228571428572</v>
      </c>
    </row>
    <row r="66" spans="1:12" x14ac:dyDescent="0.25">
      <c r="A66">
        <f t="shared" si="8"/>
        <v>68</v>
      </c>
      <c r="B66">
        <f t="shared" si="0"/>
        <v>1.1868238913561442</v>
      </c>
      <c r="C66">
        <f t="shared" si="5"/>
        <v>0.38667894736842107</v>
      </c>
      <c r="D66">
        <f t="shared" si="6"/>
        <v>0.34315000000000007</v>
      </c>
      <c r="E66" s="4" t="s">
        <v>30</v>
      </c>
      <c r="F66">
        <f>C66*'Données géométriques'!$B$6/(2+('Données géométriques'!$B$6^2+4)^0.5)</f>
        <v>0.21433730758310521</v>
      </c>
      <c r="G66">
        <f>F66^2/(PI()*'Données géométriques'!$B$6)</f>
        <v>4.5689227806747362E-3</v>
      </c>
      <c r="H66">
        <f t="shared" si="7"/>
        <v>0.34771892278067479</v>
      </c>
      <c r="I66" s="4" t="s">
        <v>30</v>
      </c>
      <c r="J66" s="4">
        <f>'1kts'!J$22</f>
        <v>-0.41152228571428573</v>
      </c>
      <c r="K66" s="4">
        <f>'1kts'!K$22</f>
        <v>0.92155428571428555</v>
      </c>
      <c r="L66" s="4">
        <f>'1kts'!L$22</f>
        <v>0.15152228571428572</v>
      </c>
    </row>
    <row r="67" spans="1:12" x14ac:dyDescent="0.25">
      <c r="A67">
        <f t="shared" si="8"/>
        <v>70</v>
      </c>
      <c r="B67">
        <f t="shared" si="0"/>
        <v>1.2217304763960306</v>
      </c>
      <c r="C67">
        <f t="shared" si="5"/>
        <v>0.35152631578947369</v>
      </c>
      <c r="D67">
        <f t="shared" si="6"/>
        <v>0.35467000000000004</v>
      </c>
      <c r="E67" s="4" t="s">
        <v>30</v>
      </c>
      <c r="F67">
        <f>C67*'Données géométriques'!$B$6/(2+('Données géométriques'!$B$6^2+4)^0.5)</f>
        <v>0.19485209780282289</v>
      </c>
      <c r="G67">
        <f>F67^2/(PI()*'Données géométriques'!$B$6)</f>
        <v>3.7759692402270541E-3</v>
      </c>
      <c r="H67">
        <f t="shared" si="7"/>
        <v>0.35844596924022709</v>
      </c>
      <c r="I67" s="4" t="s">
        <v>30</v>
      </c>
      <c r="J67" s="4">
        <f>'1kts'!J$22</f>
        <v>-0.41152228571428573</v>
      </c>
      <c r="K67" s="4">
        <f>'1kts'!K$22</f>
        <v>0.92155428571428555</v>
      </c>
      <c r="L67" s="4">
        <f>'1kts'!L$22</f>
        <v>0.15152228571428572</v>
      </c>
    </row>
    <row r="68" spans="1:12" x14ac:dyDescent="0.25">
      <c r="A68">
        <f t="shared" si="8"/>
        <v>72</v>
      </c>
      <c r="B68">
        <f t="shared" si="0"/>
        <v>1.2566370614359172</v>
      </c>
      <c r="C68">
        <f t="shared" si="5"/>
        <v>0.31637368421052636</v>
      </c>
      <c r="D68">
        <f t="shared" si="6"/>
        <v>0.36619000000000002</v>
      </c>
      <c r="E68" s="4" t="s">
        <v>30</v>
      </c>
      <c r="F68">
        <f>C68*'Données géométriques'!$B$6/(2+('Données géométriques'!$B$6^2+4)^0.5)</f>
        <v>0.17536688802254061</v>
      </c>
      <c r="G68">
        <f>F68^2/(PI()*'Données géométriques'!$B$6)</f>
        <v>3.0585350845839139E-3</v>
      </c>
      <c r="H68">
        <f t="shared" si="7"/>
        <v>0.36924853508458394</v>
      </c>
      <c r="I68" s="4" t="s">
        <v>30</v>
      </c>
      <c r="J68" s="4">
        <f>'1kts'!J$22</f>
        <v>-0.41152228571428573</v>
      </c>
      <c r="K68" s="4">
        <f>'1kts'!K$22</f>
        <v>0.92155428571428555</v>
      </c>
      <c r="L68" s="4">
        <f>'1kts'!L$22</f>
        <v>0.15152228571428572</v>
      </c>
    </row>
    <row r="69" spans="1:12" x14ac:dyDescent="0.25">
      <c r="A69">
        <f t="shared" si="8"/>
        <v>74</v>
      </c>
      <c r="B69">
        <f t="shared" ref="B69:B77" si="9">RADIANS(A69)</f>
        <v>1.2915436464758039</v>
      </c>
      <c r="C69">
        <f t="shared" si="5"/>
        <v>0.28122105263157898</v>
      </c>
      <c r="D69">
        <f t="shared" si="6"/>
        <v>0.3777100000000001</v>
      </c>
      <c r="E69" s="4" t="s">
        <v>30</v>
      </c>
      <c r="F69">
        <f>C69*'Données géométriques'!$B$6/(2+('Données géométriques'!$B$6^2+4)^0.5)</f>
        <v>0.15588167824225835</v>
      </c>
      <c r="G69">
        <f>F69^2/(PI()*'Données géométriques'!$B$6)</f>
        <v>2.4166203137453157E-3</v>
      </c>
      <c r="H69">
        <f t="shared" si="7"/>
        <v>0.38012662031374544</v>
      </c>
      <c r="I69" s="4" t="s">
        <v>30</v>
      </c>
      <c r="J69" s="4">
        <f>'1kts'!J$22</f>
        <v>-0.41152228571428573</v>
      </c>
      <c r="K69" s="4">
        <f>'1kts'!K$22</f>
        <v>0.92155428571428555</v>
      </c>
      <c r="L69" s="4">
        <f>'1kts'!L$22</f>
        <v>0.15152228571428572</v>
      </c>
    </row>
    <row r="70" spans="1:12" x14ac:dyDescent="0.25">
      <c r="A70">
        <f t="shared" si="8"/>
        <v>76</v>
      </c>
      <c r="B70">
        <f t="shared" si="9"/>
        <v>1.3264502315156905</v>
      </c>
      <c r="C70">
        <f t="shared" si="5"/>
        <v>0.24606842105263158</v>
      </c>
      <c r="D70">
        <f t="shared" si="6"/>
        <v>0.38923000000000008</v>
      </c>
      <c r="E70" s="4" t="s">
        <v>30</v>
      </c>
      <c r="F70">
        <f>C70*'Données géométriques'!$B$6/(2+('Données géométriques'!$B$6^2+4)^0.5)</f>
        <v>0.13639646846197603</v>
      </c>
      <c r="G70">
        <f>F70^2/(PI()*'Données géométriques'!$B$6)</f>
        <v>1.8502249277112567E-3</v>
      </c>
      <c r="H70">
        <f t="shared" si="7"/>
        <v>0.39108022492771133</v>
      </c>
      <c r="I70" s="4" t="s">
        <v>30</v>
      </c>
      <c r="J70" s="4">
        <f>'1kts'!J$22</f>
        <v>-0.41152228571428573</v>
      </c>
      <c r="K70" s="4">
        <f>'1kts'!K$22</f>
        <v>0.92155428571428555</v>
      </c>
      <c r="L70" s="4">
        <f>'1kts'!L$22</f>
        <v>0.15152228571428572</v>
      </c>
    </row>
    <row r="71" spans="1:12" x14ac:dyDescent="0.25">
      <c r="A71">
        <f t="shared" si="8"/>
        <v>78</v>
      </c>
      <c r="B71">
        <f t="shared" si="9"/>
        <v>1.3613568165555769</v>
      </c>
      <c r="C71">
        <f t="shared" si="5"/>
        <v>0.21091578947368425</v>
      </c>
      <c r="D71">
        <f t="shared" si="6"/>
        <v>0.40075000000000005</v>
      </c>
      <c r="E71" s="4" t="s">
        <v>30</v>
      </c>
      <c r="F71">
        <f>C71*'Données géométriques'!$B$6/(2+('Données géométriques'!$B$6^2+4)^0.5)</f>
        <v>0.11691125868169375</v>
      </c>
      <c r="G71">
        <f>F71^2/(PI()*'Données géométriques'!$B$6)</f>
        <v>1.3593489264817397E-3</v>
      </c>
      <c r="H71">
        <f t="shared" si="7"/>
        <v>0.40210934892648181</v>
      </c>
      <c r="I71" s="4" t="s">
        <v>30</v>
      </c>
      <c r="J71" s="4">
        <f>'1kts'!J$22</f>
        <v>-0.41152228571428573</v>
      </c>
      <c r="K71" s="4">
        <f>'1kts'!K$22</f>
        <v>0.92155428571428555</v>
      </c>
      <c r="L71" s="4">
        <f>'1kts'!L$22</f>
        <v>0.15152228571428572</v>
      </c>
    </row>
    <row r="72" spans="1:12" x14ac:dyDescent="0.25">
      <c r="A72">
        <f t="shared" si="8"/>
        <v>80</v>
      </c>
      <c r="B72">
        <f t="shared" si="9"/>
        <v>1.3962634015954636</v>
      </c>
      <c r="C72">
        <f t="shared" si="5"/>
        <v>0.17576315789473684</v>
      </c>
      <c r="D72">
        <f t="shared" si="6"/>
        <v>0.41227000000000003</v>
      </c>
      <c r="E72" s="4" t="s">
        <v>30</v>
      </c>
      <c r="F72">
        <f>C72*'Données géométriques'!$B$6/(2+('Données géométriques'!$B$6^2+4)^0.5)</f>
        <v>9.7426048901411447E-2</v>
      </c>
      <c r="G72">
        <f>F72^2/(PI()*'Données géométriques'!$B$6)</f>
        <v>9.4399231005676352E-4</v>
      </c>
      <c r="H72">
        <f t="shared" si="7"/>
        <v>0.41321399231005679</v>
      </c>
      <c r="I72" s="4" t="s">
        <v>30</v>
      </c>
      <c r="J72" s="4">
        <f>'1kts'!J$22</f>
        <v>-0.41152228571428573</v>
      </c>
      <c r="K72" s="4">
        <f>'1kts'!K$22</f>
        <v>0.92155428571428555</v>
      </c>
      <c r="L72" s="4">
        <f>'1kts'!L$22</f>
        <v>0.15152228571428572</v>
      </c>
    </row>
    <row r="73" spans="1:12" x14ac:dyDescent="0.25">
      <c r="A73">
        <f t="shared" si="8"/>
        <v>82</v>
      </c>
      <c r="B73">
        <f t="shared" si="9"/>
        <v>1.4311699866353502</v>
      </c>
      <c r="C73">
        <f t="shared" si="5"/>
        <v>0.14061052631578949</v>
      </c>
      <c r="D73">
        <f t="shared" si="6"/>
        <v>0.42379000000000011</v>
      </c>
      <c r="E73" s="4" t="s">
        <v>30</v>
      </c>
      <c r="F73">
        <f>C73*'Données géométriques'!$B$6/(2+('Données géométriques'!$B$6^2+4)^0.5)</f>
        <v>7.7940839121129174E-2</v>
      </c>
      <c r="G73">
        <f>F73^2/(PI()*'Données géométriques'!$B$6)</f>
        <v>6.0415507843632893E-4</v>
      </c>
      <c r="H73">
        <f t="shared" si="7"/>
        <v>0.42439415507843642</v>
      </c>
      <c r="I73" s="4" t="s">
        <v>30</v>
      </c>
      <c r="J73" s="4">
        <f>'1kts'!J$22</f>
        <v>-0.41152228571428573</v>
      </c>
      <c r="K73" s="4">
        <f>'1kts'!K$22</f>
        <v>0.92155428571428555</v>
      </c>
      <c r="L73" s="4">
        <f>'1kts'!L$22</f>
        <v>0.15152228571428572</v>
      </c>
    </row>
    <row r="74" spans="1:12" x14ac:dyDescent="0.25">
      <c r="A74">
        <f t="shared" si="8"/>
        <v>84</v>
      </c>
      <c r="B74">
        <f t="shared" si="9"/>
        <v>1.4660765716752369</v>
      </c>
      <c r="C74">
        <f t="shared" si="5"/>
        <v>0.10545789473684213</v>
      </c>
      <c r="D74">
        <f t="shared" si="6"/>
        <v>0.43531000000000009</v>
      </c>
      <c r="E74" s="4" t="s">
        <v>30</v>
      </c>
      <c r="F74">
        <f>C74*'Données géométriques'!$B$6/(2+('Données géométriques'!$B$6^2+4)^0.5)</f>
        <v>5.8455629340846874E-2</v>
      </c>
      <c r="G74">
        <f>F74^2/(PI()*'Données géométriques'!$B$6)</f>
        <v>3.3983723162043491E-4</v>
      </c>
      <c r="H74">
        <f t="shared" si="7"/>
        <v>0.43564983723162054</v>
      </c>
      <c r="I74" s="4" t="s">
        <v>30</v>
      </c>
      <c r="J74" s="4">
        <f>'1kts'!J$22</f>
        <v>-0.41152228571428573</v>
      </c>
      <c r="K74" s="4">
        <f>'1kts'!K$22</f>
        <v>0.92155428571428555</v>
      </c>
      <c r="L74" s="4">
        <f>'1kts'!L$22</f>
        <v>0.15152228571428572</v>
      </c>
    </row>
    <row r="75" spans="1:12" x14ac:dyDescent="0.25">
      <c r="A75">
        <f t="shared" si="8"/>
        <v>86</v>
      </c>
      <c r="B75">
        <f t="shared" si="9"/>
        <v>1.5009831567151235</v>
      </c>
      <c r="C75">
        <f t="shared" si="5"/>
        <v>7.0305263157894746E-2</v>
      </c>
      <c r="D75">
        <f t="shared" si="6"/>
        <v>0.44683000000000006</v>
      </c>
      <c r="E75" s="4" t="s">
        <v>30</v>
      </c>
      <c r="F75">
        <f>C75*'Données géométriques'!$B$6/(2+('Données géométriques'!$B$6^2+4)^0.5)</f>
        <v>3.8970419560564587E-2</v>
      </c>
      <c r="G75">
        <f>F75^2/(PI()*'Données géométriques'!$B$6)</f>
        <v>1.5103876960908223E-4</v>
      </c>
      <c r="H75">
        <f t="shared" si="7"/>
        <v>0.44698103876960915</v>
      </c>
      <c r="I75" s="4" t="s">
        <v>30</v>
      </c>
      <c r="J75" s="4">
        <f>'1kts'!J$22</f>
        <v>-0.41152228571428573</v>
      </c>
      <c r="K75" s="4">
        <f>'1kts'!K$22</f>
        <v>0.92155428571428555</v>
      </c>
      <c r="L75" s="4">
        <f>'1kts'!L$22</f>
        <v>0.15152228571428572</v>
      </c>
    </row>
    <row r="76" spans="1:12" x14ac:dyDescent="0.25">
      <c r="A76">
        <f t="shared" si="8"/>
        <v>88</v>
      </c>
      <c r="B76">
        <f t="shared" si="9"/>
        <v>1.5358897417550099</v>
      </c>
      <c r="C76">
        <f t="shared" si="5"/>
        <v>3.5152631578947373E-2</v>
      </c>
      <c r="D76">
        <f t="shared" si="6"/>
        <v>0.45835000000000004</v>
      </c>
      <c r="E76" s="4" t="s">
        <v>30</v>
      </c>
      <c r="F76">
        <f>C76*'Données géométriques'!$B$6/(2+('Données géométriques'!$B$6^2+4)^0.5)</f>
        <v>1.9485209780282294E-2</v>
      </c>
      <c r="G76">
        <f>F76^2/(PI()*'Données géométriques'!$B$6)</f>
        <v>3.7759692402270558E-5</v>
      </c>
      <c r="H76">
        <f t="shared" si="7"/>
        <v>0.45838775969240231</v>
      </c>
      <c r="I76" s="4" t="s">
        <v>30</v>
      </c>
      <c r="J76" s="4">
        <f>'1kts'!J$22</f>
        <v>-0.41152228571428573</v>
      </c>
      <c r="K76" s="4">
        <f>'1kts'!K$22</f>
        <v>0.92155428571428555</v>
      </c>
      <c r="L76" s="4">
        <f>'1kts'!L$22</f>
        <v>0.15152228571428572</v>
      </c>
    </row>
    <row r="77" spans="1:12" x14ac:dyDescent="0.25">
      <c r="A77">
        <f t="shared" si="8"/>
        <v>90</v>
      </c>
      <c r="B77">
        <f t="shared" si="9"/>
        <v>1.5707963267948966</v>
      </c>
      <c r="C77">
        <f t="shared" si="5"/>
        <v>0</v>
      </c>
      <c r="D77">
        <f t="shared" si="6"/>
        <v>0.46987000000000012</v>
      </c>
      <c r="E77" s="4" t="s">
        <v>30</v>
      </c>
      <c r="F77">
        <f>C77*'Données géométriques'!$B$6/(2+('Données géométriques'!$B$6^2+4)^0.5)</f>
        <v>0</v>
      </c>
      <c r="G77">
        <f>F77^2/(PI()*'Données géométriques'!$B$6)</f>
        <v>0</v>
      </c>
      <c r="H77">
        <f t="shared" si="7"/>
        <v>0.46987000000000012</v>
      </c>
      <c r="I77" s="4" t="s">
        <v>30</v>
      </c>
      <c r="J77" s="4">
        <f>'1kts'!J$22</f>
        <v>-0.41152228571428573</v>
      </c>
      <c r="K77" s="4">
        <f>'1kts'!K$22</f>
        <v>0.92155428571428555</v>
      </c>
      <c r="L77" s="4">
        <f>'1kts'!L$22</f>
        <v>0.15152228571428572</v>
      </c>
    </row>
    <row r="79" spans="1:12" x14ac:dyDescent="0.25">
      <c r="J79" s="4"/>
      <c r="K79" s="4"/>
      <c r="L79" s="4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A475C-40A0-4CDE-874E-055F6BD18ABF}">
  <sheetPr codeName="Feuil6"/>
  <dimension ref="A1:O79"/>
  <sheetViews>
    <sheetView topLeftCell="A4" workbookViewId="0">
      <selection activeCell="M39" sqref="M39"/>
    </sheetView>
  </sheetViews>
  <sheetFormatPr baseColWidth="10" defaultRowHeight="15" x14ac:dyDescent="0.25"/>
  <sheetData>
    <row r="1" spans="1:15" x14ac:dyDescent="0.25">
      <c r="A1">
        <v>30</v>
      </c>
      <c r="C1">
        <f>ROUND(((A1*0.514)/15.6)*1000000,0)</f>
        <v>988462</v>
      </c>
      <c r="N1" t="s">
        <v>28</v>
      </c>
      <c r="O1" t="s">
        <v>29</v>
      </c>
    </row>
    <row r="2" spans="1:1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22</v>
      </c>
      <c r="J2" t="s">
        <v>23</v>
      </c>
      <c r="K2" t="s">
        <v>25</v>
      </c>
      <c r="L2" t="s">
        <v>24</v>
      </c>
      <c r="N2">
        <f>INDEX(A4:A43,MATCH(MAX(F4:F43),F4:F43,0))</f>
        <v>14.5</v>
      </c>
      <c r="O2">
        <f>(D33-D32)/(A33-A32)</f>
        <v>6.1399999999999996E-3</v>
      </c>
    </row>
    <row r="3" spans="1:15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5" x14ac:dyDescent="0.25">
      <c r="A4">
        <v>0</v>
      </c>
      <c r="B4">
        <f>RADIANS(A4)</f>
        <v>0</v>
      </c>
      <c r="C4">
        <v>0</v>
      </c>
      <c r="D4">
        <v>6.1399999999999996E-3</v>
      </c>
      <c r="E4">
        <v>0</v>
      </c>
      <c r="F4">
        <f>C4*'Données géométriques'!$B$6/(2+('Données géométriques'!$B$6^2+4)^0.5)</f>
        <v>0</v>
      </c>
      <c r="G4">
        <f>F4^2/(PI()*'Données géométriques'!$B$6)</f>
        <v>0</v>
      </c>
      <c r="H4">
        <f>G4+D4</f>
        <v>6.1399999999999996E-3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</row>
    <row r="5" spans="1:15" x14ac:dyDescent="0.25">
      <c r="A5">
        <v>0.5</v>
      </c>
      <c r="B5">
        <f t="shared" ref="B5:B68" si="0">RADIANS(A5)</f>
        <v>8.7266462599716477E-3</v>
      </c>
      <c r="C5">
        <v>5.4100000000000002E-2</v>
      </c>
      <c r="D5">
        <v>6.1700000000000001E-3</v>
      </c>
      <c r="E5">
        <v>2.9999999999999997E-4</v>
      </c>
      <c r="F5">
        <f>C5*'Données géométriques'!$B$6/(2+('Données géométriques'!$B$6^2+4)^0.5)</f>
        <v>2.9987793282156259E-2</v>
      </c>
      <c r="G5">
        <f>F5^2/(PI()*'Données géométriques'!$B$6)</f>
        <v>8.9434955036312238E-5</v>
      </c>
      <c r="H5">
        <f t="shared" ref="H5:H41" si="1">G5+D5</f>
        <v>6.2594349550363125E-3</v>
      </c>
      <c r="I5">
        <f>0.25-E5/(C5*COS(B5)+D5*SIN(B5))</f>
        <v>0.24446001618599256</v>
      </c>
      <c r="J5">
        <f>XCP_3D('Données géométriques'!$B$9,'Données géométriques'!$B$10,'Données géométriques'!$B$12,'Données géométriques'!$B$11,I5)</f>
        <v>-0.22337642777672428</v>
      </c>
      <c r="K5">
        <f>'5kts'!K5</f>
        <v>1.1514536950961625</v>
      </c>
      <c r="L5">
        <f t="shared" ref="L5:L33" si="2" xml:space="preserve"> -(J5+0.26)</f>
        <v>-3.6623572223275724E-2</v>
      </c>
    </row>
    <row r="6" spans="1:15" x14ac:dyDescent="0.25">
      <c r="A6">
        <v>1</v>
      </c>
      <c r="B6">
        <f t="shared" si="0"/>
        <v>1.7453292519943295E-2</v>
      </c>
      <c r="C6">
        <v>0.108</v>
      </c>
      <c r="D6">
        <v>6.2700000000000004E-3</v>
      </c>
      <c r="E6">
        <v>5.9999999999999995E-4</v>
      </c>
      <c r="F6">
        <f>C6*'Données géométriques'!$B$6/(2+('Données géométriques'!$B$6^2+4)^0.5)</f>
        <v>5.9864725960681618E-2</v>
      </c>
      <c r="G6">
        <f>F6^2/(PI()*'Données géométriques'!$B$6)</f>
        <v>3.5641852923269554E-4</v>
      </c>
      <c r="H6">
        <f t="shared" si="1"/>
        <v>6.6264185292326961E-3</v>
      </c>
      <c r="I6">
        <f t="shared" ref="I6:I33" si="3">0.25-E6/(C6*COS(B6)+D6*SIN(B6))</f>
        <v>0.24444922313216211</v>
      </c>
      <c r="J6">
        <f>XCP_3D('Données géométriques'!$B$9,'Données géométriques'!$B$10,'Données géométriques'!$B$12,'Données géométriques'!$B$11,I6)</f>
        <v>-0.22336848084630423</v>
      </c>
      <c r="K6">
        <f>'5kts'!K6</f>
        <v>1.1514536950961625</v>
      </c>
      <c r="L6">
        <f t="shared" si="2"/>
        <v>-3.663151915369578E-2</v>
      </c>
    </row>
    <row r="7" spans="1:15" x14ac:dyDescent="0.25">
      <c r="A7">
        <v>1.5</v>
      </c>
      <c r="B7">
        <f t="shared" si="0"/>
        <v>2.6179938779914945E-2</v>
      </c>
      <c r="C7">
        <v>0.16139999999999999</v>
      </c>
      <c r="D7">
        <v>6.43E-3</v>
      </c>
      <c r="E7">
        <v>1.1000000000000001E-3</v>
      </c>
      <c r="F7">
        <f>C7*'Données géométriques'!$B$6/(2+('Données géométriques'!$B$6^2+4)^0.5)</f>
        <v>8.9464507130129753E-2</v>
      </c>
      <c r="G7">
        <f>F7^2/(PI()*'Données géométriques'!$B$6)</f>
        <v>7.9601238252490988E-4</v>
      </c>
      <c r="H7">
        <f t="shared" si="1"/>
        <v>7.2260123825249097E-3</v>
      </c>
      <c r="I7">
        <f t="shared" si="3"/>
        <v>0.24318940313350171</v>
      </c>
      <c r="J7">
        <f>XCP_3D('Données géométriques'!$B$9,'Données géométriques'!$B$10,'Données géométriques'!$B$12,'Données géométriques'!$B$11,I7)</f>
        <v>-0.22244087481116262</v>
      </c>
      <c r="K7">
        <f>'5kts'!K7</f>
        <v>1.1514536950961625</v>
      </c>
      <c r="L7">
        <f t="shared" si="2"/>
        <v>-3.7559125188837389E-2</v>
      </c>
    </row>
    <row r="8" spans="1:15" x14ac:dyDescent="0.25">
      <c r="A8">
        <v>2</v>
      </c>
      <c r="B8">
        <f t="shared" si="0"/>
        <v>3.4906585039886591E-2</v>
      </c>
      <c r="C8">
        <v>0.21429999999999999</v>
      </c>
      <c r="D8">
        <v>6.6600000000000001E-3</v>
      </c>
      <c r="E8">
        <v>1.6999999999999999E-3</v>
      </c>
      <c r="F8">
        <f>C8*'Données géométriques'!$B$6/(2+('Données géométriques'!$B$6^2+4)^0.5)</f>
        <v>0.11878713679050065</v>
      </c>
      <c r="G8">
        <f>F8^2/(PI()*'Données géométriques'!$B$6)</f>
        <v>1.4033212604219506E-3</v>
      </c>
      <c r="H8">
        <f t="shared" si="1"/>
        <v>8.0633212604219514E-3</v>
      </c>
      <c r="I8">
        <f t="shared" si="3"/>
        <v>0.24207096522978092</v>
      </c>
      <c r="J8">
        <f>XCP_3D('Données géométriques'!$B$9,'Données géométriques'!$B$10,'Données géométriques'!$B$12,'Données géométriques'!$B$11,I8)</f>
        <v>-0.22161736847650498</v>
      </c>
      <c r="K8">
        <f>'5kts'!K8</f>
        <v>1.1514536950961625</v>
      </c>
      <c r="L8">
        <f t="shared" si="2"/>
        <v>-3.8382631523495025E-2</v>
      </c>
    </row>
    <row r="9" spans="1:15" x14ac:dyDescent="0.25">
      <c r="A9">
        <v>2.5</v>
      </c>
      <c r="B9">
        <f t="shared" si="0"/>
        <v>4.3633231299858237E-2</v>
      </c>
      <c r="C9">
        <v>0.2666</v>
      </c>
      <c r="D9">
        <v>6.9499999999999996E-3</v>
      </c>
      <c r="E9">
        <v>2.5000000000000001E-3</v>
      </c>
      <c r="F9">
        <f>C9*'Données géométriques'!$B$6/(2+('Données géométriques'!$B$6^2+4)^0.5)</f>
        <v>0.14777718463997888</v>
      </c>
      <c r="G9">
        <f>F9^2/(PI()*'Données géométriques'!$B$6)</f>
        <v>2.1718661316521095E-3</v>
      </c>
      <c r="H9">
        <f t="shared" si="1"/>
        <v>9.1218661316521087E-3</v>
      </c>
      <c r="I9">
        <f t="shared" si="3"/>
        <v>0.24062439330270619</v>
      </c>
      <c r="J9">
        <f>XCP_3D('Données géométriques'!$B$9,'Données géométriques'!$B$10,'Données géométriques'!$B$12,'Données géométriques'!$B$11,I9)</f>
        <v>-0.22055225691195601</v>
      </c>
      <c r="K9">
        <f>'5kts'!K9</f>
        <v>1.1514536950961625</v>
      </c>
      <c r="L9">
        <f t="shared" si="2"/>
        <v>-3.9447743088043996E-2</v>
      </c>
    </row>
    <row r="10" spans="1:15" x14ac:dyDescent="0.25">
      <c r="A10">
        <v>3</v>
      </c>
      <c r="B10">
        <f t="shared" si="0"/>
        <v>5.235987755982989E-2</v>
      </c>
      <c r="C10">
        <v>0.31840000000000002</v>
      </c>
      <c r="D10">
        <v>7.3000000000000001E-3</v>
      </c>
      <c r="E10">
        <v>3.3999999999999998E-3</v>
      </c>
      <c r="F10">
        <f>C10*'Données géométriques'!$B$6/(2+('Données géométriques'!$B$6^2+4)^0.5)</f>
        <v>0.17649008098037994</v>
      </c>
      <c r="G10">
        <f>F10^2/(PI()*'Données géométriques'!$B$6)</f>
        <v>3.0978392704842767E-3</v>
      </c>
      <c r="H10">
        <f t="shared" si="1"/>
        <v>1.0397839270484276E-2</v>
      </c>
      <c r="I10">
        <f t="shared" si="3"/>
        <v>0.23931978651189287</v>
      </c>
      <c r="J10">
        <f>XCP_3D('Données géométriques'!$B$9,'Données géométriques'!$B$10,'Données géométriques'!$B$12,'Données géométriques'!$B$11,I10)</f>
        <v>-0.21959167434148272</v>
      </c>
      <c r="K10">
        <f>'5kts'!K10</f>
        <v>1.1514536950961625</v>
      </c>
      <c r="L10">
        <f t="shared" si="2"/>
        <v>-4.0408325658517291E-2</v>
      </c>
    </row>
    <row r="11" spans="1:15" x14ac:dyDescent="0.25">
      <c r="A11">
        <v>3.5</v>
      </c>
      <c r="B11">
        <f t="shared" si="0"/>
        <v>6.1086523819801536E-2</v>
      </c>
      <c r="C11">
        <v>0.37130000000000002</v>
      </c>
      <c r="D11">
        <v>7.6899999999999998E-3</v>
      </c>
      <c r="E11">
        <v>4.1000000000000003E-3</v>
      </c>
      <c r="F11">
        <f>C11*'Données géométriques'!$B$6/(2+('Données géométriques'!$B$6^2+4)^0.5)</f>
        <v>0.2058127106407508</v>
      </c>
      <c r="G11">
        <f>F11^2/(PI()*'Données géométriques'!$B$6)</f>
        <v>4.2127206468100383E-3</v>
      </c>
      <c r="H11">
        <f t="shared" si="1"/>
        <v>1.1902720646810038E-2</v>
      </c>
      <c r="I11">
        <f t="shared" si="3"/>
        <v>0.23895107767105642</v>
      </c>
      <c r="J11">
        <f>XCP_3D('Données géométriques'!$B$9,'Données géométriques'!$B$10,'Données géométriques'!$B$12,'Données géométriques'!$B$11,I11)</f>
        <v>-0.21932019385511817</v>
      </c>
      <c r="K11">
        <f>'5kts'!K11</f>
        <v>1.1514536950961625</v>
      </c>
      <c r="L11">
        <f t="shared" si="2"/>
        <v>-4.0679806144881842E-2</v>
      </c>
    </row>
    <row r="12" spans="1:15" x14ac:dyDescent="0.25">
      <c r="A12">
        <v>4</v>
      </c>
      <c r="B12">
        <f t="shared" si="0"/>
        <v>6.9813170079773182E-2</v>
      </c>
      <c r="C12">
        <v>0.42909999999999998</v>
      </c>
      <c r="D12">
        <v>8.1300000000000001E-3</v>
      </c>
      <c r="E12">
        <v>3.7000000000000002E-3</v>
      </c>
      <c r="F12">
        <f>C12*'Données géométriques'!$B$6/(2+('Données géométriques'!$B$6^2+4)^0.5)</f>
        <v>0.23785142509007856</v>
      </c>
      <c r="G12">
        <f>F12^2/(PI()*'Données géométriques'!$B$6)</f>
        <v>5.6263894729516456E-3</v>
      </c>
      <c r="H12">
        <f t="shared" si="1"/>
        <v>1.3756389472951646E-2</v>
      </c>
      <c r="I12">
        <f t="shared" si="3"/>
        <v>0.24136768234138203</v>
      </c>
      <c r="J12">
        <f>XCP_3D('Données géométriques'!$B$9,'Données géométriques'!$B$10,'Données géométriques'!$B$12,'Données géométriques'!$B$11,I12)</f>
        <v>-0.22109954096750731</v>
      </c>
      <c r="K12">
        <f>'5kts'!K12</f>
        <v>1.1514536950961625</v>
      </c>
      <c r="L12">
        <f t="shared" si="2"/>
        <v>-3.8900459032492701E-2</v>
      </c>
    </row>
    <row r="13" spans="1:15" x14ac:dyDescent="0.25">
      <c r="A13">
        <v>4.5</v>
      </c>
      <c r="B13">
        <f t="shared" si="0"/>
        <v>7.8539816339744828E-2</v>
      </c>
      <c r="C13">
        <v>0.49049999999999999</v>
      </c>
      <c r="D13">
        <v>8.5699999999999995E-3</v>
      </c>
      <c r="E13">
        <v>2.3999999999999998E-3</v>
      </c>
      <c r="F13">
        <f>C13*'Données géométriques'!$B$6/(2+('Données géométriques'!$B$6^2+4)^0.5)</f>
        <v>0.27188563040476238</v>
      </c>
      <c r="G13">
        <f>F13^2/(PI()*'Données géométriques'!$B$6)</f>
        <v>7.3517509475931539E-3</v>
      </c>
      <c r="H13">
        <f t="shared" si="1"/>
        <v>1.5921750947593155E-2</v>
      </c>
      <c r="I13">
        <f t="shared" si="3"/>
        <v>0.24509864334239689</v>
      </c>
      <c r="J13">
        <f>XCP_3D('Données géométriques'!$B$9,'Données géométriques'!$B$10,'Données géométriques'!$B$12,'Données géométriques'!$B$11,I13)</f>
        <v>-0.22384664924099362</v>
      </c>
      <c r="K13">
        <f>'5kts'!K13</f>
        <v>1.1514536950961625</v>
      </c>
      <c r="L13">
        <f t="shared" si="2"/>
        <v>-3.6153350759006386E-2</v>
      </c>
    </row>
    <row r="14" spans="1:15" x14ac:dyDescent="0.25">
      <c r="A14">
        <v>5</v>
      </c>
      <c r="B14">
        <f t="shared" si="0"/>
        <v>8.7266462599716474E-2</v>
      </c>
      <c r="C14">
        <v>0.5534</v>
      </c>
      <c r="D14">
        <v>9.0399999999999994E-3</v>
      </c>
      <c r="E14">
        <v>6.9999999999999999E-4</v>
      </c>
      <c r="F14">
        <f>C14*'Données géométriques'!$B$6/(2+('Données géométriques'!$B$6^2+4)^0.5)</f>
        <v>0.30675129024667785</v>
      </c>
      <c r="G14">
        <f>F14^2/(PI()*'Données géométriques'!$B$6)</f>
        <v>9.3581730615928168E-3</v>
      </c>
      <c r="H14">
        <f t="shared" si="1"/>
        <v>1.8398173061592818E-2</v>
      </c>
      <c r="I14">
        <f t="shared" si="3"/>
        <v>0.24873207248724763</v>
      </c>
      <c r="J14">
        <f>XCP_3D('Données géométriques'!$B$9,'Données géométriques'!$B$10,'Données géométriques'!$B$12,'Données géométriques'!$B$11,I14)</f>
        <v>-0.22652194476464893</v>
      </c>
      <c r="K14">
        <f>'5kts'!K14</f>
        <v>1.1514536950961625</v>
      </c>
      <c r="L14">
        <f t="shared" si="2"/>
        <v>-3.3478055235351079E-2</v>
      </c>
    </row>
    <row r="15" spans="1:15" x14ac:dyDescent="0.25">
      <c r="A15">
        <v>5.5</v>
      </c>
      <c r="B15">
        <f t="shared" si="0"/>
        <v>9.599310885968812E-2</v>
      </c>
      <c r="C15">
        <v>0.61680000000000001</v>
      </c>
      <c r="D15">
        <v>9.5200000000000007E-3</v>
      </c>
      <c r="E15">
        <v>-1.1999999999999999E-3</v>
      </c>
      <c r="F15">
        <f>C15*'Données géométriques'!$B$6/(2+('Données géométriques'!$B$6^2+4)^0.5)</f>
        <v>0.34189410159767059</v>
      </c>
      <c r="G15">
        <f>F15^2/(PI()*'Données géométriques'!$B$6)</f>
        <v>1.162522836409398E-2</v>
      </c>
      <c r="H15">
        <f t="shared" si="1"/>
        <v>2.1145228364093979E-2</v>
      </c>
      <c r="I15">
        <f t="shared" si="3"/>
        <v>0.25195162308018626</v>
      </c>
      <c r="J15">
        <f>XCP_3D('Données géométriques'!$B$9,'Données géométriques'!$B$10,'Données géométriques'!$B$12,'Données géométriques'!$B$11,I15)</f>
        <v>-0.22889250132323202</v>
      </c>
      <c r="K15">
        <f>'5kts'!K15</f>
        <v>1.1514536950961625</v>
      </c>
      <c r="L15">
        <f t="shared" si="2"/>
        <v>-3.1107498676767986E-2</v>
      </c>
    </row>
    <row r="16" spans="1:15" x14ac:dyDescent="0.25">
      <c r="A16">
        <v>6</v>
      </c>
      <c r="B16">
        <f t="shared" si="0"/>
        <v>0.10471975511965978</v>
      </c>
      <c r="C16">
        <v>0.67869999999999997</v>
      </c>
      <c r="D16">
        <v>1.0030000000000001E-2</v>
      </c>
      <c r="E16">
        <v>-2.7000000000000001E-3</v>
      </c>
      <c r="F16">
        <f>C16*'Données géométriques'!$B$6/(2+('Données géométriques'!$B$6^2+4)^0.5)</f>
        <v>0.3762054584214316</v>
      </c>
      <c r="G16">
        <f>F16^2/(PI()*'Données géométriques'!$B$6)</f>
        <v>1.407565006042776E-2</v>
      </c>
      <c r="H16">
        <f t="shared" si="1"/>
        <v>2.4105650060427759E-2</v>
      </c>
      <c r="I16">
        <f t="shared" si="3"/>
        <v>0.25399390305036007</v>
      </c>
      <c r="J16">
        <f>XCP_3D('Données géométriques'!$B$9,'Données géométriques'!$B$10,'Données géométriques'!$B$12,'Données géométriques'!$B$11,I16)</f>
        <v>-0.23039623298949949</v>
      </c>
      <c r="K16">
        <f>'5kts'!K16</f>
        <v>1.1514536950961625</v>
      </c>
      <c r="L16">
        <f t="shared" si="2"/>
        <v>-2.960376701050052E-2</v>
      </c>
    </row>
    <row r="17" spans="1:12" x14ac:dyDescent="0.25">
      <c r="A17">
        <v>6.5</v>
      </c>
      <c r="B17">
        <f t="shared" si="0"/>
        <v>0.11344640137963143</v>
      </c>
      <c r="C17">
        <v>0.72750000000000004</v>
      </c>
      <c r="D17">
        <v>1.055E-2</v>
      </c>
      <c r="E17">
        <v>-1.4E-3</v>
      </c>
      <c r="F17">
        <f>C17*'Données géométriques'!$B$6/(2+('Données géométriques'!$B$6^2+4)^0.5)</f>
        <v>0.40325544570736932</v>
      </c>
      <c r="G17">
        <f>F17^2/(PI()*'Données géométriques'!$B$6)</f>
        <v>1.617255951750788E-2</v>
      </c>
      <c r="H17">
        <f t="shared" si="1"/>
        <v>2.672255951750788E-2</v>
      </c>
      <c r="I17">
        <f t="shared" si="3"/>
        <v>0.25193365406684015</v>
      </c>
      <c r="J17">
        <f>XCP_3D('Données géométriques'!$B$9,'Données géométriques'!$B$10,'Données géométriques'!$B$12,'Données géométriques'!$B$11,I17)</f>
        <v>-0.22887927073057193</v>
      </c>
      <c r="K17">
        <f>'5kts'!K17</f>
        <v>1.1514536950961625</v>
      </c>
      <c r="L17">
        <f t="shared" si="2"/>
        <v>-3.1120729269428077E-2</v>
      </c>
    </row>
    <row r="18" spans="1:12" x14ac:dyDescent="0.25">
      <c r="A18">
        <v>7</v>
      </c>
      <c r="B18">
        <f t="shared" si="0"/>
        <v>0.12217304763960307</v>
      </c>
      <c r="C18">
        <v>0.77659999999999996</v>
      </c>
      <c r="D18">
        <v>1.11E-2</v>
      </c>
      <c r="E18">
        <v>-2.0000000000000001E-4</v>
      </c>
      <c r="F18">
        <f>C18*'Données géométriques'!$B$6/(2+('Données géométriques'!$B$6^2+4)^0.5)</f>
        <v>0.43047172389875321</v>
      </c>
      <c r="G18">
        <f>F18^2/(PI()*'Données géométriques'!$B$6)</f>
        <v>1.8429244642002716E-2</v>
      </c>
      <c r="H18">
        <f t="shared" si="1"/>
        <v>2.9529244642002718E-2</v>
      </c>
      <c r="I18">
        <f t="shared" si="3"/>
        <v>0.25025901230361697</v>
      </c>
      <c r="J18">
        <f>XCP_3D('Données géométriques'!$B$9,'Données géométriques'!$B$10,'Données géométriques'!$B$12,'Données géométriques'!$B$11,I18)</f>
        <v>-0.22764623124245661</v>
      </c>
      <c r="K18">
        <f>'5kts'!K18</f>
        <v>1.1514536950961625</v>
      </c>
      <c r="L18">
        <f t="shared" si="2"/>
        <v>-3.2353768757543394E-2</v>
      </c>
    </row>
    <row r="19" spans="1:12" x14ac:dyDescent="0.25">
      <c r="A19">
        <v>7.5</v>
      </c>
      <c r="B19">
        <f t="shared" si="0"/>
        <v>0.1308996938995747</v>
      </c>
      <c r="C19">
        <v>0.82609999999999995</v>
      </c>
      <c r="D19">
        <v>1.1730000000000001E-2</v>
      </c>
      <c r="E19">
        <v>8.9999999999999998E-4</v>
      </c>
      <c r="F19">
        <f>C19*'Données géométriques'!$B$6/(2+('Données géométriques'!$B$6^2+4)^0.5)</f>
        <v>0.45790972329739893</v>
      </c>
      <c r="G19">
        <f>F19^2/(PI()*'Données géométriques'!$B$6)</f>
        <v>2.0853454420094404E-2</v>
      </c>
      <c r="H19">
        <f t="shared" si="1"/>
        <v>3.2583454420094402E-2</v>
      </c>
      <c r="I19">
        <f t="shared" si="3"/>
        <v>0.24890319297517782</v>
      </c>
      <c r="J19">
        <f>XCP_3D('Données géométriques'!$B$9,'Données géométriques'!$B$10,'Données géométriques'!$B$12,'Données géométriques'!$B$11,I19)</f>
        <v>-0.22664794085735263</v>
      </c>
      <c r="K19">
        <f>'5kts'!K19</f>
        <v>1.1514536950961625</v>
      </c>
      <c r="L19">
        <f t="shared" si="2"/>
        <v>-3.3352059142647383E-2</v>
      </c>
    </row>
    <row r="20" spans="1:12" x14ac:dyDescent="0.25">
      <c r="A20">
        <v>8</v>
      </c>
      <c r="B20">
        <f t="shared" si="0"/>
        <v>0.13962634015954636</v>
      </c>
      <c r="C20">
        <v>0.876</v>
      </c>
      <c r="D20">
        <v>1.239E-2</v>
      </c>
      <c r="E20">
        <v>1.8E-3</v>
      </c>
      <c r="F20">
        <f>C20*'Données géométriques'!$B$6/(2+('Données géométriques'!$B$6^2+4)^0.5)</f>
        <v>0.48556944390330647</v>
      </c>
      <c r="G20">
        <f>F20^2/(PI()*'Données géométriques'!$B$6)</f>
        <v>2.3448819040506601E-2</v>
      </c>
      <c r="H20">
        <f t="shared" si="1"/>
        <v>3.5838819040506599E-2</v>
      </c>
      <c r="I20">
        <f t="shared" si="3"/>
        <v>0.24792912828804703</v>
      </c>
      <c r="J20">
        <f>XCP_3D('Données géométriques'!$B$9,'Données géométriques'!$B$10,'Données géométriques'!$B$12,'Données géométriques'!$B$11,I20)</f>
        <v>-0.22593073658740609</v>
      </c>
      <c r="K20">
        <f>'5kts'!K20</f>
        <v>1.1514536950961625</v>
      </c>
      <c r="L20">
        <f t="shared" si="2"/>
        <v>-3.406926341259392E-2</v>
      </c>
    </row>
    <row r="21" spans="1:12" x14ac:dyDescent="0.25">
      <c r="A21">
        <v>8.5</v>
      </c>
      <c r="B21">
        <f t="shared" si="0"/>
        <v>0.14835298641951802</v>
      </c>
      <c r="C21">
        <v>0.92520000000000002</v>
      </c>
      <c r="D21">
        <v>1.3220000000000001E-2</v>
      </c>
      <c r="E21">
        <v>2.8E-3</v>
      </c>
      <c r="F21">
        <f>C21*'Données géométriques'!$B$6/(2+('Données géométriques'!$B$6^2+4)^0.5)</f>
        <v>0.51284115239650596</v>
      </c>
      <c r="G21">
        <f>F21^2/(PI()*'Données géométriques'!$B$6)</f>
        <v>2.6156763819211462E-2</v>
      </c>
      <c r="H21">
        <f t="shared" si="1"/>
        <v>3.9376763819211465E-2</v>
      </c>
      <c r="I21">
        <f t="shared" si="3"/>
        <v>0.24694653663912061</v>
      </c>
      <c r="J21">
        <f>XCP_3D('Données géométriques'!$B$9,'Données géométriques'!$B$10,'Données géométriques'!$B$12,'Données géométriques'!$B$11,I21)</f>
        <v>-0.22520725391163199</v>
      </c>
      <c r="K21">
        <f>'5kts'!K21</f>
        <v>1.1514536950961625</v>
      </c>
      <c r="L21">
        <f t="shared" si="2"/>
        <v>-3.4792746088368021E-2</v>
      </c>
    </row>
    <row r="22" spans="1:12" x14ac:dyDescent="0.25">
      <c r="A22">
        <v>9</v>
      </c>
      <c r="B22">
        <f t="shared" si="0"/>
        <v>0.15707963267948966</v>
      </c>
      <c r="C22">
        <v>0.97460000000000002</v>
      </c>
      <c r="D22">
        <v>1.4019999999999999E-2</v>
      </c>
      <c r="E22">
        <v>3.7000000000000002E-3</v>
      </c>
      <c r="F22">
        <f>C22*'Données géométriques'!$B$6/(2+('Données géométriques'!$B$6^2+4)^0.5)</f>
        <v>0.5402237214933362</v>
      </c>
      <c r="G22">
        <f>F22^2/(PI()*'Données géométriques'!$B$6)</f>
        <v>2.9024555463476886E-2</v>
      </c>
      <c r="H22">
        <f t="shared" si="1"/>
        <v>4.3044555463476887E-2</v>
      </c>
      <c r="I22">
        <f t="shared" si="3"/>
        <v>0.24616498550734009</v>
      </c>
      <c r="J22">
        <f>XCP_3D('Données géométriques'!$B$9,'Données géométriques'!$B$10,'Données géométriques'!$B$12,'Données géométriques'!$B$11,I22)</f>
        <v>-0.22463179745961306</v>
      </c>
      <c r="K22">
        <f>'5kts'!K22</f>
        <v>1.1514536950961625</v>
      </c>
      <c r="L22">
        <f t="shared" si="2"/>
        <v>-3.5368202540386945E-2</v>
      </c>
    </row>
    <row r="23" spans="1:12" x14ac:dyDescent="0.25">
      <c r="A23">
        <v>9.5</v>
      </c>
      <c r="B23">
        <f t="shared" si="0"/>
        <v>0.16580627893946132</v>
      </c>
      <c r="C23">
        <v>1.0235000000000001</v>
      </c>
      <c r="D23">
        <v>1.487E-2</v>
      </c>
      <c r="E23">
        <v>4.5999999999999999E-3</v>
      </c>
      <c r="F23">
        <f>C23*'Données géométriques'!$B$6/(2+('Données géométriques'!$B$6^2+4)^0.5)</f>
        <v>0.56732913908108928</v>
      </c>
      <c r="G23">
        <f>F23^2/(PI()*'Données géométriques'!$B$6)</f>
        <v>3.2010205095970599E-2</v>
      </c>
      <c r="H23">
        <f t="shared" si="1"/>
        <v>4.6880205095970601E-2</v>
      </c>
      <c r="I23">
        <f t="shared" si="3"/>
        <v>0.24545417519025331</v>
      </c>
      <c r="J23">
        <f>XCP_3D('Données géométriques'!$B$9,'Données géométriques'!$B$10,'Données géométriques'!$B$12,'Données géométriques'!$B$11,I23)</f>
        <v>-0.22410842750146628</v>
      </c>
      <c r="K23">
        <f>'5kts'!K23</f>
        <v>1.1514536950961625</v>
      </c>
      <c r="L23">
        <f t="shared" si="2"/>
        <v>-3.5891572498533725E-2</v>
      </c>
    </row>
    <row r="24" spans="1:12" x14ac:dyDescent="0.25">
      <c r="A24">
        <v>10</v>
      </c>
      <c r="B24">
        <f t="shared" si="0"/>
        <v>0.17453292519943295</v>
      </c>
      <c r="C24">
        <v>1.0712999999999999</v>
      </c>
      <c r="D24">
        <v>1.584E-2</v>
      </c>
      <c r="E24">
        <v>5.4999999999999997E-3</v>
      </c>
      <c r="F24">
        <f>C24*'Données géométriques'!$B$6/(2+('Données géométriques'!$B$6^2+4)^0.5)</f>
        <v>0.59382482334887243</v>
      </c>
      <c r="G24">
        <f>F24^2/(PI()*'Données géométriques'!$B$6)</f>
        <v>3.5069935940856736E-2</v>
      </c>
      <c r="H24">
        <f t="shared" si="1"/>
        <v>5.0909935940856736E-2</v>
      </c>
      <c r="I24">
        <f t="shared" si="3"/>
        <v>0.24480040716713311</v>
      </c>
      <c r="J24">
        <f>XCP_3D('Données géométriques'!$B$9,'Données géométriques'!$B$10,'Données géométriques'!$B$12,'Données géométriques'!$B$11,I24)</f>
        <v>-0.22362705781018205</v>
      </c>
      <c r="K24">
        <f>'5kts'!K24</f>
        <v>1.1514536950961625</v>
      </c>
      <c r="L24">
        <f t="shared" si="2"/>
        <v>-3.6372942189817958E-2</v>
      </c>
    </row>
    <row r="25" spans="1:12" x14ac:dyDescent="0.25">
      <c r="A25">
        <v>10.5</v>
      </c>
      <c r="B25">
        <f t="shared" si="0"/>
        <v>0.18325957145940461</v>
      </c>
      <c r="C25">
        <v>1.117</v>
      </c>
      <c r="D25">
        <v>1.7090000000000001E-2</v>
      </c>
      <c r="E25">
        <v>6.7000000000000002E-3</v>
      </c>
      <c r="F25">
        <f>C25*'Données géométriques'!$B$6/(2+('Données géométriques'!$B$6^2+4)^0.5)</f>
        <v>0.61915647127853124</v>
      </c>
      <c r="G25">
        <f>F25^2/(PI()*'Données géométriques'!$B$6)</f>
        <v>3.812581261315267E-2</v>
      </c>
      <c r="H25">
        <f t="shared" si="1"/>
        <v>5.5215812613152671E-2</v>
      </c>
      <c r="I25">
        <f t="shared" si="3"/>
        <v>0.24391688910819201</v>
      </c>
      <c r="J25">
        <f>XCP_3D('Données géométriques'!$B$9,'Données géométriques'!$B$10,'Données géométriques'!$B$12,'Données géométriques'!$B$11,I25)</f>
        <v>-0.22297652306354909</v>
      </c>
      <c r="K25">
        <f>'5kts'!K25</f>
        <v>1.1514536950961625</v>
      </c>
      <c r="L25">
        <f t="shared" si="2"/>
        <v>-3.7023476936450916E-2</v>
      </c>
    </row>
    <row r="26" spans="1:12" x14ac:dyDescent="0.25">
      <c r="A26">
        <v>11</v>
      </c>
      <c r="B26">
        <f t="shared" si="0"/>
        <v>0.19198621771937624</v>
      </c>
      <c r="C26">
        <v>1.1625000000000001</v>
      </c>
      <c r="D26">
        <v>1.8259999999999998E-2</v>
      </c>
      <c r="E26">
        <v>7.9000000000000008E-3</v>
      </c>
      <c r="F26">
        <f>C26*'Données géométriques'!$B$6/(2+('Données géométriques'!$B$6^2+4)^0.5)</f>
        <v>0.64437725860455919</v>
      </c>
      <c r="G26">
        <f>F26^2/(PI()*'Données géométriques'!$B$6)</f>
        <v>4.1295115571062468E-2</v>
      </c>
      <c r="H26">
        <f t="shared" si="1"/>
        <v>5.9555115571062467E-2</v>
      </c>
      <c r="I26">
        <f t="shared" si="3"/>
        <v>0.24309818091968918</v>
      </c>
      <c r="J26">
        <f>XCP_3D('Données géométriques'!$B$9,'Données géométriques'!$B$10,'Données géométriques'!$B$12,'Données géométriques'!$B$11,I26)</f>
        <v>-0.22237370785384925</v>
      </c>
      <c r="K26">
        <f>K25</f>
        <v>1.1514536950961625</v>
      </c>
      <c r="L26">
        <f t="shared" si="2"/>
        <v>-3.7626292146150764E-2</v>
      </c>
    </row>
    <row r="27" spans="1:12" x14ac:dyDescent="0.25">
      <c r="A27">
        <v>11.5</v>
      </c>
      <c r="B27">
        <f t="shared" si="0"/>
        <v>0.2007128639793479</v>
      </c>
      <c r="C27">
        <v>1.2061999999999999</v>
      </c>
      <c r="D27">
        <v>1.959E-2</v>
      </c>
      <c r="E27">
        <v>9.1999999999999998E-3</v>
      </c>
      <c r="F27">
        <f>C27*'Données géométriques'!$B$6/(2+('Données géométriques'!$B$6^2+4)^0.5)</f>
        <v>0.66860030049790897</v>
      </c>
      <c r="G27">
        <f>F27^2/(PI()*'Données géométriques'!$B$6)</f>
        <v>4.4458152480995182E-2</v>
      </c>
      <c r="H27">
        <f t="shared" si="1"/>
        <v>6.4048152480995185E-2</v>
      </c>
      <c r="I27">
        <f t="shared" si="3"/>
        <v>0.24224211872899815</v>
      </c>
      <c r="J27">
        <f>XCP_3D('Données géométriques'!$B$9,'Données géométriques'!$B$10,'Données géométriques'!$B$12,'Données géométriques'!$B$11,I27)</f>
        <v>-0.22174338887543427</v>
      </c>
      <c r="K27">
        <f t="shared" ref="K27:K33" si="4">K26</f>
        <v>1.1514536950961625</v>
      </c>
      <c r="L27">
        <f t="shared" si="2"/>
        <v>-3.8256611124565743E-2</v>
      </c>
    </row>
    <row r="28" spans="1:12" x14ac:dyDescent="0.25">
      <c r="A28">
        <v>12</v>
      </c>
      <c r="B28">
        <f t="shared" si="0"/>
        <v>0.20943951023931956</v>
      </c>
      <c r="C28">
        <v>1.2477</v>
      </c>
      <c r="D28">
        <v>2.1059999999999999E-2</v>
      </c>
      <c r="E28">
        <v>1.06E-2</v>
      </c>
      <c r="F28">
        <f>C28*'Données géométriques'!$B$6/(2+('Données géométriques'!$B$6^2+4)^0.5)</f>
        <v>0.6916038757513191</v>
      </c>
      <c r="G28">
        <f>F28^2/(PI()*'Données géométriques'!$B$6)</f>
        <v>4.7569995785066745E-2</v>
      </c>
      <c r="H28">
        <f t="shared" si="1"/>
        <v>6.8629995785066747E-2</v>
      </c>
      <c r="I28">
        <f t="shared" si="3"/>
        <v>0.24134562035420404</v>
      </c>
      <c r="J28">
        <f>XCP_3D('Données géométriques'!$B$9,'Données géométriques'!$B$10,'Données géométriques'!$B$12,'Données géométriques'!$B$11,I28)</f>
        <v>-0.22108329671636454</v>
      </c>
      <c r="K28">
        <f t="shared" si="4"/>
        <v>1.1514536950961625</v>
      </c>
      <c r="L28">
        <f t="shared" si="2"/>
        <v>-3.8916703283635473E-2</v>
      </c>
    </row>
    <row r="29" spans="1:12" x14ac:dyDescent="0.25">
      <c r="A29">
        <v>12.5</v>
      </c>
      <c r="B29">
        <f t="shared" si="0"/>
        <v>0.21816615649929119</v>
      </c>
      <c r="C29">
        <v>1.2867999999999999</v>
      </c>
      <c r="D29">
        <v>2.2669999999999999E-2</v>
      </c>
      <c r="E29">
        <v>1.2200000000000001E-2</v>
      </c>
      <c r="F29">
        <f>C29*'Données géométriques'!$B$6/(2+('Données géométriques'!$B$6^2+4)^0.5)</f>
        <v>0.71327712376115848</v>
      </c>
      <c r="G29">
        <f>F29^2/(PI()*'Données géométriques'!$B$6)</f>
        <v>5.0598176684201218E-2</v>
      </c>
      <c r="H29">
        <f t="shared" si="1"/>
        <v>7.3268176684201214E-2</v>
      </c>
      <c r="I29">
        <f t="shared" si="3"/>
        <v>0.24032670666548286</v>
      </c>
      <c r="J29">
        <f>XCP_3D('Données géométriques'!$B$9,'Données géométriques'!$B$10,'Données géométriques'!$B$12,'Données géométriques'!$B$11,I29)</f>
        <v>-0.22033307010625253</v>
      </c>
      <c r="K29">
        <f t="shared" si="4"/>
        <v>1.1514536950961625</v>
      </c>
      <c r="L29">
        <f t="shared" si="2"/>
        <v>-3.9666929893747482E-2</v>
      </c>
    </row>
    <row r="30" spans="1:12" x14ac:dyDescent="0.25">
      <c r="A30">
        <v>13</v>
      </c>
      <c r="B30">
        <f t="shared" si="0"/>
        <v>0.22689280275926285</v>
      </c>
      <c r="C30">
        <v>1.3220000000000001</v>
      </c>
      <c r="D30">
        <v>2.452E-2</v>
      </c>
      <c r="E30">
        <v>1.4200000000000001E-2</v>
      </c>
      <c r="F30">
        <f>C30*'Données géométriques'!$B$6/(2+('Données géométriques'!$B$6^2+4)^0.5)</f>
        <v>0.73278859000019547</v>
      </c>
      <c r="G30">
        <f>F30^2/(PI()*'Données géométriques'!$B$6)</f>
        <v>5.340423189673478E-2</v>
      </c>
      <c r="H30">
        <f t="shared" si="1"/>
        <v>7.792423189673478E-2</v>
      </c>
      <c r="I30">
        <f t="shared" si="3"/>
        <v>0.2390231621177675</v>
      </c>
      <c r="J30">
        <f>XCP_3D('Données géométriques'!$B$9,'Données géométriques'!$B$10,'Données géométriques'!$B$12,'Données géométriques'!$B$11,I30)</f>
        <v>-0.2193732696658533</v>
      </c>
      <c r="K30">
        <f t="shared" si="4"/>
        <v>1.1514536950961625</v>
      </c>
      <c r="L30">
        <f t="shared" si="2"/>
        <v>-4.062673033414671E-2</v>
      </c>
    </row>
    <row r="31" spans="1:12" x14ac:dyDescent="0.25">
      <c r="A31">
        <v>13.5</v>
      </c>
      <c r="B31">
        <f t="shared" si="0"/>
        <v>0.23561944901923448</v>
      </c>
      <c r="C31">
        <v>1.3507</v>
      </c>
      <c r="D31">
        <v>2.6790000000000001E-2</v>
      </c>
      <c r="E31">
        <v>1.66E-2</v>
      </c>
      <c r="F31">
        <f>C31*'Données géométriques'!$B$6/(2+('Données géométriques'!$B$6^2+4)^0.5)</f>
        <v>0.74869708662122847</v>
      </c>
      <c r="G31">
        <f>F31^2/(PI()*'Données géométriques'!$B$6)</f>
        <v>5.5748163168031287E-2</v>
      </c>
      <c r="H31">
        <f t="shared" si="1"/>
        <v>8.2538163168031281E-2</v>
      </c>
      <c r="I31">
        <f t="shared" si="3"/>
        <v>0.23742075504565507</v>
      </c>
      <c r="J31">
        <f>XCP_3D('Données géométriques'!$B$9,'Données géométriques'!$B$10,'Données géométriques'!$B$12,'Données géométriques'!$B$11,I31)</f>
        <v>-0.21819341661349179</v>
      </c>
      <c r="K31">
        <f t="shared" si="4"/>
        <v>1.1514536950961625</v>
      </c>
      <c r="L31">
        <f t="shared" si="2"/>
        <v>-4.1806583386508223E-2</v>
      </c>
    </row>
    <row r="32" spans="1:12" x14ac:dyDescent="0.25">
      <c r="A32">
        <v>14</v>
      </c>
      <c r="B32">
        <f t="shared" si="0"/>
        <v>0.24434609527920614</v>
      </c>
      <c r="C32">
        <v>1.3646</v>
      </c>
      <c r="D32">
        <v>2.9739999999999999E-2</v>
      </c>
      <c r="E32">
        <v>2.0400000000000001E-2</v>
      </c>
      <c r="F32">
        <f>C32*'Données géométriques'!$B$6/(2+('Données géométriques'!$B$6^2+4)^0.5)</f>
        <v>0.75640189857357543</v>
      </c>
      <c r="G32">
        <f>F32^2/(PI()*'Données géométriques'!$B$6)</f>
        <v>5.6901471375397111E-2</v>
      </c>
      <c r="H32">
        <f t="shared" si="1"/>
        <v>8.6641471375397114E-2</v>
      </c>
      <c r="I32">
        <f t="shared" si="3"/>
        <v>0.23467617496027704</v>
      </c>
      <c r="J32">
        <f>XCP_3D('Données géométriques'!$B$9,'Données géométriques'!$B$10,'Données géométriques'!$B$12,'Données géométriques'!$B$11,I32)</f>
        <v>-0.21617258105457174</v>
      </c>
      <c r="K32">
        <f t="shared" si="4"/>
        <v>1.1514536950961625</v>
      </c>
      <c r="L32">
        <f t="shared" si="2"/>
        <v>-4.382741894542827E-2</v>
      </c>
    </row>
    <row r="33" spans="1:12" x14ac:dyDescent="0.25">
      <c r="A33" s="3">
        <v>14.5</v>
      </c>
      <c r="B33">
        <f t="shared" si="0"/>
        <v>0.2530727415391778</v>
      </c>
      <c r="C33">
        <v>1.3716999999999999</v>
      </c>
      <c r="D33">
        <v>3.2809999999999999E-2</v>
      </c>
      <c r="E33">
        <v>2.4E-2</v>
      </c>
      <c r="F33">
        <f>C33*'Données géométriques'!$B$6/(2+('Données géométriques'!$B$6^2+4)^0.5)</f>
        <v>0.7603374500024721</v>
      </c>
      <c r="G33">
        <f>F33^2/(PI()*'Données géométriques'!$B$6)</f>
        <v>5.7495127321293027E-2</v>
      </c>
      <c r="H33">
        <f t="shared" si="1"/>
        <v>9.0305127321293033E-2</v>
      </c>
      <c r="I33">
        <f t="shared" si="3"/>
        <v>0.23203892729653441</v>
      </c>
      <c r="J33">
        <f>XCP_3D('Données géométriques'!$B$9,'Données géométriques'!$B$10,'Données géométriques'!$B$12,'Données géométriques'!$B$11,I33)</f>
        <v>-0.21423077440627766</v>
      </c>
      <c r="K33">
        <f t="shared" si="4"/>
        <v>1.1514536950961625</v>
      </c>
      <c r="L33">
        <f t="shared" si="2"/>
        <v>-4.5769225593722346E-2</v>
      </c>
    </row>
    <row r="34" spans="1:12" x14ac:dyDescent="0.25">
      <c r="A34">
        <v>15</v>
      </c>
      <c r="B34">
        <f t="shared" si="0"/>
        <v>0.26179938779914941</v>
      </c>
      <c r="C34">
        <f>-$C$33*(A34-90)/(90-$A$33)</f>
        <v>1.362615894039735</v>
      </c>
      <c r="D34">
        <f>$O$2*(A34-$A$33)+$D$33</f>
        <v>3.5879999999999995E-2</v>
      </c>
      <c r="E34" s="4" t="s">
        <v>30</v>
      </c>
      <c r="F34">
        <f>C34*'Données géométriques'!$B$6/(2+('Données géométriques'!$B$6^2+4)^0.5)</f>
        <v>0.75530210265146225</v>
      </c>
      <c r="G34">
        <f>F34^2/(PI()*'Données géométriques'!$B$6)</f>
        <v>5.6736124061624177E-2</v>
      </c>
      <c r="H34">
        <f t="shared" si="1"/>
        <v>9.2616124061624172E-2</v>
      </c>
      <c r="I34" s="4" t="s">
        <v>30</v>
      </c>
      <c r="J34" s="4">
        <f>'1kts'!J$22</f>
        <v>-0.41152228571428573</v>
      </c>
      <c r="K34" s="4">
        <f>'1kts'!K$22</f>
        <v>0.92155428571428555</v>
      </c>
      <c r="L34" s="4">
        <f>'1kts'!L$22</f>
        <v>0.15152228571428572</v>
      </c>
    </row>
    <row r="35" spans="1:12" x14ac:dyDescent="0.25">
      <c r="A35">
        <v>15.5</v>
      </c>
      <c r="B35">
        <f t="shared" si="0"/>
        <v>0.27052603405912107</v>
      </c>
      <c r="C35">
        <f t="shared" ref="C35:C79" si="5">-$C$33*(A35-90)/(90-$A$33)</f>
        <v>1.3535317880794702</v>
      </c>
      <c r="D35">
        <f t="shared" ref="D35:D79" si="6">$O$2*(A35-$A$33)+$D$33</f>
        <v>3.8949999999999999E-2</v>
      </c>
      <c r="E35" s="4" t="s">
        <v>30</v>
      </c>
      <c r="F35">
        <f>C35*'Données géométriques'!$B$6/(2+('Données géométriques'!$B$6^2+4)^0.5)</f>
        <v>0.7502667553004525</v>
      </c>
      <c r="G35">
        <f>F35^2/(PI()*'Données géométriques'!$B$6)</f>
        <v>5.5982164012983025E-2</v>
      </c>
      <c r="H35">
        <f t="shared" si="1"/>
        <v>9.4932164012983017E-2</v>
      </c>
      <c r="I35" s="4" t="s">
        <v>30</v>
      </c>
      <c r="J35" s="4">
        <f>'1kts'!J$22</f>
        <v>-0.41152228571428573</v>
      </c>
      <c r="K35" s="4">
        <f>'1kts'!K$22</f>
        <v>0.92155428571428555</v>
      </c>
      <c r="L35" s="4">
        <f>'1kts'!L$22</f>
        <v>0.15152228571428572</v>
      </c>
    </row>
    <row r="36" spans="1:12" x14ac:dyDescent="0.25">
      <c r="A36">
        <v>16</v>
      </c>
      <c r="B36">
        <f t="shared" si="0"/>
        <v>0.27925268031909273</v>
      </c>
      <c r="C36">
        <f t="shared" si="5"/>
        <v>1.3444476821192053</v>
      </c>
      <c r="D36">
        <f t="shared" si="6"/>
        <v>4.2020000000000002E-2</v>
      </c>
      <c r="E36" s="4" t="s">
        <v>30</v>
      </c>
      <c r="F36">
        <f>C36*'Données géométriques'!$B$6/(2+('Données géométriques'!$B$6^2+4)^0.5)</f>
        <v>0.74523140794944287</v>
      </c>
      <c r="G36">
        <f>F36^2/(PI()*'Données géométriques'!$B$6)</f>
        <v>5.5233247175369607E-2</v>
      </c>
      <c r="H36">
        <f t="shared" si="1"/>
        <v>9.7253247175369609E-2</v>
      </c>
      <c r="I36" s="4" t="s">
        <v>30</v>
      </c>
      <c r="J36" s="4">
        <f>'1kts'!J$22</f>
        <v>-0.41152228571428573</v>
      </c>
      <c r="K36" s="4">
        <f>'1kts'!K$22</f>
        <v>0.92155428571428555</v>
      </c>
      <c r="L36" s="4">
        <f>'1kts'!L$22</f>
        <v>0.15152228571428572</v>
      </c>
    </row>
    <row r="37" spans="1:12" x14ac:dyDescent="0.25">
      <c r="A37">
        <v>16.5</v>
      </c>
      <c r="B37">
        <f t="shared" si="0"/>
        <v>0.28797932657906439</v>
      </c>
      <c r="C37">
        <f t="shared" si="5"/>
        <v>1.3353635761589402</v>
      </c>
      <c r="D37">
        <f t="shared" si="6"/>
        <v>4.5089999999999998E-2</v>
      </c>
      <c r="E37" s="4" t="s">
        <v>30</v>
      </c>
      <c r="F37">
        <f>C37*'Données géométriques'!$B$6/(2+('Données géométriques'!$B$6^2+4)^0.5)</f>
        <v>0.74019606059843301</v>
      </c>
      <c r="G37">
        <f>F37^2/(PI()*'Données géométriques'!$B$6)</f>
        <v>5.4489373548783852E-2</v>
      </c>
      <c r="H37">
        <f t="shared" si="1"/>
        <v>9.9579373548783851E-2</v>
      </c>
      <c r="I37" s="4" t="s">
        <v>30</v>
      </c>
      <c r="J37" s="4">
        <f>'1kts'!J$22</f>
        <v>-0.41152228571428573</v>
      </c>
      <c r="K37" s="4">
        <f>'1kts'!K$22</f>
        <v>0.92155428571428555</v>
      </c>
      <c r="L37" s="4">
        <f>'1kts'!L$22</f>
        <v>0.15152228571428572</v>
      </c>
    </row>
    <row r="38" spans="1:12" x14ac:dyDescent="0.25">
      <c r="A38">
        <v>17</v>
      </c>
      <c r="B38">
        <f t="shared" si="0"/>
        <v>0.29670597283903605</v>
      </c>
      <c r="C38">
        <f t="shared" si="5"/>
        <v>1.3262794701986753</v>
      </c>
      <c r="D38">
        <f t="shared" si="6"/>
        <v>4.8159999999999994E-2</v>
      </c>
      <c r="E38" s="4" t="s">
        <v>30</v>
      </c>
      <c r="F38">
        <f>C38*'Données géométriques'!$B$6/(2+('Données géométriques'!$B$6^2+4)^0.5)</f>
        <v>0.73516071324742316</v>
      </c>
      <c r="G38">
        <f>F38^2/(PI()*'Données géométriques'!$B$6)</f>
        <v>5.3750543133225796E-2</v>
      </c>
      <c r="H38">
        <f t="shared" si="1"/>
        <v>0.10191054313322578</v>
      </c>
      <c r="I38" s="4" t="s">
        <v>30</v>
      </c>
      <c r="J38" s="4">
        <f>'1kts'!J$22</f>
        <v>-0.41152228571428573</v>
      </c>
      <c r="K38" s="4">
        <f>'1kts'!K$22</f>
        <v>0.92155428571428555</v>
      </c>
      <c r="L38" s="4">
        <f>'1kts'!L$22</f>
        <v>0.15152228571428572</v>
      </c>
    </row>
    <row r="39" spans="1:12" x14ac:dyDescent="0.25">
      <c r="A39">
        <v>17.5</v>
      </c>
      <c r="B39">
        <f t="shared" si="0"/>
        <v>0.30543261909900765</v>
      </c>
      <c r="C39">
        <f t="shared" si="5"/>
        <v>1.3171953642384104</v>
      </c>
      <c r="D39">
        <f t="shared" si="6"/>
        <v>5.1229999999999998E-2</v>
      </c>
      <c r="E39" s="4" t="s">
        <v>30</v>
      </c>
      <c r="F39">
        <f>C39*'Données géométriques'!$B$6/(2+('Données géométriques'!$B$6^2+4)^0.5)</f>
        <v>0.73012536589641353</v>
      </c>
      <c r="G39">
        <f>F39^2/(PI()*'Données géométriques'!$B$6)</f>
        <v>5.3016755928695473E-2</v>
      </c>
      <c r="H39">
        <f t="shared" si="1"/>
        <v>0.10424675592869548</v>
      </c>
      <c r="I39" s="4" t="s">
        <v>30</v>
      </c>
      <c r="J39" s="4">
        <f>'1kts'!J$22</f>
        <v>-0.41152228571428573</v>
      </c>
      <c r="K39" s="4">
        <f>'1kts'!K$22</f>
        <v>0.92155428571428555</v>
      </c>
      <c r="L39" s="4">
        <f>'1kts'!L$22</f>
        <v>0.15152228571428572</v>
      </c>
    </row>
    <row r="40" spans="1:12" x14ac:dyDescent="0.25">
      <c r="A40">
        <v>18</v>
      </c>
      <c r="B40">
        <f t="shared" si="0"/>
        <v>0.31415926535897931</v>
      </c>
      <c r="C40">
        <f t="shared" si="5"/>
        <v>1.3081112582781458</v>
      </c>
      <c r="D40">
        <f t="shared" si="6"/>
        <v>5.4300000000000001E-2</v>
      </c>
      <c r="E40" s="4" t="s">
        <v>30</v>
      </c>
      <c r="F40">
        <f>C40*'Données géométriques'!$B$6/(2+('Données géométriques'!$B$6^2+4)^0.5)</f>
        <v>0.72509001854540389</v>
      </c>
      <c r="G40">
        <f>F40^2/(PI()*'Données géométriques'!$B$6)</f>
        <v>5.2288011935192856E-2</v>
      </c>
      <c r="H40">
        <f t="shared" si="1"/>
        <v>0.10658801193519285</v>
      </c>
      <c r="I40" s="4" t="s">
        <v>30</v>
      </c>
      <c r="J40" s="4">
        <f>'1kts'!J$22</f>
        <v>-0.41152228571428573</v>
      </c>
      <c r="K40" s="4">
        <f>'1kts'!K$22</f>
        <v>0.92155428571428555</v>
      </c>
      <c r="L40" s="4">
        <f>'1kts'!L$22</f>
        <v>0.15152228571428572</v>
      </c>
    </row>
    <row r="41" spans="1:12" x14ac:dyDescent="0.25">
      <c r="A41">
        <v>18.5</v>
      </c>
      <c r="B41">
        <f t="shared" si="0"/>
        <v>0.32288591161895097</v>
      </c>
      <c r="C41">
        <f t="shared" si="5"/>
        <v>1.2990271523178807</v>
      </c>
      <c r="D41">
        <f t="shared" si="6"/>
        <v>5.7369999999999997E-2</v>
      </c>
      <c r="E41" s="4" t="s">
        <v>30</v>
      </c>
      <c r="F41">
        <f>C41*'Données géométriques'!$B$6/(2+('Données géométriques'!$B$6^2+4)^0.5)</f>
        <v>0.72005467119439404</v>
      </c>
      <c r="G41">
        <f>F41^2/(PI()*'Données géométriques'!$B$6)</f>
        <v>5.1564311152717895E-2</v>
      </c>
      <c r="H41">
        <f t="shared" si="1"/>
        <v>0.1089343111527179</v>
      </c>
      <c r="I41" s="4" t="s">
        <v>30</v>
      </c>
      <c r="J41" s="4">
        <f>'1kts'!J$22</f>
        <v>-0.41152228571428573</v>
      </c>
      <c r="K41" s="4">
        <f>'1kts'!K$22</f>
        <v>0.92155428571428555</v>
      </c>
      <c r="L41" s="4">
        <f>'1kts'!L$22</f>
        <v>0.15152228571428572</v>
      </c>
    </row>
    <row r="42" spans="1:12" x14ac:dyDescent="0.25">
      <c r="A42">
        <v>19</v>
      </c>
      <c r="B42">
        <f t="shared" si="0"/>
        <v>0.33161255787892263</v>
      </c>
      <c r="C42">
        <f t="shared" si="5"/>
        <v>1.2899430463576158</v>
      </c>
      <c r="D42">
        <f t="shared" si="6"/>
        <v>6.0439999999999994E-2</v>
      </c>
      <c r="E42" s="4" t="s">
        <v>30</v>
      </c>
      <c r="F42">
        <f>C42*'Données géométriques'!$B$6/(2+('Données géométriques'!$B$6^2+4)^0.5)</f>
        <v>0.71501932384338429</v>
      </c>
      <c r="G42">
        <f>F42^2/(PI()*'Données géométriques'!$B$6)</f>
        <v>5.0845653581270661E-2</v>
      </c>
      <c r="H42">
        <f>G42+D42</f>
        <v>0.11128565358127065</v>
      </c>
      <c r="I42" s="4" t="s">
        <v>30</v>
      </c>
      <c r="J42" s="4">
        <f>'1kts'!J$22</f>
        <v>-0.41152228571428573</v>
      </c>
      <c r="K42" s="4">
        <f>'1kts'!K$22</f>
        <v>0.92155428571428555</v>
      </c>
      <c r="L42" s="4">
        <f>'1kts'!L$22</f>
        <v>0.15152228571428572</v>
      </c>
    </row>
    <row r="43" spans="1:12" x14ac:dyDescent="0.25">
      <c r="A43">
        <v>19.5</v>
      </c>
      <c r="B43">
        <f t="shared" si="0"/>
        <v>0.34033920413889424</v>
      </c>
      <c r="C43">
        <f t="shared" si="5"/>
        <v>1.2808589403973509</v>
      </c>
      <c r="D43">
        <f t="shared" si="6"/>
        <v>6.3509999999999997E-2</v>
      </c>
      <c r="E43" s="4" t="s">
        <v>30</v>
      </c>
      <c r="F43">
        <f>C43*'Données géométriques'!$B$6/(2+('Données géométriques'!$B$6^2+4)^0.5)</f>
        <v>0.70998397649237466</v>
      </c>
      <c r="G43">
        <f>F43^2/(PI()*'Données géométriques'!$B$6)</f>
        <v>5.0132039220851139E-2</v>
      </c>
      <c r="H43">
        <f>G43+D43</f>
        <v>0.11364203922085114</v>
      </c>
      <c r="I43" s="4" t="s">
        <v>30</v>
      </c>
      <c r="J43" s="4">
        <f>'1kts'!J$22</f>
        <v>-0.41152228571428573</v>
      </c>
      <c r="K43" s="4">
        <f>'1kts'!K$22</f>
        <v>0.92155428571428555</v>
      </c>
      <c r="L43" s="4">
        <f>'1kts'!L$22</f>
        <v>0.15152228571428572</v>
      </c>
    </row>
    <row r="44" spans="1:12" x14ac:dyDescent="0.25">
      <c r="A44">
        <v>20</v>
      </c>
      <c r="B44">
        <f t="shared" si="0"/>
        <v>0.3490658503988659</v>
      </c>
      <c r="C44">
        <f t="shared" si="5"/>
        <v>1.2717748344370861</v>
      </c>
      <c r="D44">
        <f t="shared" si="6"/>
        <v>6.658E-2</v>
      </c>
      <c r="E44" s="4" t="s">
        <v>30</v>
      </c>
      <c r="F44">
        <f>C44*'Données géométriques'!$B$6/(2+('Données géométriques'!$B$6^2+4)^0.5)</f>
        <v>0.7049486291413648</v>
      </c>
      <c r="G44">
        <f>F44^2/(PI()*'Données géométriques'!$B$6)</f>
        <v>4.9423468071459281E-2</v>
      </c>
      <c r="H44">
        <f>G44+D44</f>
        <v>0.11600346807145928</v>
      </c>
      <c r="I44" s="4" t="s">
        <v>30</v>
      </c>
      <c r="J44" s="4">
        <f>'1kts'!J$22</f>
        <v>-0.41152228571428573</v>
      </c>
      <c r="K44" s="4">
        <f>'1kts'!K$22</f>
        <v>0.92155428571428555</v>
      </c>
      <c r="L44" s="4">
        <f>'1kts'!L$22</f>
        <v>0.15152228571428572</v>
      </c>
    </row>
    <row r="45" spans="1:12" x14ac:dyDescent="0.25">
      <c r="A45">
        <v>22</v>
      </c>
      <c r="B45">
        <f t="shared" si="0"/>
        <v>0.38397243543875248</v>
      </c>
      <c r="C45">
        <f t="shared" si="5"/>
        <v>1.2354384105960265</v>
      </c>
      <c r="D45">
        <f t="shared" si="6"/>
        <v>7.8859999999999986E-2</v>
      </c>
      <c r="E45" s="4" t="s">
        <v>30</v>
      </c>
      <c r="F45">
        <f>C45*'Données géométriques'!$B$6/(2+('Données géométriques'!$B$6^2+4)^0.5)</f>
        <v>0.68480723973732593</v>
      </c>
      <c r="G45">
        <f>F45^2/(PI()*'Données géométriques'!$B$6)</f>
        <v>4.6639615584168938E-2</v>
      </c>
      <c r="H45">
        <f t="shared" ref="H45:H79" si="7">G45+D45</f>
        <v>0.12549961558416892</v>
      </c>
      <c r="I45" s="4" t="s">
        <v>30</v>
      </c>
      <c r="J45" s="4">
        <f>'1kts'!J$22</f>
        <v>-0.41152228571428573</v>
      </c>
      <c r="K45" s="4">
        <f>'1kts'!K$22</f>
        <v>0.92155428571428555</v>
      </c>
      <c r="L45" s="4">
        <f>'1kts'!L$22</f>
        <v>0.15152228571428572</v>
      </c>
    </row>
    <row r="46" spans="1:12" x14ac:dyDescent="0.25">
      <c r="A46">
        <f>A45+2</f>
        <v>24</v>
      </c>
      <c r="B46">
        <f t="shared" si="0"/>
        <v>0.41887902047863912</v>
      </c>
      <c r="C46">
        <f t="shared" si="5"/>
        <v>1.1991019867549668</v>
      </c>
      <c r="D46">
        <f t="shared" si="6"/>
        <v>9.1139999999999999E-2</v>
      </c>
      <c r="E46" s="4" t="s">
        <v>30</v>
      </c>
      <c r="F46">
        <f>C46*'Données géométriques'!$B$6/(2+('Données géométriques'!$B$6^2+4)^0.5)</f>
        <v>0.66466585033328685</v>
      </c>
      <c r="G46">
        <f>F46^2/(PI()*'Données géométriques'!$B$6)</f>
        <v>4.3936454473321764E-2</v>
      </c>
      <c r="H46">
        <f t="shared" si="7"/>
        <v>0.13507645447332176</v>
      </c>
      <c r="I46" s="4" t="s">
        <v>30</v>
      </c>
      <c r="J46" s="4">
        <f>'1kts'!J$22</f>
        <v>-0.41152228571428573</v>
      </c>
      <c r="K46" s="4">
        <f>'1kts'!K$22</f>
        <v>0.92155428571428555</v>
      </c>
      <c r="L46" s="4">
        <f>'1kts'!L$22</f>
        <v>0.15152228571428572</v>
      </c>
    </row>
    <row r="47" spans="1:12" x14ac:dyDescent="0.25">
      <c r="A47">
        <f t="shared" ref="A47:A79" si="8">A46+2</f>
        <v>26</v>
      </c>
      <c r="B47">
        <f t="shared" si="0"/>
        <v>0.4537856055185257</v>
      </c>
      <c r="C47">
        <f t="shared" si="5"/>
        <v>1.1627655629139073</v>
      </c>
      <c r="D47">
        <f t="shared" si="6"/>
        <v>0.10341999999999998</v>
      </c>
      <c r="E47" s="4" t="s">
        <v>30</v>
      </c>
      <c r="F47">
        <f>C47*'Données géométriques'!$B$6/(2+('Données géométriques'!$B$6^2+4)^0.5)</f>
        <v>0.64452446092924787</v>
      </c>
      <c r="G47">
        <f>F47^2/(PI()*'Données géométriques'!$B$6)</f>
        <v>4.1313984738917807E-2</v>
      </c>
      <c r="H47">
        <f t="shared" si="7"/>
        <v>0.1447339847389178</v>
      </c>
      <c r="I47" s="4" t="s">
        <v>30</v>
      </c>
      <c r="J47" s="4">
        <f>'1kts'!J$22</f>
        <v>-0.41152228571428573</v>
      </c>
      <c r="K47" s="4">
        <f>'1kts'!K$22</f>
        <v>0.92155428571428555</v>
      </c>
      <c r="L47" s="4">
        <f>'1kts'!L$22</f>
        <v>0.15152228571428572</v>
      </c>
    </row>
    <row r="48" spans="1:12" x14ac:dyDescent="0.25">
      <c r="A48">
        <f t="shared" si="8"/>
        <v>28</v>
      </c>
      <c r="B48">
        <f t="shared" si="0"/>
        <v>0.48869219055841229</v>
      </c>
      <c r="C48">
        <f t="shared" si="5"/>
        <v>1.1264291390728476</v>
      </c>
      <c r="D48">
        <f t="shared" si="6"/>
        <v>0.1157</v>
      </c>
      <c r="E48" s="4" t="s">
        <v>30</v>
      </c>
      <c r="F48">
        <f>C48*'Données géométriques'!$B$6/(2+('Données géométriques'!$B$6^2+4)^0.5)</f>
        <v>0.62438307152520878</v>
      </c>
      <c r="G48">
        <f>F48^2/(PI()*'Données géométriques'!$B$6)</f>
        <v>3.8772206380957033E-2</v>
      </c>
      <c r="H48">
        <f t="shared" si="7"/>
        <v>0.15447220638095704</v>
      </c>
      <c r="I48" s="4" t="s">
        <v>30</v>
      </c>
      <c r="J48" s="4">
        <f>'1kts'!J$22</f>
        <v>-0.41152228571428573</v>
      </c>
      <c r="K48" s="4">
        <f>'1kts'!K$22</f>
        <v>0.92155428571428555</v>
      </c>
      <c r="L48" s="4">
        <f>'1kts'!L$22</f>
        <v>0.15152228571428572</v>
      </c>
    </row>
    <row r="49" spans="1:12" x14ac:dyDescent="0.25">
      <c r="A49">
        <f t="shared" si="8"/>
        <v>30</v>
      </c>
      <c r="B49">
        <f t="shared" si="0"/>
        <v>0.52359877559829882</v>
      </c>
      <c r="C49">
        <f t="shared" si="5"/>
        <v>1.0900927152317881</v>
      </c>
      <c r="D49">
        <f t="shared" si="6"/>
        <v>0.12797999999999998</v>
      </c>
      <c r="E49" s="4" t="s">
        <v>30</v>
      </c>
      <c r="F49">
        <f>C49*'Données géométriques'!$B$6/(2+('Données géométriques'!$B$6^2+4)^0.5)</f>
        <v>0.60424168212116991</v>
      </c>
      <c r="G49">
        <f>F49^2/(PI()*'Données géométriques'!$B$6)</f>
        <v>3.6311119399439477E-2</v>
      </c>
      <c r="H49">
        <f t="shared" si="7"/>
        <v>0.16429111939943947</v>
      </c>
      <c r="I49" s="4" t="s">
        <v>30</v>
      </c>
      <c r="J49" s="4">
        <f>'1kts'!J$22</f>
        <v>-0.41152228571428573</v>
      </c>
      <c r="K49" s="4">
        <f>'1kts'!K$22</f>
        <v>0.92155428571428555</v>
      </c>
      <c r="L49" s="4">
        <f>'1kts'!L$22</f>
        <v>0.15152228571428572</v>
      </c>
    </row>
    <row r="50" spans="1:12" x14ac:dyDescent="0.25">
      <c r="A50">
        <f t="shared" si="8"/>
        <v>32</v>
      </c>
      <c r="B50">
        <f t="shared" si="0"/>
        <v>0.55850536063818546</v>
      </c>
      <c r="C50">
        <f t="shared" si="5"/>
        <v>1.0537562913907284</v>
      </c>
      <c r="D50">
        <f t="shared" si="6"/>
        <v>0.14026</v>
      </c>
      <c r="E50" s="4" t="s">
        <v>30</v>
      </c>
      <c r="F50">
        <f>C50*'Données géométriques'!$B$6/(2+('Données géométriques'!$B$6^2+4)^0.5)</f>
        <v>0.58410029271713082</v>
      </c>
      <c r="G50">
        <f>F50^2/(PI()*'Données géométriques'!$B$6)</f>
        <v>3.3930723794365104E-2</v>
      </c>
      <c r="H50">
        <f t="shared" si="7"/>
        <v>0.17419072379436509</v>
      </c>
      <c r="I50" s="4" t="s">
        <v>30</v>
      </c>
      <c r="J50" s="4">
        <f>'1kts'!J$22</f>
        <v>-0.41152228571428573</v>
      </c>
      <c r="K50" s="4">
        <f>'1kts'!K$22</f>
        <v>0.92155428571428555</v>
      </c>
      <c r="L50" s="4">
        <f>'1kts'!L$22</f>
        <v>0.15152228571428572</v>
      </c>
    </row>
    <row r="51" spans="1:12" x14ac:dyDescent="0.25">
      <c r="A51">
        <f t="shared" si="8"/>
        <v>34</v>
      </c>
      <c r="B51">
        <f t="shared" si="0"/>
        <v>0.59341194567807209</v>
      </c>
      <c r="C51">
        <f t="shared" si="5"/>
        <v>1.0174198675496688</v>
      </c>
      <c r="D51">
        <f t="shared" si="6"/>
        <v>0.15253999999999998</v>
      </c>
      <c r="E51" s="4" t="s">
        <v>30</v>
      </c>
      <c r="F51">
        <f>C51*'Données géométriques'!$B$6/(2+('Données géométriques'!$B$6^2+4)^0.5)</f>
        <v>0.56395890331309184</v>
      </c>
      <c r="G51">
        <f>F51^2/(PI()*'Données géométriques'!$B$6)</f>
        <v>3.1631019565733942E-2</v>
      </c>
      <c r="H51">
        <f t="shared" si="7"/>
        <v>0.18417101956573392</v>
      </c>
      <c r="I51" s="4" t="s">
        <v>30</v>
      </c>
      <c r="J51" s="4">
        <f>'1kts'!J$22</f>
        <v>-0.41152228571428573</v>
      </c>
      <c r="K51" s="4">
        <f>'1kts'!K$22</f>
        <v>0.92155428571428555</v>
      </c>
      <c r="L51" s="4">
        <f>'1kts'!L$22</f>
        <v>0.15152228571428572</v>
      </c>
    </row>
    <row r="52" spans="1:12" x14ac:dyDescent="0.25">
      <c r="A52">
        <f t="shared" si="8"/>
        <v>36</v>
      </c>
      <c r="B52">
        <f t="shared" si="0"/>
        <v>0.62831853071795862</v>
      </c>
      <c r="C52">
        <f t="shared" si="5"/>
        <v>0.98108344370860923</v>
      </c>
      <c r="D52">
        <f t="shared" si="6"/>
        <v>0.16481999999999999</v>
      </c>
      <c r="E52" s="4" t="s">
        <v>30</v>
      </c>
      <c r="F52">
        <f>C52*'Données géométriques'!$B$6/(2+('Données géométriques'!$B$6^2+4)^0.5)</f>
        <v>0.54381751390905286</v>
      </c>
      <c r="G52">
        <f>F52^2/(PI()*'Données géométriques'!$B$6)</f>
        <v>2.9412006713545977E-2</v>
      </c>
      <c r="H52">
        <f t="shared" si="7"/>
        <v>0.19423200671354596</v>
      </c>
      <c r="I52" s="4" t="s">
        <v>30</v>
      </c>
      <c r="J52" s="4">
        <f>'1kts'!J$22</f>
        <v>-0.41152228571428573</v>
      </c>
      <c r="K52" s="4">
        <f>'1kts'!K$22</f>
        <v>0.92155428571428555</v>
      </c>
      <c r="L52" s="4">
        <f>'1kts'!L$22</f>
        <v>0.15152228571428572</v>
      </c>
    </row>
    <row r="53" spans="1:12" x14ac:dyDescent="0.25">
      <c r="A53">
        <f t="shared" si="8"/>
        <v>38</v>
      </c>
      <c r="B53">
        <f t="shared" si="0"/>
        <v>0.66322511575784526</v>
      </c>
      <c r="C53">
        <f t="shared" si="5"/>
        <v>0.94474701986754972</v>
      </c>
      <c r="D53">
        <f t="shared" si="6"/>
        <v>0.17710000000000001</v>
      </c>
      <c r="E53" s="4" t="s">
        <v>30</v>
      </c>
      <c r="F53">
        <f>C53*'Données géométriques'!$B$6/(2+('Données géométriques'!$B$6^2+4)^0.5)</f>
        <v>0.52367612450501388</v>
      </c>
      <c r="G53">
        <f>F53^2/(PI()*'Données géométriques'!$B$6)</f>
        <v>2.7273685237801205E-2</v>
      </c>
      <c r="H53">
        <f t="shared" si="7"/>
        <v>0.20437368523780122</v>
      </c>
      <c r="I53" s="4" t="s">
        <v>30</v>
      </c>
      <c r="J53" s="4">
        <f>'1kts'!J$22</f>
        <v>-0.41152228571428573</v>
      </c>
      <c r="K53" s="4">
        <f>'1kts'!K$22</f>
        <v>0.92155428571428555</v>
      </c>
      <c r="L53" s="4">
        <f>'1kts'!L$22</f>
        <v>0.15152228571428572</v>
      </c>
    </row>
    <row r="54" spans="1:12" x14ac:dyDescent="0.25">
      <c r="A54">
        <f t="shared" si="8"/>
        <v>40</v>
      </c>
      <c r="B54">
        <f t="shared" si="0"/>
        <v>0.69813170079773179</v>
      </c>
      <c r="C54">
        <f t="shared" si="5"/>
        <v>0.90841059602648999</v>
      </c>
      <c r="D54">
        <f t="shared" si="6"/>
        <v>0.18937999999999999</v>
      </c>
      <c r="E54" s="4" t="s">
        <v>30</v>
      </c>
      <c r="F54">
        <f>C54*'Données géométriques'!$B$6/(2+('Données géométriques'!$B$6^2+4)^0.5)</f>
        <v>0.5035347351009748</v>
      </c>
      <c r="G54">
        <f>F54^2/(PI()*'Données géométriques'!$B$6)</f>
        <v>2.5216055138499626E-2</v>
      </c>
      <c r="H54">
        <f t="shared" si="7"/>
        <v>0.21459605513849961</v>
      </c>
      <c r="I54" s="4" t="s">
        <v>30</v>
      </c>
      <c r="J54" s="4">
        <f>'1kts'!J$22</f>
        <v>-0.41152228571428573</v>
      </c>
      <c r="K54" s="4">
        <f>'1kts'!K$22</f>
        <v>0.92155428571428555</v>
      </c>
      <c r="L54" s="4">
        <f>'1kts'!L$22</f>
        <v>0.15152228571428572</v>
      </c>
    </row>
    <row r="55" spans="1:12" x14ac:dyDescent="0.25">
      <c r="A55">
        <f t="shared" si="8"/>
        <v>42</v>
      </c>
      <c r="B55">
        <f t="shared" si="0"/>
        <v>0.73303828583761843</v>
      </c>
      <c r="C55">
        <f t="shared" si="5"/>
        <v>0.87207417218543049</v>
      </c>
      <c r="D55">
        <f t="shared" si="6"/>
        <v>0.20166000000000001</v>
      </c>
      <c r="E55" s="4" t="s">
        <v>30</v>
      </c>
      <c r="F55">
        <f>C55*'Données géométriques'!$B$6/(2+('Données géométriques'!$B$6^2+4)^0.5)</f>
        <v>0.48339334569693593</v>
      </c>
      <c r="G55">
        <f>F55^2/(PI()*'Données géométriques'!$B$6)</f>
        <v>2.3239116415641269E-2</v>
      </c>
      <c r="H55">
        <f t="shared" si="7"/>
        <v>0.22489911641564128</v>
      </c>
      <c r="I55" s="4" t="s">
        <v>30</v>
      </c>
      <c r="J55" s="4">
        <f>'1kts'!J$22</f>
        <v>-0.41152228571428573</v>
      </c>
      <c r="K55" s="4">
        <f>'1kts'!K$22</f>
        <v>0.92155428571428555</v>
      </c>
      <c r="L55" s="4">
        <f>'1kts'!L$22</f>
        <v>0.15152228571428572</v>
      </c>
    </row>
    <row r="56" spans="1:12" x14ac:dyDescent="0.25">
      <c r="A56">
        <f t="shared" si="8"/>
        <v>44</v>
      </c>
      <c r="B56">
        <f t="shared" si="0"/>
        <v>0.76794487087750496</v>
      </c>
      <c r="C56">
        <f t="shared" si="5"/>
        <v>0.83573774834437087</v>
      </c>
      <c r="D56">
        <f t="shared" si="6"/>
        <v>0.21393999999999999</v>
      </c>
      <c r="E56" s="4" t="s">
        <v>30</v>
      </c>
      <c r="F56">
        <f>C56*'Données géométriques'!$B$6/(2+('Données géométriques'!$B$6^2+4)^0.5)</f>
        <v>0.46325195629289689</v>
      </c>
      <c r="G56">
        <f>F56^2/(PI()*'Données géométriques'!$B$6)</f>
        <v>2.1342869069226091E-2</v>
      </c>
      <c r="H56">
        <f t="shared" si="7"/>
        <v>0.23528286906922607</v>
      </c>
      <c r="I56" s="4" t="s">
        <v>30</v>
      </c>
      <c r="J56" s="4">
        <f>'1kts'!J$22</f>
        <v>-0.41152228571428573</v>
      </c>
      <c r="K56" s="4">
        <f>'1kts'!K$22</f>
        <v>0.92155428571428555</v>
      </c>
      <c r="L56" s="4">
        <f>'1kts'!L$22</f>
        <v>0.15152228571428572</v>
      </c>
    </row>
    <row r="57" spans="1:12" x14ac:dyDescent="0.25">
      <c r="A57">
        <f t="shared" si="8"/>
        <v>46</v>
      </c>
      <c r="B57">
        <f t="shared" si="0"/>
        <v>0.8028514559173916</v>
      </c>
      <c r="C57">
        <f t="shared" si="5"/>
        <v>0.79940132450331125</v>
      </c>
      <c r="D57">
        <f t="shared" si="6"/>
        <v>0.22622</v>
      </c>
      <c r="E57" s="4" t="s">
        <v>30</v>
      </c>
      <c r="F57">
        <f>C57*'Données géométriques'!$B$6/(2+('Données géométriques'!$B$6^2+4)^0.5)</f>
        <v>0.44311056688885792</v>
      </c>
      <c r="G57">
        <f>F57^2/(PI()*'Données géométriques'!$B$6)</f>
        <v>1.952731309925412E-2</v>
      </c>
      <c r="H57">
        <f t="shared" si="7"/>
        <v>0.24574731309925413</v>
      </c>
      <c r="I57" s="4" t="s">
        <v>30</v>
      </c>
      <c r="J57" s="4">
        <f>'1kts'!J$22</f>
        <v>-0.41152228571428573</v>
      </c>
      <c r="K57" s="4">
        <f>'1kts'!K$22</f>
        <v>0.92155428571428555</v>
      </c>
      <c r="L57" s="4">
        <f>'1kts'!L$22</f>
        <v>0.15152228571428572</v>
      </c>
    </row>
    <row r="58" spans="1:12" x14ac:dyDescent="0.25">
      <c r="A58">
        <f t="shared" si="8"/>
        <v>48</v>
      </c>
      <c r="B58">
        <f t="shared" si="0"/>
        <v>0.83775804095727824</v>
      </c>
      <c r="C58">
        <f t="shared" si="5"/>
        <v>0.76306490066225163</v>
      </c>
      <c r="D58">
        <f t="shared" si="6"/>
        <v>0.23849999999999999</v>
      </c>
      <c r="E58" s="4" t="s">
        <v>30</v>
      </c>
      <c r="F58">
        <f>C58*'Données géométriques'!$B$6/(2+('Données géométriques'!$B$6^2+4)^0.5)</f>
        <v>0.42296917748481888</v>
      </c>
      <c r="G58">
        <f>F58^2/(PI()*'Données géométriques'!$B$6)</f>
        <v>1.7792448505725342E-2</v>
      </c>
      <c r="H58">
        <f t="shared" si="7"/>
        <v>0.25629244850572536</v>
      </c>
      <c r="I58" s="4" t="s">
        <v>30</v>
      </c>
      <c r="J58" s="4">
        <f>'1kts'!J$22</f>
        <v>-0.41152228571428573</v>
      </c>
      <c r="K58" s="4">
        <f>'1kts'!K$22</f>
        <v>0.92155428571428555</v>
      </c>
      <c r="L58" s="4">
        <f>'1kts'!L$22</f>
        <v>0.15152228571428572</v>
      </c>
    </row>
    <row r="59" spans="1:12" x14ac:dyDescent="0.25">
      <c r="A59">
        <f t="shared" si="8"/>
        <v>50</v>
      </c>
      <c r="B59">
        <f t="shared" si="0"/>
        <v>0.87266462599716477</v>
      </c>
      <c r="C59">
        <f t="shared" si="5"/>
        <v>0.72672847682119202</v>
      </c>
      <c r="D59">
        <f t="shared" si="6"/>
        <v>0.25078</v>
      </c>
      <c r="E59" s="4" t="s">
        <v>30</v>
      </c>
      <c r="F59">
        <f>C59*'Données géométriques'!$B$6/(2+('Données géométriques'!$B$6^2+4)^0.5)</f>
        <v>0.4028277880807799</v>
      </c>
      <c r="G59">
        <f>F59^2/(PI()*'Données géométriques'!$B$6)</f>
        <v>1.6138275288639765E-2</v>
      </c>
      <c r="H59">
        <f t="shared" si="7"/>
        <v>0.26691827528863976</v>
      </c>
      <c r="I59" s="4" t="s">
        <v>30</v>
      </c>
      <c r="J59" s="4">
        <f>'1kts'!J$22</f>
        <v>-0.41152228571428573</v>
      </c>
      <c r="K59" s="4">
        <f>'1kts'!K$22</f>
        <v>0.92155428571428555</v>
      </c>
      <c r="L59" s="4">
        <f>'1kts'!L$22</f>
        <v>0.15152228571428572</v>
      </c>
    </row>
    <row r="60" spans="1:12" x14ac:dyDescent="0.25">
      <c r="A60">
        <f t="shared" si="8"/>
        <v>52</v>
      </c>
      <c r="B60">
        <f t="shared" si="0"/>
        <v>0.90757121103705141</v>
      </c>
      <c r="C60">
        <f t="shared" si="5"/>
        <v>0.6903920529801324</v>
      </c>
      <c r="D60">
        <f t="shared" si="6"/>
        <v>0.26305999999999996</v>
      </c>
      <c r="E60" s="4" t="s">
        <v>30</v>
      </c>
      <c r="F60">
        <f>C60*'Données géométriques'!$B$6/(2+('Données géométriques'!$B$6^2+4)^0.5)</f>
        <v>0.38268639867674087</v>
      </c>
      <c r="G60">
        <f>F60^2/(PI()*'Données géométriques'!$B$6)</f>
        <v>1.4564793447997387E-2</v>
      </c>
      <c r="H60">
        <f t="shared" si="7"/>
        <v>0.27762479344799734</v>
      </c>
      <c r="I60" s="4" t="s">
        <v>30</v>
      </c>
      <c r="J60" s="4">
        <f>'1kts'!J$22</f>
        <v>-0.41152228571428573</v>
      </c>
      <c r="K60" s="4">
        <f>'1kts'!K$22</f>
        <v>0.92155428571428555</v>
      </c>
      <c r="L60" s="4">
        <f>'1kts'!L$22</f>
        <v>0.15152228571428572</v>
      </c>
    </row>
    <row r="61" spans="1:12" x14ac:dyDescent="0.25">
      <c r="A61">
        <f t="shared" si="8"/>
        <v>54</v>
      </c>
      <c r="B61">
        <f t="shared" si="0"/>
        <v>0.94247779607693793</v>
      </c>
      <c r="C61">
        <f t="shared" si="5"/>
        <v>0.65405562913907289</v>
      </c>
      <c r="D61">
        <f t="shared" si="6"/>
        <v>0.27533999999999997</v>
      </c>
      <c r="E61" s="4" t="s">
        <v>30</v>
      </c>
      <c r="F61">
        <f>C61*'Données géométriques'!$B$6/(2+('Données géométriques'!$B$6^2+4)^0.5)</f>
        <v>0.36254500927270195</v>
      </c>
      <c r="G61">
        <f>F61^2/(PI()*'Données géométriques'!$B$6)</f>
        <v>1.3072002983798214E-2</v>
      </c>
      <c r="H61">
        <f t="shared" si="7"/>
        <v>0.28841200298379821</v>
      </c>
      <c r="I61" s="4" t="s">
        <v>30</v>
      </c>
      <c r="J61" s="4">
        <f>'1kts'!J$22</f>
        <v>-0.41152228571428573</v>
      </c>
      <c r="K61" s="4">
        <f>'1kts'!K$22</f>
        <v>0.92155428571428555</v>
      </c>
      <c r="L61" s="4">
        <f>'1kts'!L$22</f>
        <v>0.15152228571428572</v>
      </c>
    </row>
    <row r="62" spans="1:12" x14ac:dyDescent="0.25">
      <c r="A62">
        <f t="shared" si="8"/>
        <v>56</v>
      </c>
      <c r="B62">
        <f t="shared" si="0"/>
        <v>0.97738438111682457</v>
      </c>
      <c r="C62">
        <f t="shared" si="5"/>
        <v>0.61771920529801327</v>
      </c>
      <c r="D62">
        <f t="shared" si="6"/>
        <v>0.28761999999999999</v>
      </c>
      <c r="E62" s="4" t="s">
        <v>30</v>
      </c>
      <c r="F62">
        <f>C62*'Données géométriques'!$B$6/(2+('Données géométriques'!$B$6^2+4)^0.5)</f>
        <v>0.34240361986866297</v>
      </c>
      <c r="G62">
        <f>F62^2/(PI()*'Données géométriques'!$B$6)</f>
        <v>1.1659903896042234E-2</v>
      </c>
      <c r="H62">
        <f t="shared" si="7"/>
        <v>0.2992799038960422</v>
      </c>
      <c r="I62" s="4" t="s">
        <v>30</v>
      </c>
      <c r="J62" s="4">
        <f>'1kts'!J$22</f>
        <v>-0.41152228571428573</v>
      </c>
      <c r="K62" s="4">
        <f>'1kts'!K$22</f>
        <v>0.92155428571428555</v>
      </c>
      <c r="L62" s="4">
        <f>'1kts'!L$22</f>
        <v>0.15152228571428572</v>
      </c>
    </row>
    <row r="63" spans="1:12" x14ac:dyDescent="0.25">
      <c r="A63">
        <f t="shared" si="8"/>
        <v>58</v>
      </c>
      <c r="B63">
        <f t="shared" si="0"/>
        <v>1.0122909661567112</v>
      </c>
      <c r="C63">
        <f t="shared" si="5"/>
        <v>0.58138278145695366</v>
      </c>
      <c r="D63">
        <f t="shared" si="6"/>
        <v>0.2999</v>
      </c>
      <c r="E63" s="4" t="s">
        <v>30</v>
      </c>
      <c r="F63">
        <f>C63*'Données géométriques'!$B$6/(2+('Données géométriques'!$B$6^2+4)^0.5)</f>
        <v>0.32226223046462393</v>
      </c>
      <c r="G63">
        <f>F63^2/(PI()*'Données géométriques'!$B$6)</f>
        <v>1.0328496184729452E-2</v>
      </c>
      <c r="H63">
        <f t="shared" si="7"/>
        <v>0.31022849618472947</v>
      </c>
      <c r="I63" s="4" t="s">
        <v>30</v>
      </c>
      <c r="J63" s="4">
        <f>'1kts'!J$22</f>
        <v>-0.41152228571428573</v>
      </c>
      <c r="K63" s="4">
        <f>'1kts'!K$22</f>
        <v>0.92155428571428555</v>
      </c>
      <c r="L63" s="4">
        <f>'1kts'!L$22</f>
        <v>0.15152228571428572</v>
      </c>
    </row>
    <row r="64" spans="1:12" x14ac:dyDescent="0.25">
      <c r="A64">
        <f t="shared" si="8"/>
        <v>60</v>
      </c>
      <c r="B64">
        <f t="shared" si="0"/>
        <v>1.0471975511965976</v>
      </c>
      <c r="C64">
        <f t="shared" si="5"/>
        <v>0.54504635761589404</v>
      </c>
      <c r="D64">
        <f t="shared" si="6"/>
        <v>0.31218000000000001</v>
      </c>
      <c r="E64" s="4" t="s">
        <v>30</v>
      </c>
      <c r="F64">
        <f>C64*'Données géométriques'!$B$6/(2+('Données géométriques'!$B$6^2+4)^0.5)</f>
        <v>0.30212084106058495</v>
      </c>
      <c r="G64">
        <f>F64^2/(PI()*'Données géométriques'!$B$6)</f>
        <v>9.0777798498598693E-3</v>
      </c>
      <c r="H64">
        <f t="shared" si="7"/>
        <v>0.32125777984985987</v>
      </c>
      <c r="I64" s="4" t="s">
        <v>30</v>
      </c>
      <c r="J64" s="4">
        <f>'1kts'!J$22</f>
        <v>-0.41152228571428573</v>
      </c>
      <c r="K64" s="4">
        <f>'1kts'!K$22</f>
        <v>0.92155428571428555</v>
      </c>
      <c r="L64" s="4">
        <f>'1kts'!L$22</f>
        <v>0.15152228571428572</v>
      </c>
    </row>
    <row r="65" spans="1:12" x14ac:dyDescent="0.25">
      <c r="A65">
        <f t="shared" si="8"/>
        <v>62</v>
      </c>
      <c r="B65">
        <f t="shared" si="0"/>
        <v>1.0821041362364843</v>
      </c>
      <c r="C65">
        <f t="shared" si="5"/>
        <v>0.50870993377483442</v>
      </c>
      <c r="D65">
        <f t="shared" si="6"/>
        <v>0.32445999999999997</v>
      </c>
      <c r="E65" s="4" t="s">
        <v>30</v>
      </c>
      <c r="F65">
        <f>C65*'Données géométriques'!$B$6/(2+('Données géométriques'!$B$6^2+4)^0.5)</f>
        <v>0.28197945165654592</v>
      </c>
      <c r="G65">
        <f>F65^2/(PI()*'Données géométriques'!$B$6)</f>
        <v>7.9077548914334855E-3</v>
      </c>
      <c r="H65">
        <f t="shared" si="7"/>
        <v>0.33236775489143344</v>
      </c>
      <c r="I65" s="4" t="s">
        <v>30</v>
      </c>
      <c r="J65" s="4">
        <f>'1kts'!J$22</f>
        <v>-0.41152228571428573</v>
      </c>
      <c r="K65" s="4">
        <f>'1kts'!K$22</f>
        <v>0.92155428571428555</v>
      </c>
      <c r="L65" s="4">
        <f>'1kts'!L$22</f>
        <v>0.15152228571428572</v>
      </c>
    </row>
    <row r="66" spans="1:12" x14ac:dyDescent="0.25">
      <c r="A66">
        <f t="shared" si="8"/>
        <v>64</v>
      </c>
      <c r="B66">
        <f t="shared" si="0"/>
        <v>1.1170107212763709</v>
      </c>
      <c r="C66">
        <f t="shared" si="5"/>
        <v>0.47237350993377486</v>
      </c>
      <c r="D66">
        <f t="shared" si="6"/>
        <v>0.33673999999999998</v>
      </c>
      <c r="E66" s="4" t="s">
        <v>30</v>
      </c>
      <c r="F66">
        <f>C66*'Données géométriques'!$B$6/(2+('Données géométriques'!$B$6^2+4)^0.5)</f>
        <v>0.26183806225250694</v>
      </c>
      <c r="G66">
        <f>F66^2/(PI()*'Données géométriques'!$B$6)</f>
        <v>6.8184213094503012E-3</v>
      </c>
      <c r="H66">
        <f t="shared" si="7"/>
        <v>0.3435584213094503</v>
      </c>
      <c r="I66" s="4" t="s">
        <v>30</v>
      </c>
      <c r="J66" s="4">
        <f>'1kts'!J$22</f>
        <v>-0.41152228571428573</v>
      </c>
      <c r="K66" s="4">
        <f>'1kts'!K$22</f>
        <v>0.92155428571428555</v>
      </c>
      <c r="L66" s="4">
        <f>'1kts'!L$22</f>
        <v>0.15152228571428572</v>
      </c>
    </row>
    <row r="67" spans="1:12" x14ac:dyDescent="0.25">
      <c r="A67">
        <f t="shared" si="8"/>
        <v>66</v>
      </c>
      <c r="B67">
        <f t="shared" si="0"/>
        <v>1.1519173063162575</v>
      </c>
      <c r="C67">
        <f t="shared" si="5"/>
        <v>0.43603708609271524</v>
      </c>
      <c r="D67">
        <f t="shared" si="6"/>
        <v>0.34902</v>
      </c>
      <c r="E67" s="4" t="s">
        <v>30</v>
      </c>
      <c r="F67">
        <f>C67*'Données géométriques'!$B$6/(2+('Données géométriques'!$B$6^2+4)^0.5)</f>
        <v>0.24169667284846796</v>
      </c>
      <c r="G67">
        <f>F67^2/(PI()*'Données géométriques'!$B$6)</f>
        <v>5.8097791039103171E-3</v>
      </c>
      <c r="H67">
        <f t="shared" si="7"/>
        <v>0.35482977910391034</v>
      </c>
      <c r="I67" s="4" t="s">
        <v>30</v>
      </c>
      <c r="J67" s="4">
        <f>'1kts'!J$22</f>
        <v>-0.41152228571428573</v>
      </c>
      <c r="K67" s="4">
        <f>'1kts'!K$22</f>
        <v>0.92155428571428555</v>
      </c>
      <c r="L67" s="4">
        <f>'1kts'!L$22</f>
        <v>0.15152228571428572</v>
      </c>
    </row>
    <row r="68" spans="1:12" x14ac:dyDescent="0.25">
      <c r="A68">
        <f t="shared" si="8"/>
        <v>68</v>
      </c>
      <c r="B68">
        <f t="shared" si="0"/>
        <v>1.1868238913561442</v>
      </c>
      <c r="C68">
        <f t="shared" si="5"/>
        <v>0.39970066225165563</v>
      </c>
      <c r="D68">
        <f t="shared" si="6"/>
        <v>0.36130000000000001</v>
      </c>
      <c r="E68" s="4" t="s">
        <v>30</v>
      </c>
      <c r="F68">
        <f>C68*'Données géométriques'!$B$6/(2+('Données géométriques'!$B$6^2+4)^0.5)</f>
        <v>0.22155528344442896</v>
      </c>
      <c r="G68">
        <f>F68^2/(PI()*'Données géométriques'!$B$6)</f>
        <v>4.88182827481353E-3</v>
      </c>
      <c r="H68">
        <f t="shared" si="7"/>
        <v>0.36618182827481355</v>
      </c>
      <c r="I68" s="4" t="s">
        <v>30</v>
      </c>
      <c r="J68" s="4">
        <f>'1kts'!J$22</f>
        <v>-0.41152228571428573</v>
      </c>
      <c r="K68" s="4">
        <f>'1kts'!K$22</f>
        <v>0.92155428571428555</v>
      </c>
      <c r="L68" s="4">
        <f>'1kts'!L$22</f>
        <v>0.15152228571428572</v>
      </c>
    </row>
    <row r="69" spans="1:12" x14ac:dyDescent="0.25">
      <c r="A69">
        <f t="shared" si="8"/>
        <v>70</v>
      </c>
      <c r="B69">
        <f t="shared" ref="B69:B79" si="9">RADIANS(A69)</f>
        <v>1.2217304763960306</v>
      </c>
      <c r="C69">
        <f t="shared" si="5"/>
        <v>0.36336423841059601</v>
      </c>
      <c r="D69">
        <f t="shared" si="6"/>
        <v>0.37357999999999997</v>
      </c>
      <c r="E69" s="4" t="s">
        <v>30</v>
      </c>
      <c r="F69">
        <f>C69*'Données géométriques'!$B$6/(2+('Données géométriques'!$B$6^2+4)^0.5)</f>
        <v>0.20141389404038995</v>
      </c>
      <c r="G69">
        <f>F69^2/(PI()*'Données géométriques'!$B$6)</f>
        <v>4.0345688221599414E-3</v>
      </c>
      <c r="H69">
        <f t="shared" si="7"/>
        <v>0.37761456882215994</v>
      </c>
      <c r="I69" s="4" t="s">
        <v>30</v>
      </c>
      <c r="J69" s="4">
        <f>'1kts'!J$22</f>
        <v>-0.41152228571428573</v>
      </c>
      <c r="K69" s="4">
        <f>'1kts'!K$22</f>
        <v>0.92155428571428555</v>
      </c>
      <c r="L69" s="4">
        <f>'1kts'!L$22</f>
        <v>0.15152228571428572</v>
      </c>
    </row>
    <row r="70" spans="1:12" x14ac:dyDescent="0.25">
      <c r="A70">
        <f t="shared" si="8"/>
        <v>72</v>
      </c>
      <c r="B70">
        <f t="shared" si="9"/>
        <v>1.2566370614359172</v>
      </c>
      <c r="C70">
        <f t="shared" si="5"/>
        <v>0.32702781456953645</v>
      </c>
      <c r="D70">
        <f t="shared" si="6"/>
        <v>0.38585999999999998</v>
      </c>
      <c r="E70" s="4" t="s">
        <v>30</v>
      </c>
      <c r="F70">
        <f>C70*'Données géométriques'!$B$6/(2+('Données géométriques'!$B$6^2+4)^0.5)</f>
        <v>0.18127250463635097</v>
      </c>
      <c r="G70">
        <f>F70^2/(PI()*'Données géométriques'!$B$6)</f>
        <v>3.2680007459495535E-3</v>
      </c>
      <c r="H70">
        <f t="shared" si="7"/>
        <v>0.38912800074594955</v>
      </c>
      <c r="I70" s="4" t="s">
        <v>30</v>
      </c>
      <c r="J70" s="4">
        <f>'1kts'!J$22</f>
        <v>-0.41152228571428573</v>
      </c>
      <c r="K70" s="4">
        <f>'1kts'!K$22</f>
        <v>0.92155428571428555</v>
      </c>
      <c r="L70" s="4">
        <f>'1kts'!L$22</f>
        <v>0.15152228571428572</v>
      </c>
    </row>
    <row r="71" spans="1:12" x14ac:dyDescent="0.25">
      <c r="A71">
        <f t="shared" si="8"/>
        <v>74</v>
      </c>
      <c r="B71">
        <f t="shared" si="9"/>
        <v>1.2915436464758039</v>
      </c>
      <c r="C71">
        <f t="shared" si="5"/>
        <v>0.29069139072847683</v>
      </c>
      <c r="D71">
        <f t="shared" si="6"/>
        <v>0.39813999999999999</v>
      </c>
      <c r="E71" s="4" t="s">
        <v>30</v>
      </c>
      <c r="F71">
        <f>C71*'Données géométriques'!$B$6/(2+('Données géométriques'!$B$6^2+4)^0.5)</f>
        <v>0.16113111523231197</v>
      </c>
      <c r="G71">
        <f>F71^2/(PI()*'Données géométriques'!$B$6)</f>
        <v>2.5821240461823629E-3</v>
      </c>
      <c r="H71">
        <f t="shared" si="7"/>
        <v>0.40072212404618235</v>
      </c>
      <c r="I71" s="4" t="s">
        <v>30</v>
      </c>
      <c r="J71" s="4">
        <f>'1kts'!J$22</f>
        <v>-0.41152228571428573</v>
      </c>
      <c r="K71" s="4">
        <f>'1kts'!K$22</f>
        <v>0.92155428571428555</v>
      </c>
      <c r="L71" s="4">
        <f>'1kts'!L$22</f>
        <v>0.15152228571428572</v>
      </c>
    </row>
    <row r="72" spans="1:12" x14ac:dyDescent="0.25">
      <c r="A72">
        <f t="shared" si="8"/>
        <v>76</v>
      </c>
      <c r="B72">
        <f t="shared" si="9"/>
        <v>1.3264502315156905</v>
      </c>
      <c r="C72">
        <f t="shared" si="5"/>
        <v>0.25435496688741721</v>
      </c>
      <c r="D72">
        <f t="shared" si="6"/>
        <v>0.41042000000000001</v>
      </c>
      <c r="E72" s="4" t="s">
        <v>30</v>
      </c>
      <c r="F72">
        <f>C72*'Données géométriques'!$B$6/(2+('Données géométriques'!$B$6^2+4)^0.5)</f>
        <v>0.14098972582827296</v>
      </c>
      <c r="G72">
        <f>F72^2/(PI()*'Données géométriques'!$B$6)</f>
        <v>1.9769387228583714E-3</v>
      </c>
      <c r="H72">
        <f t="shared" si="7"/>
        <v>0.41239693872285837</v>
      </c>
      <c r="I72" s="4" t="s">
        <v>30</v>
      </c>
      <c r="J72" s="4">
        <f>'1kts'!J$22</f>
        <v>-0.41152228571428573</v>
      </c>
      <c r="K72" s="4">
        <f>'1kts'!K$22</f>
        <v>0.92155428571428555</v>
      </c>
      <c r="L72" s="4">
        <f>'1kts'!L$22</f>
        <v>0.15152228571428572</v>
      </c>
    </row>
    <row r="73" spans="1:12" x14ac:dyDescent="0.25">
      <c r="A73">
        <f t="shared" si="8"/>
        <v>78</v>
      </c>
      <c r="B73">
        <f t="shared" si="9"/>
        <v>1.3613568165555769</v>
      </c>
      <c r="C73">
        <f t="shared" si="5"/>
        <v>0.21801854304635762</v>
      </c>
      <c r="D73">
        <f t="shared" si="6"/>
        <v>0.42269999999999996</v>
      </c>
      <c r="E73" s="4" t="s">
        <v>30</v>
      </c>
      <c r="F73">
        <f>C73*'Données géométriques'!$B$6/(2+('Données géométriques'!$B$6^2+4)^0.5)</f>
        <v>0.12084833642423398</v>
      </c>
      <c r="G73">
        <f>F73^2/(PI()*'Données géométriques'!$B$6)</f>
        <v>1.4524447759775793E-3</v>
      </c>
      <c r="H73">
        <f t="shared" si="7"/>
        <v>0.42415244477597752</v>
      </c>
      <c r="I73" s="4" t="s">
        <v>30</v>
      </c>
      <c r="J73" s="4">
        <f>'1kts'!J$22</f>
        <v>-0.41152228571428573</v>
      </c>
      <c r="K73" s="4">
        <f>'1kts'!K$22</f>
        <v>0.92155428571428555</v>
      </c>
      <c r="L73" s="4">
        <f>'1kts'!L$22</f>
        <v>0.15152228571428572</v>
      </c>
    </row>
    <row r="74" spans="1:12" x14ac:dyDescent="0.25">
      <c r="A74">
        <f t="shared" si="8"/>
        <v>80</v>
      </c>
      <c r="B74">
        <f t="shared" si="9"/>
        <v>1.3962634015954636</v>
      </c>
      <c r="C74">
        <f t="shared" si="5"/>
        <v>0.181682119205298</v>
      </c>
      <c r="D74">
        <f t="shared" si="6"/>
        <v>0.43497999999999998</v>
      </c>
      <c r="E74" s="4" t="s">
        <v>30</v>
      </c>
      <c r="F74">
        <f>C74*'Données géométriques'!$B$6/(2+('Données géométriques'!$B$6^2+4)^0.5)</f>
        <v>0.10070694702019498</v>
      </c>
      <c r="G74">
        <f>F74^2/(PI()*'Données géométriques'!$B$6)</f>
        <v>1.0086422055399853E-3</v>
      </c>
      <c r="H74">
        <f t="shared" si="7"/>
        <v>0.43598864220553996</v>
      </c>
      <c r="I74" s="4" t="s">
        <v>30</v>
      </c>
      <c r="J74" s="4">
        <f>'1kts'!J$22</f>
        <v>-0.41152228571428573</v>
      </c>
      <c r="K74" s="4">
        <f>'1kts'!K$22</f>
        <v>0.92155428571428555</v>
      </c>
      <c r="L74" s="4">
        <f>'1kts'!L$22</f>
        <v>0.15152228571428572</v>
      </c>
    </row>
    <row r="75" spans="1:12" x14ac:dyDescent="0.25">
      <c r="A75">
        <f t="shared" si="8"/>
        <v>82</v>
      </c>
      <c r="B75">
        <f t="shared" si="9"/>
        <v>1.4311699866353502</v>
      </c>
      <c r="C75">
        <f t="shared" si="5"/>
        <v>0.14534569536423841</v>
      </c>
      <c r="D75">
        <f t="shared" si="6"/>
        <v>0.44725999999999999</v>
      </c>
      <c r="E75" s="4" t="s">
        <v>30</v>
      </c>
      <c r="F75">
        <f>C75*'Données géométriques'!$B$6/(2+('Données géométriques'!$B$6^2+4)^0.5)</f>
        <v>8.0565557616155983E-2</v>
      </c>
      <c r="G75">
        <f>F75^2/(PI()*'Données géométriques'!$B$6)</f>
        <v>6.4553101154559073E-4</v>
      </c>
      <c r="H75">
        <f t="shared" si="7"/>
        <v>0.44790553101154557</v>
      </c>
      <c r="I75" s="4" t="s">
        <v>30</v>
      </c>
      <c r="J75" s="4">
        <f>'1kts'!J$22</f>
        <v>-0.41152228571428573</v>
      </c>
      <c r="K75" s="4">
        <f>'1kts'!K$22</f>
        <v>0.92155428571428555</v>
      </c>
      <c r="L75" s="4">
        <f>'1kts'!L$22</f>
        <v>0.15152228571428572</v>
      </c>
    </row>
    <row r="76" spans="1:12" x14ac:dyDescent="0.25">
      <c r="A76">
        <f t="shared" si="8"/>
        <v>84</v>
      </c>
      <c r="B76">
        <f t="shared" si="9"/>
        <v>1.4660765716752369</v>
      </c>
      <c r="C76">
        <f t="shared" si="5"/>
        <v>0.10900927152317881</v>
      </c>
      <c r="D76">
        <f t="shared" si="6"/>
        <v>0.45954</v>
      </c>
      <c r="E76" s="4" t="s">
        <v>30</v>
      </c>
      <c r="F76">
        <f>C76*'Données géométriques'!$B$6/(2+('Données géométriques'!$B$6^2+4)^0.5)</f>
        <v>6.0424168212116991E-2</v>
      </c>
      <c r="G76">
        <f>F76^2/(PI()*'Données géométriques'!$B$6)</f>
        <v>3.6311119399439482E-4</v>
      </c>
      <c r="H76">
        <f t="shared" si="7"/>
        <v>0.45990311119399441</v>
      </c>
      <c r="I76" s="4" t="s">
        <v>30</v>
      </c>
      <c r="J76" s="4">
        <f>'1kts'!J$22</f>
        <v>-0.41152228571428573</v>
      </c>
      <c r="K76" s="4">
        <f>'1kts'!K$22</f>
        <v>0.92155428571428555</v>
      </c>
      <c r="L76" s="4">
        <f>'1kts'!L$22</f>
        <v>0.15152228571428572</v>
      </c>
    </row>
    <row r="77" spans="1:12" x14ac:dyDescent="0.25">
      <c r="A77">
        <f t="shared" si="8"/>
        <v>86</v>
      </c>
      <c r="B77">
        <f t="shared" si="9"/>
        <v>1.5009831567151235</v>
      </c>
      <c r="C77">
        <f t="shared" si="5"/>
        <v>7.2672847682119207E-2</v>
      </c>
      <c r="D77">
        <f t="shared" si="6"/>
        <v>0.47181999999999996</v>
      </c>
      <c r="E77" s="4" t="s">
        <v>30</v>
      </c>
      <c r="F77">
        <f>C77*'Données géométriques'!$B$6/(2+('Données géométriques'!$B$6^2+4)^0.5)</f>
        <v>4.0282778808077992E-2</v>
      </c>
      <c r="G77">
        <f>F77^2/(PI()*'Données géométriques'!$B$6)</f>
        <v>1.6138275288639768E-4</v>
      </c>
      <c r="H77">
        <f t="shared" si="7"/>
        <v>0.47198138275288637</v>
      </c>
      <c r="I77" s="4" t="s">
        <v>30</v>
      </c>
      <c r="J77" s="4">
        <f>'1kts'!J$22</f>
        <v>-0.41152228571428573</v>
      </c>
      <c r="K77" s="4">
        <f>'1kts'!K$22</f>
        <v>0.92155428571428555</v>
      </c>
      <c r="L77" s="4">
        <f>'1kts'!L$22</f>
        <v>0.15152228571428572</v>
      </c>
    </row>
    <row r="78" spans="1:12" x14ac:dyDescent="0.25">
      <c r="A78">
        <f t="shared" si="8"/>
        <v>88</v>
      </c>
      <c r="B78">
        <f t="shared" si="9"/>
        <v>1.5358897417550099</v>
      </c>
      <c r="C78">
        <f t="shared" si="5"/>
        <v>3.6336423841059604E-2</v>
      </c>
      <c r="D78">
        <f t="shared" si="6"/>
        <v>0.48409999999999997</v>
      </c>
      <c r="E78" s="4" t="s">
        <v>30</v>
      </c>
      <c r="F78">
        <f>C78*'Données géométriques'!$B$6/(2+('Données géométriques'!$B$6^2+4)^0.5)</f>
        <v>2.0141389404038996E-2</v>
      </c>
      <c r="G78">
        <f>F78^2/(PI()*'Données géométriques'!$B$6)</f>
        <v>4.0345688221599421E-5</v>
      </c>
      <c r="H78">
        <f t="shared" si="7"/>
        <v>0.48414034568822156</v>
      </c>
      <c r="I78" s="4" t="s">
        <v>30</v>
      </c>
      <c r="J78" s="4">
        <f>'1kts'!J$22</f>
        <v>-0.41152228571428573</v>
      </c>
      <c r="K78" s="4">
        <f>'1kts'!K$22</f>
        <v>0.92155428571428555</v>
      </c>
      <c r="L78" s="4">
        <f>'1kts'!L$22</f>
        <v>0.15152228571428572</v>
      </c>
    </row>
    <row r="79" spans="1:12" x14ac:dyDescent="0.25">
      <c r="A79">
        <f t="shared" si="8"/>
        <v>90</v>
      </c>
      <c r="B79">
        <f t="shared" si="9"/>
        <v>1.5707963267948966</v>
      </c>
      <c r="C79">
        <f t="shared" si="5"/>
        <v>0</v>
      </c>
      <c r="D79">
        <f t="shared" si="6"/>
        <v>0.49637999999999999</v>
      </c>
      <c r="E79" s="4" t="s">
        <v>30</v>
      </c>
      <c r="F79">
        <f>C79*'Données géométriques'!$B$6/(2+('Données géométriques'!$B$6^2+4)^0.5)</f>
        <v>0</v>
      </c>
      <c r="G79">
        <f>F79^2/(PI()*'Données géométriques'!$B$6)</f>
        <v>0</v>
      </c>
      <c r="H79">
        <f t="shared" si="7"/>
        <v>0.49637999999999999</v>
      </c>
      <c r="I79" s="4" t="s">
        <v>30</v>
      </c>
      <c r="J79" s="4">
        <f>'1kts'!J$22</f>
        <v>-0.41152228571428573</v>
      </c>
      <c r="K79" s="4">
        <f>'1kts'!K$22</f>
        <v>0.92155428571428555</v>
      </c>
      <c r="L79" s="4">
        <f>'1kts'!L$22</f>
        <v>0.15152228571428572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F4AE-F25D-40F3-8D98-0BFD38619A9B}">
  <sheetPr codeName="Feuil7"/>
  <dimension ref="A1:O79"/>
  <sheetViews>
    <sheetView topLeftCell="A4" workbookViewId="0">
      <selection activeCell="O45" sqref="O45"/>
    </sheetView>
  </sheetViews>
  <sheetFormatPr baseColWidth="10" defaultRowHeight="15" x14ac:dyDescent="0.25"/>
  <sheetData>
    <row r="1" spans="1:15" x14ac:dyDescent="0.25">
      <c r="A1">
        <v>35</v>
      </c>
      <c r="C1">
        <f>ROUND(((A1*0.514)/15.6)*1000000,0)</f>
        <v>1153205</v>
      </c>
      <c r="N1" t="s">
        <v>28</v>
      </c>
      <c r="O1" t="s">
        <v>29</v>
      </c>
    </row>
    <row r="2" spans="1:1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22</v>
      </c>
      <c r="J2" t="s">
        <v>23</v>
      </c>
      <c r="K2" t="s">
        <v>25</v>
      </c>
      <c r="L2" t="s">
        <v>24</v>
      </c>
      <c r="N2">
        <f>INDEX(A4:A43,MATCH(MAX(F4:F43),F4:F43,0))</f>
        <v>15</v>
      </c>
      <c r="O2">
        <f>(D33-D32)/(A33-A32)</f>
        <v>6.7599999999999952E-3</v>
      </c>
    </row>
    <row r="3" spans="1:15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5" x14ac:dyDescent="0.25">
      <c r="A4">
        <v>0</v>
      </c>
      <c r="B4">
        <f>RADIANS(A4)</f>
        <v>0</v>
      </c>
      <c r="C4">
        <v>1E-4</v>
      </c>
      <c r="D4">
        <v>6.13E-3</v>
      </c>
      <c r="E4">
        <v>0</v>
      </c>
      <c r="F4">
        <f>C4*'Données géométriques'!$B$6/(2+('Données géométriques'!$B$6^2+4)^0.5)</f>
        <v>5.543030181544595E-5</v>
      </c>
      <c r="G4">
        <f>F4^2/(PI()*'Données géométriques'!$B$6)</f>
        <v>3.0557144138605595E-10</v>
      </c>
      <c r="H4">
        <f>G4+D4</f>
        <v>6.1300003055714414E-3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</row>
    <row r="5" spans="1:15" x14ac:dyDescent="0.25">
      <c r="A5">
        <v>0.5</v>
      </c>
      <c r="B5">
        <f t="shared" ref="B5:B68" si="0">RADIANS(A5)</f>
        <v>8.7266462599716477E-3</v>
      </c>
      <c r="C5">
        <v>5.4399999999999997E-2</v>
      </c>
      <c r="D5">
        <v>6.1500000000000001E-3</v>
      </c>
      <c r="E5">
        <v>2.0000000000000001E-4</v>
      </c>
      <c r="F5">
        <f>C5*'Données géométriques'!$B$6/(2+('Données géométriques'!$B$6^2+4)^0.5)</f>
        <v>3.0154084187602594E-2</v>
      </c>
      <c r="G5">
        <f>F5^2/(PI()*'Données géométriques'!$B$6)</f>
        <v>9.0429590078023835E-5</v>
      </c>
      <c r="H5">
        <f t="shared" ref="H5:H42" si="1">G5+D5</f>
        <v>6.2404295900780242E-3</v>
      </c>
      <c r="I5">
        <f>0.25-E5/(C5*COS(B5)+D5*SIN(B5))</f>
        <v>0.24632701313232022</v>
      </c>
      <c r="J5">
        <f>XCP_3D('Données géométriques'!$B$9,'Données géométriques'!$B$10,'Données géométriques'!$B$12,'Données géométriques'!$B$11,I5)</f>
        <v>-0.22475109847321023</v>
      </c>
      <c r="K5">
        <f>'5kts'!K5</f>
        <v>1.1514536950961625</v>
      </c>
      <c r="L5">
        <f t="shared" ref="L5:L33" si="2" xml:space="preserve"> -(J5+0.26)</f>
        <v>-3.5248901526789778E-2</v>
      </c>
    </row>
    <row r="6" spans="1:15" x14ac:dyDescent="0.25">
      <c r="A6">
        <v>1</v>
      </c>
      <c r="B6">
        <f t="shared" si="0"/>
        <v>1.7453292519943295E-2</v>
      </c>
      <c r="C6">
        <v>0.1086</v>
      </c>
      <c r="D6">
        <v>6.2500000000000003E-3</v>
      </c>
      <c r="E6">
        <v>5.0000000000000001E-4</v>
      </c>
      <c r="F6">
        <f>C6*'Données géométriques'!$B$6/(2+('Données géométriques'!$B$6^2+4)^0.5)</f>
        <v>6.0197307771574296E-2</v>
      </c>
      <c r="G6">
        <f>F6^2/(PI()*'Données géométriques'!$B$6)</f>
        <v>3.6038973568494875E-4</v>
      </c>
      <c r="H6">
        <f t="shared" si="1"/>
        <v>6.6103897356849491E-3</v>
      </c>
      <c r="I6">
        <f t="shared" ref="I6:I33" si="3">0.25-E6/(C6*COS(B6)+D6*SIN(B6))</f>
        <v>0.24539986817197421</v>
      </c>
      <c r="J6">
        <f>XCP_3D('Données géométriques'!$B$9,'Données géométriques'!$B$10,'Données géométriques'!$B$12,'Données géométriques'!$B$11,I6)</f>
        <v>-0.22406844121933012</v>
      </c>
      <c r="K6">
        <f>'5kts'!K6</f>
        <v>1.1514536950961625</v>
      </c>
      <c r="L6">
        <f t="shared" si="2"/>
        <v>-3.5931558780669892E-2</v>
      </c>
    </row>
    <row r="7" spans="1:15" x14ac:dyDescent="0.25">
      <c r="A7">
        <v>1.5</v>
      </c>
      <c r="B7">
        <f t="shared" si="0"/>
        <v>2.6179938779914945E-2</v>
      </c>
      <c r="C7">
        <v>0.16250000000000001</v>
      </c>
      <c r="D7">
        <v>6.4099999999999999E-3</v>
      </c>
      <c r="E7">
        <v>8.0000000000000004E-4</v>
      </c>
      <c r="F7">
        <f>C7*'Données géométriques'!$B$6/(2+('Données géométriques'!$B$6^2+4)^0.5)</f>
        <v>9.0074240450099666E-2</v>
      </c>
      <c r="G7">
        <f>F7^2/(PI()*'Données géométriques'!$B$6)</f>
        <v>8.0689958741005389E-4</v>
      </c>
      <c r="H7">
        <f t="shared" si="1"/>
        <v>7.2168995874100535E-3</v>
      </c>
      <c r="I7">
        <f t="shared" si="3"/>
        <v>0.24508031719022819</v>
      </c>
      <c r="J7">
        <f>XCP_3D('Données géométriques'!$B$9,'Données géométriques'!$B$10,'Données géométriques'!$B$12,'Données géométriques'!$B$11,I7)</f>
        <v>-0.2238331556868583</v>
      </c>
      <c r="K7">
        <f>'5kts'!K7</f>
        <v>1.1514536950961625</v>
      </c>
      <c r="L7">
        <f t="shared" si="2"/>
        <v>-3.6166844313141711E-2</v>
      </c>
    </row>
    <row r="8" spans="1:15" x14ac:dyDescent="0.25">
      <c r="A8">
        <v>2</v>
      </c>
      <c r="B8">
        <f t="shared" si="0"/>
        <v>3.4906585039886591E-2</v>
      </c>
      <c r="C8">
        <v>0.21590000000000001</v>
      </c>
      <c r="D8">
        <v>6.62E-3</v>
      </c>
      <c r="E8">
        <v>1.1999999999999999E-3</v>
      </c>
      <c r="F8">
        <f>C8*'Données géométriques'!$B$6/(2+('Données géométriques'!$B$6^2+4)^0.5)</f>
        <v>0.11967402161954781</v>
      </c>
      <c r="G8">
        <f>F8^2/(PI()*'Données géométriques'!$B$6)</f>
        <v>1.4243543538754362E-3</v>
      </c>
      <c r="H8">
        <f t="shared" si="1"/>
        <v>8.044354353875436E-3</v>
      </c>
      <c r="I8">
        <f t="shared" si="3"/>
        <v>0.24444443195011575</v>
      </c>
      <c r="J8">
        <f>XCP_3D('Données géométriques'!$B$9,'Données géométriques'!$B$10,'Données géométriques'!$B$12,'Données géométriques'!$B$11,I8)</f>
        <v>-0.22336495309679613</v>
      </c>
      <c r="K8">
        <f>'5kts'!K8</f>
        <v>1.1514536950961625</v>
      </c>
      <c r="L8">
        <f t="shared" si="2"/>
        <v>-3.6635046903203877E-2</v>
      </c>
    </row>
    <row r="9" spans="1:15" x14ac:dyDescent="0.25">
      <c r="A9">
        <v>2.5</v>
      </c>
      <c r="B9">
        <f t="shared" si="0"/>
        <v>4.3633231299858237E-2</v>
      </c>
      <c r="C9">
        <v>0.26889999999999997</v>
      </c>
      <c r="D9">
        <v>6.8700000000000002E-3</v>
      </c>
      <c r="E9">
        <v>1.8E-3</v>
      </c>
      <c r="F9">
        <f>C9*'Données géométriques'!$B$6/(2+('Données géométriques'!$B$6^2+4)^0.5)</f>
        <v>0.14905208158173414</v>
      </c>
      <c r="G9">
        <f>F9^2/(PI()*'Données géométriques'!$B$6)</f>
        <v>2.209501838230423E-3</v>
      </c>
      <c r="H9">
        <f t="shared" si="1"/>
        <v>9.0795018382304228E-3</v>
      </c>
      <c r="I9">
        <f>0.25-E9/(C9*COS(B9)+D9*SIN(B9))</f>
        <v>0.24330715021025195</v>
      </c>
      <c r="J9">
        <f>XCP_3D('Données géométriques'!$B$9,'Données géométriques'!$B$10,'Données géométriques'!$B$12,'Données géométriques'!$B$11,I9)</f>
        <v>-0.2225275720370597</v>
      </c>
      <c r="K9">
        <f>'5kts'!K9</f>
        <v>1.1514536950961625</v>
      </c>
      <c r="L9">
        <f t="shared" si="2"/>
        <v>-3.7472427962940313E-2</v>
      </c>
    </row>
    <row r="10" spans="1:15" x14ac:dyDescent="0.25">
      <c r="A10">
        <v>3</v>
      </c>
      <c r="B10">
        <f t="shared" si="0"/>
        <v>5.235987755982989E-2</v>
      </c>
      <c r="C10">
        <v>0.32129999999999997</v>
      </c>
      <c r="D10">
        <v>7.1700000000000002E-3</v>
      </c>
      <c r="E10">
        <v>2.5999999999999999E-3</v>
      </c>
      <c r="F10">
        <f>C10*'Données géométriques'!$B$6/(2+('Données géométriques'!$B$6^2+4)^0.5)</f>
        <v>0.17809755973302782</v>
      </c>
      <c r="G10">
        <f>F10^2/(PI()*'Données géométriques'!$B$6)</f>
        <v>3.154526745290126E-3</v>
      </c>
      <c r="H10">
        <f t="shared" si="1"/>
        <v>1.0324526745290125E-2</v>
      </c>
      <c r="I10">
        <f t="shared" si="3"/>
        <v>0.24190623480917328</v>
      </c>
      <c r="J10">
        <f>XCP_3D('Données géométriques'!$B$9,'Données géométriques'!$B$10,'Données géométriques'!$B$12,'Données géométriques'!$B$11,I10)</f>
        <v>-0.22149607739326263</v>
      </c>
      <c r="K10">
        <f>'5kts'!K10</f>
        <v>1.1514536950961625</v>
      </c>
      <c r="L10">
        <f t="shared" si="2"/>
        <v>-3.8503922606737379E-2</v>
      </c>
    </row>
    <row r="11" spans="1:15" x14ac:dyDescent="0.25">
      <c r="A11">
        <v>3.5</v>
      </c>
      <c r="B11">
        <f t="shared" si="0"/>
        <v>6.1086523819801536E-2</v>
      </c>
      <c r="C11">
        <v>0.37330000000000002</v>
      </c>
      <c r="D11">
        <v>7.4900000000000001E-3</v>
      </c>
      <c r="E11">
        <v>3.5000000000000001E-3</v>
      </c>
      <c r="F11">
        <f>C11*'Données géométriques'!$B$6/(2+('Données géométriques'!$B$6^2+4)^0.5)</f>
        <v>0.20692131667705974</v>
      </c>
      <c r="G11">
        <f>F11^2/(PI()*'Données géométriques'!$B$6)</f>
        <v>4.2582263458612497E-3</v>
      </c>
      <c r="H11">
        <f t="shared" si="1"/>
        <v>1.174822634586125E-2</v>
      </c>
      <c r="I11">
        <f t="shared" si="3"/>
        <v>0.24061815562148886</v>
      </c>
      <c r="J11">
        <f>XCP_3D('Données géométriques'!$B$9,'Données géométriques'!$B$10,'Données géométriques'!$B$12,'Données géométriques'!$B$11,I11)</f>
        <v>-0.22054766410445412</v>
      </c>
      <c r="K11">
        <f>'5kts'!K11</f>
        <v>1.1514536950961625</v>
      </c>
      <c r="L11">
        <f t="shared" si="2"/>
        <v>-3.9452335895545892E-2</v>
      </c>
    </row>
    <row r="12" spans="1:15" x14ac:dyDescent="0.25">
      <c r="A12">
        <v>4</v>
      </c>
      <c r="B12">
        <f t="shared" si="0"/>
        <v>6.9813170079773182E-2</v>
      </c>
      <c r="C12">
        <v>0.42730000000000001</v>
      </c>
      <c r="D12">
        <v>7.8600000000000007E-3</v>
      </c>
      <c r="E12">
        <v>4.0000000000000001E-3</v>
      </c>
      <c r="F12">
        <f>C12*'Données géométriques'!$B$6/(2+('Données géométriques'!$B$6^2+4)^0.5)</f>
        <v>0.23685367965740056</v>
      </c>
      <c r="G12">
        <f>F12^2/(PI()*'Données géométriques'!$B$6)</f>
        <v>5.5792850241191032E-3</v>
      </c>
      <c r="H12">
        <f t="shared" si="1"/>
        <v>1.3439285024119105E-2</v>
      </c>
      <c r="I12">
        <f t="shared" si="3"/>
        <v>0.24062809136564323</v>
      </c>
      <c r="J12">
        <f>XCP_3D('Données géométriques'!$B$9,'Données géométriques'!$B$10,'Données géométriques'!$B$12,'Données géométriques'!$B$11,I12)</f>
        <v>-0.22055497979737068</v>
      </c>
      <c r="K12">
        <f>'5kts'!K12</f>
        <v>1.1514536950961625</v>
      </c>
      <c r="L12">
        <f t="shared" si="2"/>
        <v>-3.9445020202629327E-2</v>
      </c>
    </row>
    <row r="13" spans="1:15" x14ac:dyDescent="0.25">
      <c r="A13">
        <v>4.5</v>
      </c>
      <c r="B13">
        <f t="shared" si="0"/>
        <v>7.8539816339744828E-2</v>
      </c>
      <c r="C13">
        <v>0.48649999999999999</v>
      </c>
      <c r="D13">
        <v>8.26E-3</v>
      </c>
      <c r="E13">
        <v>3.3E-3</v>
      </c>
      <c r="F13">
        <f>C13*'Données géométriques'!$B$6/(2+('Données géométriques'!$B$6^2+4)^0.5)</f>
        <v>0.26966841833214455</v>
      </c>
      <c r="G13">
        <f>F13^2/(PI()*'Données géométriques'!$B$6)</f>
        <v>7.232333628299485E-3</v>
      </c>
      <c r="H13">
        <f t="shared" si="1"/>
        <v>1.5492333628299486E-2</v>
      </c>
      <c r="I13">
        <f t="shared" si="3"/>
        <v>0.24320495999609598</v>
      </c>
      <c r="J13">
        <f>XCP_3D('Données géométriques'!$B$9,'Données géométriques'!$B$10,'Données géométriques'!$B$12,'Données géométriques'!$B$11,I13)</f>
        <v>-0.22245232933612979</v>
      </c>
      <c r="K13">
        <f>'5kts'!K13</f>
        <v>1.1514536950961625</v>
      </c>
      <c r="L13">
        <f t="shared" si="2"/>
        <v>-3.7547670663870214E-2</v>
      </c>
    </row>
    <row r="14" spans="1:15" x14ac:dyDescent="0.25">
      <c r="A14">
        <v>5</v>
      </c>
      <c r="B14">
        <f t="shared" si="0"/>
        <v>8.7266462599716474E-2</v>
      </c>
      <c r="C14">
        <v>0.54810000000000003</v>
      </c>
      <c r="D14">
        <v>8.6999999999999994E-3</v>
      </c>
      <c r="E14">
        <v>1.9E-3</v>
      </c>
      <c r="F14">
        <f>C14*'Données géométriques'!$B$6/(2+('Données géométriques'!$B$6^2+4)^0.5)</f>
        <v>0.30381348425045929</v>
      </c>
      <c r="G14">
        <f>F14^2/(PI()*'Données géométriques'!$B$6)</f>
        <v>9.1797819819688497E-3</v>
      </c>
      <c r="H14">
        <f t="shared" si="1"/>
        <v>1.7879781981968851E-2</v>
      </c>
      <c r="I14">
        <f t="shared" si="3"/>
        <v>0.2465250634216643</v>
      </c>
      <c r="J14">
        <f>XCP_3D('Données géométriques'!$B$9,'Données géométriques'!$B$10,'Données géométriques'!$B$12,'Données géométriques'!$B$11,I14)</f>
        <v>-0.22489692299088346</v>
      </c>
      <c r="K14">
        <f>'5kts'!K14</f>
        <v>1.1514536950961625</v>
      </c>
      <c r="L14">
        <f t="shared" si="2"/>
        <v>-3.5103077009116551E-2</v>
      </c>
    </row>
    <row r="15" spans="1:15" x14ac:dyDescent="0.25">
      <c r="A15">
        <v>5.5</v>
      </c>
      <c r="B15">
        <f t="shared" si="0"/>
        <v>9.599310885968812E-2</v>
      </c>
      <c r="C15">
        <v>0.61040000000000005</v>
      </c>
      <c r="D15">
        <v>9.1599999999999997E-3</v>
      </c>
      <c r="E15">
        <v>2.9999999999999997E-4</v>
      </c>
      <c r="F15">
        <f>C15*'Données géométriques'!$B$6/(2+('Données géométriques'!$B$6^2+4)^0.5)</f>
        <v>0.33834656228148213</v>
      </c>
      <c r="G15">
        <f>F15^2/(PI()*'Données géométriques'!$B$6)</f>
        <v>1.1385230109457847E-2</v>
      </c>
      <c r="H15">
        <f t="shared" si="1"/>
        <v>2.0545230109457847E-2</v>
      </c>
      <c r="I15">
        <f t="shared" si="3"/>
        <v>0.24950695828666958</v>
      </c>
      <c r="J15">
        <f>XCP_3D('Données géométriques'!$B$9,'Données géométriques'!$B$10,'Données géométriques'!$B$12,'Données géométriques'!$B$11,I15)</f>
        <v>-0.22709249352943675</v>
      </c>
      <c r="K15">
        <f>'5kts'!K15</f>
        <v>1.1514536950961625</v>
      </c>
      <c r="L15">
        <f t="shared" si="2"/>
        <v>-3.2907506470563258E-2</v>
      </c>
    </row>
    <row r="16" spans="1:15" x14ac:dyDescent="0.25">
      <c r="A16">
        <v>6.5</v>
      </c>
      <c r="B16">
        <f t="shared" si="0"/>
        <v>0.11344640137963143</v>
      </c>
      <c r="C16">
        <v>0.72960000000000003</v>
      </c>
      <c r="D16">
        <v>1.014E-2</v>
      </c>
      <c r="E16">
        <v>-1.8E-3</v>
      </c>
      <c r="F16">
        <f>C16*'Données géométriques'!$B$6/(2+('Données géométriques'!$B$6^2+4)^0.5)</f>
        <v>0.40441948204549366</v>
      </c>
      <c r="G16">
        <f>F16^2/(PI()*'Données géométriques'!$B$6)</f>
        <v>1.626606162842904E-2</v>
      </c>
      <c r="H16">
        <f t="shared" si="1"/>
        <v>2.6406061628429039E-2</v>
      </c>
      <c r="I16">
        <f t="shared" si="3"/>
        <v>0.25247914110419051</v>
      </c>
      <c r="J16">
        <f>XCP_3D('Données géométriques'!$B$9,'Données géométriques'!$B$10,'Données géométriques'!$B$12,'Données géométriques'!$B$11,I16)</f>
        <v>-0.22928091308303156</v>
      </c>
      <c r="K16">
        <f>'5kts'!K16</f>
        <v>1.1514536950961625</v>
      </c>
      <c r="L16">
        <f t="shared" si="2"/>
        <v>-3.0719086916968452E-2</v>
      </c>
    </row>
    <row r="17" spans="1:12" x14ac:dyDescent="0.25">
      <c r="A17">
        <v>7</v>
      </c>
      <c r="B17">
        <f t="shared" si="0"/>
        <v>0.12217304763960307</v>
      </c>
      <c r="C17">
        <v>0.77849999999999997</v>
      </c>
      <c r="D17">
        <v>1.0710000000000001E-2</v>
      </c>
      <c r="E17">
        <v>-5.0000000000000001E-4</v>
      </c>
      <c r="F17">
        <f>C17*'Données géométriques'!$B$6/(2+('Données géométriques'!$B$6^2+4)^0.5)</f>
        <v>0.43152489963324669</v>
      </c>
      <c r="G17">
        <f>F17^2/(PI()*'Données géométriques'!$B$6)</f>
        <v>1.8519531530217615E-2</v>
      </c>
      <c r="H17">
        <f t="shared" si="1"/>
        <v>2.9229531530217616E-2</v>
      </c>
      <c r="I17">
        <f t="shared" si="3"/>
        <v>0.25064599282919597</v>
      </c>
      <c r="J17">
        <f>XCP_3D('Données géométriques'!$B$9,'Données géométriques'!$B$10,'Données géométriques'!$B$12,'Données géométriques'!$B$11,I17)</f>
        <v>-0.22793116517856613</v>
      </c>
      <c r="K17">
        <f>'5kts'!K17</f>
        <v>1.1514536950961625</v>
      </c>
      <c r="L17">
        <f t="shared" si="2"/>
        <v>-3.2068834821433884E-2</v>
      </c>
    </row>
    <row r="18" spans="1:12" x14ac:dyDescent="0.25">
      <c r="A18">
        <v>7.5</v>
      </c>
      <c r="B18">
        <f t="shared" si="0"/>
        <v>0.1308996938995747</v>
      </c>
      <c r="C18">
        <v>0.82840000000000003</v>
      </c>
      <c r="D18">
        <v>1.125E-2</v>
      </c>
      <c r="E18">
        <v>5.0000000000000001E-4</v>
      </c>
      <c r="F18">
        <f>C18*'Données géométriques'!$B$6/(2+('Données géométriques'!$B$6^2+4)^0.5)</f>
        <v>0.45918462023915424</v>
      </c>
      <c r="G18">
        <f>F18^2/(PI()*'Données géométriques'!$B$6)</f>
        <v>2.096973504854225E-2</v>
      </c>
      <c r="H18">
        <f t="shared" si="1"/>
        <v>3.2219735048542253E-2</v>
      </c>
      <c r="I18">
        <f t="shared" si="3"/>
        <v>0.24939230513141736</v>
      </c>
      <c r="J18">
        <f>XCP_3D('Données géométriques'!$B$9,'Données géométriques'!$B$10,'Données géométriques'!$B$12,'Données géométriques'!$B$11,I18)</f>
        <v>-0.2270080743593379</v>
      </c>
      <c r="K18">
        <f>'5kts'!K18</f>
        <v>1.1514536950961625</v>
      </c>
      <c r="L18">
        <f t="shared" si="2"/>
        <v>-3.2991925640662112E-2</v>
      </c>
    </row>
    <row r="19" spans="1:12" x14ac:dyDescent="0.25">
      <c r="A19">
        <v>8</v>
      </c>
      <c r="B19">
        <f t="shared" si="0"/>
        <v>0.13962634015954636</v>
      </c>
      <c r="C19">
        <v>0.87829999999999997</v>
      </c>
      <c r="D19">
        <v>1.1900000000000001E-2</v>
      </c>
      <c r="E19">
        <v>1.5E-3</v>
      </c>
      <c r="F19">
        <f>C19*'Données géométriques'!$B$6/(2+('Données géométriques'!$B$6^2+4)^0.5)</f>
        <v>0.48684434084506173</v>
      </c>
      <c r="G19">
        <f>F19^2/(PI()*'Données géométriques'!$B$6)</f>
        <v>2.3572113755820016E-2</v>
      </c>
      <c r="H19">
        <f t="shared" si="1"/>
        <v>3.5472113755820017E-2</v>
      </c>
      <c r="I19">
        <f t="shared" si="3"/>
        <v>0.2482786490838523</v>
      </c>
      <c r="J19">
        <f>XCP_3D('Données géométriques'!$B$9,'Données géométriques'!$B$10,'Données géométriques'!$B$12,'Données géométriques'!$B$11,I19)</f>
        <v>-0.22618808890753359</v>
      </c>
      <c r="K19">
        <f>'5kts'!K19</f>
        <v>1.1514536950961625</v>
      </c>
      <c r="L19">
        <f t="shared" si="2"/>
        <v>-3.3811911092466423E-2</v>
      </c>
    </row>
    <row r="20" spans="1:12" x14ac:dyDescent="0.25">
      <c r="A20">
        <v>8.5</v>
      </c>
      <c r="B20">
        <f t="shared" si="0"/>
        <v>0.14835298641951802</v>
      </c>
      <c r="C20">
        <v>0.92800000000000005</v>
      </c>
      <c r="D20">
        <v>1.264E-2</v>
      </c>
      <c r="E20">
        <v>2.3999999999999998E-3</v>
      </c>
      <c r="F20">
        <f>C20*'Données géométriques'!$B$6/(2+('Données géométriques'!$B$6^2+4)^0.5)</f>
        <v>0.51439320084733842</v>
      </c>
      <c r="G20">
        <f>F20^2/(PI()*'Données géométriques'!$B$6)</f>
        <v>2.631532361786092E-2</v>
      </c>
      <c r="H20">
        <f t="shared" si="1"/>
        <v>3.8955323617860922E-2</v>
      </c>
      <c r="I20">
        <f t="shared" si="3"/>
        <v>0.2473903825633145</v>
      </c>
      <c r="J20">
        <f>XCP_3D('Données géométriques'!$B$9,'Données géométriques'!$B$10,'Données géométriques'!$B$12,'Données géométriques'!$B$11,I20)</f>
        <v>-0.22553405786647804</v>
      </c>
      <c r="K20">
        <f>'5kts'!K20</f>
        <v>1.1514536950961625</v>
      </c>
      <c r="L20">
        <f t="shared" si="2"/>
        <v>-3.4465942133521971E-2</v>
      </c>
    </row>
    <row r="21" spans="1:12" x14ac:dyDescent="0.25">
      <c r="A21">
        <v>9</v>
      </c>
      <c r="B21">
        <f t="shared" si="0"/>
        <v>0.15707963267948966</v>
      </c>
      <c r="C21">
        <v>0.97789999999999999</v>
      </c>
      <c r="D21">
        <v>1.337E-2</v>
      </c>
      <c r="E21">
        <v>3.2000000000000002E-3</v>
      </c>
      <c r="F21">
        <f>C21*'Données géométriques'!$B$6/(2+('Données géométriques'!$B$6^2+4)^0.5)</f>
        <v>0.54205292145324591</v>
      </c>
      <c r="G21">
        <f>F21^2/(PI()*'Données géométriques'!$B$6)</f>
        <v>2.9221442782447954E-2</v>
      </c>
      <c r="H21">
        <f t="shared" si="1"/>
        <v>4.2591442782447954E-2</v>
      </c>
      <c r="I21">
        <f t="shared" si="3"/>
        <v>0.24669405079803644</v>
      </c>
      <c r="J21">
        <f>XCP_3D('Données géométriques'!$B$9,'Données géométriques'!$B$10,'Données géométriques'!$B$12,'Données géométriques'!$B$11,I21)</f>
        <v>-0.22502134847257968</v>
      </c>
      <c r="K21">
        <f>'5kts'!K21</f>
        <v>1.1514536950961625</v>
      </c>
      <c r="L21">
        <f t="shared" si="2"/>
        <v>-3.4978651527420329E-2</v>
      </c>
    </row>
    <row r="22" spans="1:12" x14ac:dyDescent="0.25">
      <c r="A22">
        <v>9.5</v>
      </c>
      <c r="B22">
        <f t="shared" si="0"/>
        <v>0.16580627893946132</v>
      </c>
      <c r="C22">
        <v>1.0270999999999999</v>
      </c>
      <c r="D22">
        <v>1.418E-2</v>
      </c>
      <c r="E22">
        <v>4.1000000000000003E-3</v>
      </c>
      <c r="F22">
        <f>C22*'Données géométriques'!$B$6/(2+('Données géométriques'!$B$6^2+4)^0.5)</f>
        <v>0.56932462994644528</v>
      </c>
      <c r="G22">
        <f>F22^2/(PI()*'Données géométriques'!$B$6)</f>
        <v>3.2235782823144842E-2</v>
      </c>
      <c r="H22">
        <f t="shared" si="1"/>
        <v>4.641578282314484E-2</v>
      </c>
      <c r="I22">
        <f t="shared" si="3"/>
        <v>0.24596200071854996</v>
      </c>
      <c r="J22">
        <f>XCP_3D('Données géométriques'!$B$9,'Données géométriques'!$B$10,'Données géométriques'!$B$12,'Données géométriques'!$B$11,I22)</f>
        <v>-0.22448233966776707</v>
      </c>
      <c r="K22">
        <f>'5kts'!K22</f>
        <v>1.1514536950961625</v>
      </c>
      <c r="L22">
        <f t="shared" si="2"/>
        <v>-3.5517660332232942E-2</v>
      </c>
    </row>
    <row r="23" spans="1:12" x14ac:dyDescent="0.25">
      <c r="A23">
        <v>10</v>
      </c>
      <c r="B23">
        <f t="shared" si="0"/>
        <v>0.17453292519943295</v>
      </c>
      <c r="C23">
        <v>1.0748</v>
      </c>
      <c r="D23">
        <v>1.5219999999999999E-2</v>
      </c>
      <c r="E23">
        <v>5.1000000000000004E-3</v>
      </c>
      <c r="F23">
        <f>C23*'Données géométriques'!$B$6/(2+('Données géométriques'!$B$6^2+4)^0.5)</f>
        <v>0.595764883912413</v>
      </c>
      <c r="G23">
        <f>F23^2/(PI()*'Données géométriques'!$B$6)</f>
        <v>3.5299461345482244E-2</v>
      </c>
      <c r="H23">
        <f t="shared" si="1"/>
        <v>5.0519461345482242E-2</v>
      </c>
      <c r="I23">
        <f t="shared" si="3"/>
        <v>0.24519373171330974</v>
      </c>
      <c r="J23">
        <f>XCP_3D('Données géométriques'!$B$9,'Données géométriques'!$B$10,'Données géométriques'!$B$12,'Données géométriques'!$B$11,I23)</f>
        <v>-0.22391666285153011</v>
      </c>
      <c r="K23">
        <f>'5kts'!K23</f>
        <v>1.1514536950961625</v>
      </c>
      <c r="L23">
        <f t="shared" si="2"/>
        <v>-3.6083337148469896E-2</v>
      </c>
    </row>
    <row r="24" spans="1:12" x14ac:dyDescent="0.25">
      <c r="A24">
        <v>10.5</v>
      </c>
      <c r="B24">
        <f t="shared" si="0"/>
        <v>0.18325957145940461</v>
      </c>
      <c r="C24">
        <v>1.1224000000000001</v>
      </c>
      <c r="D24">
        <v>1.6199999999999999E-2</v>
      </c>
      <c r="E24">
        <v>6.0000000000000001E-3</v>
      </c>
      <c r="F24">
        <f>C24*'Données géométriques'!$B$6/(2+('Données géométriques'!$B$6^2+4)^0.5)</f>
        <v>0.62214970757656529</v>
      </c>
      <c r="G24">
        <f>F24^2/(PI()*'Données géométriques'!$B$6)</f>
        <v>3.8495332823506229E-2</v>
      </c>
      <c r="H24">
        <f t="shared" si="1"/>
        <v>5.4695332823506228E-2</v>
      </c>
      <c r="I24">
        <f t="shared" si="3"/>
        <v>0.24457777849668627</v>
      </c>
      <c r="J24">
        <f>XCP_3D('Données géométriques'!$B$9,'Données géométriques'!$B$10,'Données géométriques'!$B$12,'Données géométriques'!$B$11,I24)</f>
        <v>-0.2234631362193816</v>
      </c>
      <c r="K24">
        <f>'5kts'!K24</f>
        <v>1.1514536950961625</v>
      </c>
      <c r="L24">
        <f t="shared" si="2"/>
        <v>-3.6536863780618406E-2</v>
      </c>
    </row>
    <row r="25" spans="1:12" x14ac:dyDescent="0.25">
      <c r="A25">
        <v>11</v>
      </c>
      <c r="B25">
        <f t="shared" si="0"/>
        <v>0.19198621771937624</v>
      </c>
      <c r="C25">
        <v>1.1687000000000001</v>
      </c>
      <c r="D25">
        <v>1.729E-2</v>
      </c>
      <c r="E25">
        <v>7.1000000000000004E-3</v>
      </c>
      <c r="F25">
        <f>C25*'Données géométriques'!$B$6/(2+('Données géométriques'!$B$6^2+4)^0.5)</f>
        <v>0.64781393731711678</v>
      </c>
      <c r="G25">
        <f>F25^2/(PI()*'Données géométriques'!$B$6)</f>
        <v>4.1736771420441153E-2</v>
      </c>
      <c r="H25">
        <f t="shared" si="1"/>
        <v>5.9026771420441153E-2</v>
      </c>
      <c r="I25">
        <f t="shared" si="3"/>
        <v>0.24382891372629234</v>
      </c>
      <c r="J25">
        <f>XCP_3D('Données géométriques'!$B$9,'Données géométriques'!$B$10,'Données géométriques'!$B$12,'Données géométriques'!$B$11,I25)</f>
        <v>-0.22291174675004277</v>
      </c>
      <c r="K25">
        <f>'5kts'!K25</f>
        <v>1.1514536950961625</v>
      </c>
      <c r="L25">
        <f t="shared" si="2"/>
        <v>-3.7088253249957237E-2</v>
      </c>
    </row>
    <row r="26" spans="1:12" x14ac:dyDescent="0.25">
      <c r="A26">
        <v>11.5</v>
      </c>
      <c r="B26">
        <f t="shared" si="0"/>
        <v>0.2007128639793479</v>
      </c>
      <c r="C26">
        <v>1.2137</v>
      </c>
      <c r="D26">
        <v>1.8489999999999999E-2</v>
      </c>
      <c r="E26">
        <v>8.3000000000000001E-3</v>
      </c>
      <c r="F26">
        <f>C26*'Données géométriques'!$B$6/(2+('Données géométriques'!$B$6^2+4)^0.5)</f>
        <v>0.67275757313406748</v>
      </c>
      <c r="G26">
        <f>F26^2/(PI()*'Données géométriques'!$B$6)</f>
        <v>4.5012741729252778E-2</v>
      </c>
      <c r="H26">
        <f t="shared" si="1"/>
        <v>6.3502741729252771E-2</v>
      </c>
      <c r="I26">
        <f t="shared" si="3"/>
        <v>0.24304287141036479</v>
      </c>
      <c r="J26">
        <f>XCP_3D('Données géométriques'!$B$9,'Données géométriques'!$B$10,'Données géométriques'!$B$12,'Données géométriques'!$B$11,I26)</f>
        <v>-0.22233298343710228</v>
      </c>
      <c r="K26">
        <f>K25</f>
        <v>1.1514536950961625</v>
      </c>
      <c r="L26">
        <f t="shared" si="2"/>
        <v>-3.7667016562897726E-2</v>
      </c>
    </row>
    <row r="27" spans="1:12" x14ac:dyDescent="0.25">
      <c r="A27">
        <v>12</v>
      </c>
      <c r="B27">
        <f t="shared" si="0"/>
        <v>0.20943951023931956</v>
      </c>
      <c r="C27">
        <v>1.2567999999999999</v>
      </c>
      <c r="D27">
        <v>1.9810000000000001E-2</v>
      </c>
      <c r="E27">
        <v>9.5999999999999992E-3</v>
      </c>
      <c r="F27">
        <f>C27*'Données géométriques'!$B$6/(2+('Données géométriques'!$B$6^2+4)^0.5)</f>
        <v>0.69664803321652469</v>
      </c>
      <c r="G27">
        <f>F27^2/(PI()*'Données géométriques'!$B$6)</f>
        <v>4.8266422129272499E-2</v>
      </c>
      <c r="H27">
        <f t="shared" si="1"/>
        <v>6.8076422129272507E-2</v>
      </c>
      <c r="I27">
        <f t="shared" si="3"/>
        <v>0.24221698169834674</v>
      </c>
      <c r="J27">
        <f>XCP_3D('Données géométriques'!$B$9,'Données géométriques'!$B$10,'Données géométriques'!$B$12,'Données géométriques'!$B$11,I27)</f>
        <v>-0.2217248804683904</v>
      </c>
      <c r="K27">
        <f t="shared" ref="K27:K33" si="4">K26</f>
        <v>1.1514536950961625</v>
      </c>
      <c r="L27">
        <f t="shared" si="2"/>
        <v>-3.8275119531609614E-2</v>
      </c>
    </row>
    <row r="28" spans="1:12" x14ac:dyDescent="0.25">
      <c r="A28">
        <v>12.5</v>
      </c>
      <c r="B28">
        <f t="shared" si="0"/>
        <v>0.21816615649929119</v>
      </c>
      <c r="C28">
        <v>1.2972999999999999</v>
      </c>
      <c r="D28">
        <v>2.1319999999999999E-2</v>
      </c>
      <c r="E28">
        <v>1.11E-2</v>
      </c>
      <c r="F28">
        <f>C28*'Données géométriques'!$B$6/(2+('Données géométriques'!$B$6^2+4)^0.5)</f>
        <v>0.71909730545178019</v>
      </c>
      <c r="G28">
        <f>F28^2/(PI()*'Données géométriques'!$B$6)</f>
        <v>5.1427285203971197E-2</v>
      </c>
      <c r="H28">
        <f t="shared" si="1"/>
        <v>7.2747285203971196E-2</v>
      </c>
      <c r="I28">
        <f t="shared" si="3"/>
        <v>0.24126784105767898</v>
      </c>
      <c r="J28">
        <f>XCP_3D('Données géométriques'!$B$9,'Données géométriques'!$B$10,'Données géométriques'!$B$12,'Données géométriques'!$B$11,I28)</f>
        <v>-0.22102602778513389</v>
      </c>
      <c r="K28">
        <f t="shared" si="4"/>
        <v>1.1514536950961625</v>
      </c>
      <c r="L28">
        <f t="shared" si="2"/>
        <v>-3.8973972214866121E-2</v>
      </c>
    </row>
    <row r="29" spans="1:12" x14ac:dyDescent="0.25">
      <c r="A29">
        <v>13</v>
      </c>
      <c r="B29">
        <f t="shared" si="0"/>
        <v>0.22689280275926285</v>
      </c>
      <c r="C29">
        <v>1.3329</v>
      </c>
      <c r="D29">
        <v>2.324E-2</v>
      </c>
      <c r="E29">
        <v>1.2999999999999999E-2</v>
      </c>
      <c r="F29">
        <f>C29*'Données géométriques'!$B$6/(2+('Données géométriques'!$B$6^2+4)^0.5)</f>
        <v>0.73883049289807901</v>
      </c>
      <c r="G29">
        <f>F29^2/(PI()*'Données géométriques'!$B$6)</f>
        <v>5.4288507062246825E-2</v>
      </c>
      <c r="H29">
        <f t="shared" si="1"/>
        <v>7.7528507062246829E-2</v>
      </c>
      <c r="I29">
        <f t="shared" si="3"/>
        <v>0.24003041277687537</v>
      </c>
      <c r="J29">
        <f>XCP_3D('Données géométriques'!$B$9,'Données géométriques'!$B$10,'Données géométriques'!$B$12,'Données géométriques'!$B$11,I29)</f>
        <v>-0.22011490878198292</v>
      </c>
      <c r="K29">
        <f t="shared" si="4"/>
        <v>1.1514536950961625</v>
      </c>
      <c r="L29">
        <f t="shared" si="2"/>
        <v>-3.9885091218017088E-2</v>
      </c>
    </row>
    <row r="30" spans="1:12" x14ac:dyDescent="0.25">
      <c r="A30">
        <v>13.5</v>
      </c>
      <c r="B30">
        <f t="shared" si="0"/>
        <v>0.23561944901923448</v>
      </c>
      <c r="C30">
        <v>1.3643000000000001</v>
      </c>
      <c r="D30">
        <v>2.5329999999999998E-2</v>
      </c>
      <c r="E30">
        <v>1.5299999999999999E-2</v>
      </c>
      <c r="F30">
        <f>C30*'Données géométriques'!$B$6/(2+('Données géométriques'!$B$6^2+4)^0.5)</f>
        <v>0.75623560766812914</v>
      </c>
      <c r="G30">
        <f>F30^2/(PI()*'Données géométriques'!$B$6)</f>
        <v>5.6876455158205164E-2</v>
      </c>
      <c r="H30">
        <f t="shared" si="1"/>
        <v>8.2206455158205155E-2</v>
      </c>
      <c r="I30">
        <f t="shared" si="3"/>
        <v>0.23851797403462555</v>
      </c>
      <c r="J30">
        <f>XCP_3D('Données géométriques'!$B$9,'Données géométriques'!$B$10,'Données géométriques'!$B$12,'Données géométriques'!$B$11,I30)</f>
        <v>-0.21900129945161309</v>
      </c>
      <c r="K30">
        <f t="shared" si="4"/>
        <v>1.1514536950961625</v>
      </c>
      <c r="L30">
        <f t="shared" si="2"/>
        <v>-4.0998700548386918E-2</v>
      </c>
    </row>
    <row r="31" spans="1:12" x14ac:dyDescent="0.25">
      <c r="A31">
        <v>14</v>
      </c>
      <c r="B31">
        <f t="shared" si="0"/>
        <v>0.24434609527920614</v>
      </c>
      <c r="C31">
        <v>1.3925000000000001</v>
      </c>
      <c r="D31">
        <v>2.741E-2</v>
      </c>
      <c r="E31">
        <v>1.78E-2</v>
      </c>
      <c r="F31">
        <f>C31*'Données géométriques'!$B$6/(2+('Données géométriques'!$B$6^2+4)^0.5)</f>
        <v>0.77186695278008488</v>
      </c>
      <c r="G31">
        <f>F31^2/(PI()*'Données géométriques'!$B$6)</f>
        <v>5.9252021324114043E-2</v>
      </c>
      <c r="H31">
        <f t="shared" si="1"/>
        <v>8.6662021324114047E-2</v>
      </c>
      <c r="I31">
        <f t="shared" si="3"/>
        <v>0.23689024811350706</v>
      </c>
      <c r="J31">
        <f>XCP_3D('Données géométriques'!$B$9,'Données géométriques'!$B$10,'Données géométriques'!$B$12,'Données géométriques'!$B$11,I31)</f>
        <v>-0.21780280411926911</v>
      </c>
      <c r="K31">
        <f t="shared" si="4"/>
        <v>1.1514536950961625</v>
      </c>
      <c r="L31">
        <f t="shared" si="2"/>
        <v>-4.2197195880730898E-2</v>
      </c>
    </row>
    <row r="32" spans="1:12" x14ac:dyDescent="0.25">
      <c r="A32">
        <v>14.5</v>
      </c>
      <c r="B32">
        <f t="shared" si="0"/>
        <v>0.2530727415391778</v>
      </c>
      <c r="C32">
        <v>1.4076</v>
      </c>
      <c r="D32">
        <v>2.9860000000000001E-2</v>
      </c>
      <c r="E32">
        <v>2.1600000000000001E-2</v>
      </c>
      <c r="F32">
        <f>C32*'Données géométriques'!$B$6/(2+('Données géométriques'!$B$6^2+4)^0.5)</f>
        <v>0.7802369283542171</v>
      </c>
      <c r="G32">
        <f>F32^2/(PI()*'Données géométriques'!$B$6)</f>
        <v>6.0544023519581922E-2</v>
      </c>
      <c r="H32">
        <f t="shared" si="1"/>
        <v>9.0404023519581919E-2</v>
      </c>
      <c r="I32">
        <f t="shared" si="3"/>
        <v>0.23423634926733808</v>
      </c>
      <c r="J32">
        <f>XCP_3D('Données géométriques'!$B$9,'Données géométriques'!$B$10,'Données géométriques'!$B$12,'Données géométriques'!$B$11,I32)</f>
        <v>-0.21584873719781886</v>
      </c>
      <c r="K32">
        <f t="shared" si="4"/>
        <v>1.1514536950961625</v>
      </c>
      <c r="L32">
        <f t="shared" si="2"/>
        <v>-4.4151262802181152E-2</v>
      </c>
    </row>
    <row r="33" spans="1:12" x14ac:dyDescent="0.25">
      <c r="A33" s="3">
        <v>15</v>
      </c>
      <c r="B33">
        <f t="shared" si="0"/>
        <v>0.26179938779914941</v>
      </c>
      <c r="C33">
        <v>1.4118999999999999</v>
      </c>
      <c r="D33">
        <v>3.3239999999999999E-2</v>
      </c>
      <c r="E33">
        <v>2.4899999999999999E-2</v>
      </c>
      <c r="F33">
        <f>C33*'Données géométriques'!$B$6/(2+('Données géométriques'!$B$6^2+4)^0.5)</f>
        <v>0.78262043133228132</v>
      </c>
      <c r="G33">
        <f>F33^2/(PI()*'Données géométriques'!$B$6)</f>
        <v>6.0914493751546755E-2</v>
      </c>
      <c r="H33">
        <f t="shared" si="1"/>
        <v>9.4154493751546747E-2</v>
      </c>
      <c r="I33">
        <f t="shared" si="3"/>
        <v>0.2318565198620802</v>
      </c>
      <c r="J33">
        <f>XCP_3D('Données géométriques'!$B$9,'Données géométriques'!$B$10,'Données géométriques'!$B$12,'Données géométriques'!$B$11,I33)</f>
        <v>-0.21409646772974167</v>
      </c>
      <c r="K33">
        <f t="shared" si="4"/>
        <v>1.1514536950961625</v>
      </c>
      <c r="L33">
        <f t="shared" si="2"/>
        <v>-4.590353227025834E-2</v>
      </c>
    </row>
    <row r="34" spans="1:12" x14ac:dyDescent="0.25">
      <c r="A34">
        <v>15.5</v>
      </c>
      <c r="B34">
        <f t="shared" si="0"/>
        <v>0.27052603405912107</v>
      </c>
      <c r="C34">
        <f>-$C$33*(A34-90)/(90-$A$33)</f>
        <v>1.4024873333333332</v>
      </c>
      <c r="D34">
        <f>$O$2*(A34-$A$33)+$D$33</f>
        <v>3.662E-2</v>
      </c>
      <c r="E34" s="4" t="s">
        <v>30</v>
      </c>
      <c r="F34">
        <f>C34*'Données géométriques'!$B$6/(2+('Données géométriques'!$B$6^2+4)^0.5)</f>
        <v>0.77740296179006607</v>
      </c>
      <c r="G34">
        <f>F34^2/(PI()*'Données géométriques'!$B$6)</f>
        <v>6.0105007812359529E-2</v>
      </c>
      <c r="H34">
        <f t="shared" si="1"/>
        <v>9.6725007812359529E-2</v>
      </c>
      <c r="I34" s="4" t="s">
        <v>30</v>
      </c>
      <c r="J34" s="4">
        <f>'1kts'!J$22</f>
        <v>-0.41152228571428573</v>
      </c>
      <c r="K34" s="4">
        <f>'1kts'!K$22</f>
        <v>0.92155428571428555</v>
      </c>
      <c r="L34" s="4">
        <f>'1kts'!L$22</f>
        <v>0.15152228571428572</v>
      </c>
    </row>
    <row r="35" spans="1:12" x14ac:dyDescent="0.25">
      <c r="A35">
        <v>16</v>
      </c>
      <c r="B35">
        <f t="shared" si="0"/>
        <v>0.27925268031909273</v>
      </c>
      <c r="C35">
        <f t="shared" ref="C35:C78" si="5">-$C$33*(A35-90)/(90-$A$33)</f>
        <v>1.3930746666666667</v>
      </c>
      <c r="D35">
        <f t="shared" ref="D35:D78" si="6">$O$2*(A35-$A$33)+$D$33</f>
        <v>3.9999999999999994E-2</v>
      </c>
      <c r="E35" s="4" t="s">
        <v>30</v>
      </c>
      <c r="F35">
        <f>C35*'Données géométriques'!$B$6/(2+('Données géométriques'!$B$6^2+4)^0.5)</f>
        <v>0.77218549224785094</v>
      </c>
      <c r="G35">
        <f>F35^2/(PI()*'Données géométriques'!$B$6)</f>
        <v>5.9300936494839127E-2</v>
      </c>
      <c r="H35">
        <f t="shared" si="1"/>
        <v>9.930093649483912E-2</v>
      </c>
      <c r="I35" s="4" t="s">
        <v>30</v>
      </c>
      <c r="J35" s="4">
        <f>'1kts'!J$22</f>
        <v>-0.41152228571428573</v>
      </c>
      <c r="K35" s="4">
        <f>'1kts'!K$22</f>
        <v>0.92155428571428555</v>
      </c>
      <c r="L35" s="4">
        <f>'1kts'!L$22</f>
        <v>0.15152228571428572</v>
      </c>
    </row>
    <row r="36" spans="1:12" x14ac:dyDescent="0.25">
      <c r="A36">
        <v>16.5</v>
      </c>
      <c r="B36">
        <f t="shared" si="0"/>
        <v>0.28797932657906439</v>
      </c>
      <c r="C36">
        <f t="shared" si="5"/>
        <v>1.3836619999999999</v>
      </c>
      <c r="D36">
        <f t="shared" si="6"/>
        <v>4.3379999999999988E-2</v>
      </c>
      <c r="E36" s="4" t="s">
        <v>30</v>
      </c>
      <c r="F36">
        <f>C36*'Données géométriques'!$B$6/(2+('Données géométriques'!$B$6^2+4)^0.5)</f>
        <v>0.7669680227056358</v>
      </c>
      <c r="G36">
        <f>F36^2/(PI()*'Données géométriques'!$B$6)</f>
        <v>5.8502279798985528E-2</v>
      </c>
      <c r="H36">
        <f t="shared" si="1"/>
        <v>0.10188227979898551</v>
      </c>
      <c r="I36" s="4" t="s">
        <v>30</v>
      </c>
      <c r="J36" s="4">
        <f>'1kts'!J$22</f>
        <v>-0.41152228571428573</v>
      </c>
      <c r="K36" s="4">
        <f>'1kts'!K$22</f>
        <v>0.92155428571428555</v>
      </c>
      <c r="L36" s="4">
        <f>'1kts'!L$22</f>
        <v>0.15152228571428572</v>
      </c>
    </row>
    <row r="37" spans="1:12" x14ac:dyDescent="0.25">
      <c r="A37">
        <v>17</v>
      </c>
      <c r="B37">
        <f t="shared" si="0"/>
        <v>0.29670597283903605</v>
      </c>
      <c r="C37">
        <f t="shared" si="5"/>
        <v>1.3742493333333332</v>
      </c>
      <c r="D37">
        <f t="shared" si="6"/>
        <v>4.6759999999999989E-2</v>
      </c>
      <c r="E37" s="4" t="s">
        <v>30</v>
      </c>
      <c r="F37">
        <f>C37*'Données géométriques'!$B$6/(2+('Données géométriques'!$B$6^2+4)^0.5)</f>
        <v>0.76175055316342044</v>
      </c>
      <c r="G37">
        <f>F37^2/(PI()*'Données géométriques'!$B$6)</f>
        <v>5.7709037724798691E-2</v>
      </c>
      <c r="H37">
        <f t="shared" si="1"/>
        <v>0.10446903772479868</v>
      </c>
      <c r="I37" s="4" t="s">
        <v>30</v>
      </c>
      <c r="J37" s="4">
        <f>'1kts'!J$22</f>
        <v>-0.41152228571428573</v>
      </c>
      <c r="K37" s="4">
        <f>'1kts'!K$22</f>
        <v>0.92155428571428555</v>
      </c>
      <c r="L37" s="4">
        <f>'1kts'!L$22</f>
        <v>0.15152228571428572</v>
      </c>
    </row>
    <row r="38" spans="1:12" x14ac:dyDescent="0.25">
      <c r="A38">
        <v>17.5</v>
      </c>
      <c r="B38">
        <f t="shared" si="0"/>
        <v>0.30543261909900765</v>
      </c>
      <c r="C38">
        <f t="shared" si="5"/>
        <v>1.3648366666666665</v>
      </c>
      <c r="D38">
        <f t="shared" si="6"/>
        <v>5.013999999999999E-2</v>
      </c>
      <c r="E38" s="4" t="s">
        <v>30</v>
      </c>
      <c r="F38">
        <f>C38*'Données géométriques'!$B$6/(2+('Données géométriques'!$B$6^2+4)^0.5)</f>
        <v>0.75653308362120519</v>
      </c>
      <c r="G38">
        <f>F38^2/(PI()*'Données géométriques'!$B$6)</f>
        <v>5.6921210272278686E-2</v>
      </c>
      <c r="H38">
        <f t="shared" si="1"/>
        <v>0.10706121027227868</v>
      </c>
      <c r="I38" s="4" t="s">
        <v>30</v>
      </c>
      <c r="J38" s="4">
        <f>'1kts'!J$22</f>
        <v>-0.41152228571428573</v>
      </c>
      <c r="K38" s="4">
        <f>'1kts'!K$22</f>
        <v>0.92155428571428555</v>
      </c>
      <c r="L38" s="4">
        <f>'1kts'!L$22</f>
        <v>0.15152228571428572</v>
      </c>
    </row>
    <row r="39" spans="1:12" x14ac:dyDescent="0.25">
      <c r="A39">
        <v>18</v>
      </c>
      <c r="B39">
        <f t="shared" si="0"/>
        <v>0.31415926535897931</v>
      </c>
      <c r="C39">
        <f t="shared" si="5"/>
        <v>1.355424</v>
      </c>
      <c r="D39">
        <f t="shared" si="6"/>
        <v>5.3519999999999984E-2</v>
      </c>
      <c r="E39" s="4" t="s">
        <v>30</v>
      </c>
      <c r="F39">
        <f>C39*'Données géométriques'!$B$6/(2+('Données géométriques'!$B$6^2+4)^0.5)</f>
        <v>0.75131561407899006</v>
      </c>
      <c r="G39">
        <f>F39^2/(PI()*'Données géométriques'!$B$6)</f>
        <v>5.6138797441425498E-2</v>
      </c>
      <c r="H39">
        <f t="shared" si="1"/>
        <v>0.10965879744142548</v>
      </c>
      <c r="I39" s="4" t="s">
        <v>30</v>
      </c>
      <c r="J39" s="4">
        <f>'1kts'!J$22</f>
        <v>-0.41152228571428573</v>
      </c>
      <c r="K39" s="4">
        <f>'1kts'!K$22</f>
        <v>0.92155428571428555</v>
      </c>
      <c r="L39" s="4">
        <f>'1kts'!L$22</f>
        <v>0.15152228571428572</v>
      </c>
    </row>
    <row r="40" spans="1:12" x14ac:dyDescent="0.25">
      <c r="A40">
        <v>18.5</v>
      </c>
      <c r="B40">
        <f t="shared" si="0"/>
        <v>0.32288591161895097</v>
      </c>
      <c r="C40">
        <f t="shared" si="5"/>
        <v>1.3460113333333332</v>
      </c>
      <c r="D40">
        <f t="shared" si="6"/>
        <v>5.6899999999999978E-2</v>
      </c>
      <c r="E40" s="4" t="s">
        <v>30</v>
      </c>
      <c r="F40">
        <f>C40*'Données géométriques'!$B$6/(2+('Données géométriques'!$B$6^2+4)^0.5)</f>
        <v>0.74609814453677481</v>
      </c>
      <c r="G40">
        <f>F40^2/(PI()*'Données géométriques'!$B$6)</f>
        <v>5.5361799232239092E-2</v>
      </c>
      <c r="H40">
        <f t="shared" si="1"/>
        <v>0.11226179923223907</v>
      </c>
      <c r="I40" s="4" t="s">
        <v>30</v>
      </c>
      <c r="J40" s="4">
        <f>'1kts'!J$22</f>
        <v>-0.41152228571428573</v>
      </c>
      <c r="K40" s="4">
        <f>'1kts'!K$22</f>
        <v>0.92155428571428555</v>
      </c>
      <c r="L40" s="4">
        <f>'1kts'!L$22</f>
        <v>0.15152228571428572</v>
      </c>
    </row>
    <row r="41" spans="1:12" x14ac:dyDescent="0.25">
      <c r="A41">
        <v>19</v>
      </c>
      <c r="B41">
        <f t="shared" si="0"/>
        <v>0.33161255787892263</v>
      </c>
      <c r="C41">
        <f t="shared" si="5"/>
        <v>1.3365986666666667</v>
      </c>
      <c r="D41">
        <f t="shared" si="6"/>
        <v>6.0279999999999979E-2</v>
      </c>
      <c r="E41" s="4" t="s">
        <v>30</v>
      </c>
      <c r="F41">
        <f>C41*'Données géométriques'!$B$6/(2+('Données géométriques'!$B$6^2+4)^0.5)</f>
        <v>0.74088067499455967</v>
      </c>
      <c r="G41">
        <f>F41^2/(PI()*'Données géométriques'!$B$6)</f>
        <v>5.4590215644719504E-2</v>
      </c>
      <c r="H41">
        <f t="shared" si="1"/>
        <v>0.11487021564471948</v>
      </c>
      <c r="I41" s="4" t="s">
        <v>30</v>
      </c>
      <c r="J41" s="4">
        <f>'1kts'!J$22</f>
        <v>-0.41152228571428573</v>
      </c>
      <c r="K41" s="4">
        <f>'1kts'!K$22</f>
        <v>0.92155428571428555</v>
      </c>
      <c r="L41" s="4">
        <f>'1kts'!L$22</f>
        <v>0.15152228571428572</v>
      </c>
    </row>
    <row r="42" spans="1:12" x14ac:dyDescent="0.25">
      <c r="A42">
        <v>19.5</v>
      </c>
      <c r="B42">
        <f t="shared" si="0"/>
        <v>0.34033920413889424</v>
      </c>
      <c r="C42">
        <f t="shared" si="5"/>
        <v>1.327186</v>
      </c>
      <c r="D42">
        <f t="shared" si="6"/>
        <v>6.365999999999998E-2</v>
      </c>
      <c r="E42" s="4" t="s">
        <v>30</v>
      </c>
      <c r="F42">
        <f>C42*'Données géométriques'!$B$6/(2+('Données géométriques'!$B$6^2+4)^0.5)</f>
        <v>0.73566320545234454</v>
      </c>
      <c r="G42">
        <f>F42^2/(PI()*'Données géométriques'!$B$6)</f>
        <v>5.3824046678866727E-2</v>
      </c>
      <c r="H42">
        <f t="shared" si="1"/>
        <v>0.11748404667886671</v>
      </c>
      <c r="I42" s="4" t="s">
        <v>30</v>
      </c>
      <c r="J42" s="4">
        <f>'1kts'!J$22</f>
        <v>-0.41152228571428573</v>
      </c>
      <c r="K42" s="4">
        <f>'1kts'!K$22</f>
        <v>0.92155428571428555</v>
      </c>
      <c r="L42" s="4">
        <f>'1kts'!L$22</f>
        <v>0.15152228571428572</v>
      </c>
    </row>
    <row r="43" spans="1:12" x14ac:dyDescent="0.25">
      <c r="A43">
        <v>20</v>
      </c>
      <c r="B43">
        <f t="shared" si="0"/>
        <v>0.3490658503988659</v>
      </c>
      <c r="C43">
        <f t="shared" si="5"/>
        <v>1.3177733333333332</v>
      </c>
      <c r="D43">
        <f t="shared" si="6"/>
        <v>6.7039999999999975E-2</v>
      </c>
      <c r="E43" s="4" t="s">
        <v>30</v>
      </c>
      <c r="F43">
        <f>C43*'Données géométriques'!$B$6/(2+('Données géométriques'!$B$6^2+4)^0.5)</f>
        <v>0.73044573591012918</v>
      </c>
      <c r="G43">
        <f>F43^2/(PI()*'Données géométriques'!$B$6)</f>
        <v>5.3063292334680733E-2</v>
      </c>
      <c r="H43">
        <f>G43+D43</f>
        <v>0.1201032923346807</v>
      </c>
      <c r="I43" s="4" t="s">
        <v>30</v>
      </c>
      <c r="J43" s="4">
        <f>'1kts'!J$22</f>
        <v>-0.41152228571428573</v>
      </c>
      <c r="K43" s="4">
        <f>'1kts'!K$22</f>
        <v>0.92155428571428555</v>
      </c>
      <c r="L43" s="4">
        <f>'1kts'!L$22</f>
        <v>0.15152228571428572</v>
      </c>
    </row>
    <row r="44" spans="1:12" x14ac:dyDescent="0.25">
      <c r="A44">
        <v>22</v>
      </c>
      <c r="B44">
        <f t="shared" si="0"/>
        <v>0.38397243543875248</v>
      </c>
      <c r="C44">
        <f t="shared" si="5"/>
        <v>1.2801226666666665</v>
      </c>
      <c r="D44">
        <f t="shared" si="6"/>
        <v>8.0559999999999965E-2</v>
      </c>
      <c r="E44" s="4" t="s">
        <v>30</v>
      </c>
      <c r="F44">
        <f>C44*'Données géométriques'!$B$6/(2+('Données géométriques'!$B$6^2+4)^0.5)</f>
        <v>0.7095758577412683</v>
      </c>
      <c r="G44">
        <f>F44^2/(PI()*'Données géométriques'!$B$6)</f>
        <v>5.0074421174604825E-2</v>
      </c>
      <c r="H44">
        <f t="shared" ref="H44:H78" si="7">G44+D44</f>
        <v>0.13063442117460478</v>
      </c>
      <c r="I44" s="4" t="s">
        <v>30</v>
      </c>
      <c r="J44" s="4">
        <f>'1kts'!J$22</f>
        <v>-0.41152228571428573</v>
      </c>
      <c r="K44" s="4">
        <f>'1kts'!K$22</f>
        <v>0.92155428571428555</v>
      </c>
      <c r="L44" s="4">
        <f>'1kts'!L$22</f>
        <v>0.15152228571428572</v>
      </c>
    </row>
    <row r="45" spans="1:12" x14ac:dyDescent="0.25">
      <c r="A45">
        <f>A44+2</f>
        <v>24</v>
      </c>
      <c r="B45">
        <f t="shared" si="0"/>
        <v>0.41887902047863912</v>
      </c>
      <c r="C45">
        <f t="shared" si="5"/>
        <v>1.242472</v>
      </c>
      <c r="D45">
        <f t="shared" si="6"/>
        <v>9.4079999999999955E-2</v>
      </c>
      <c r="E45" s="4" t="s">
        <v>30</v>
      </c>
      <c r="F45">
        <f>C45*'Données géométriques'!$B$6/(2+('Données géométriques'!$B$6^2+4)^0.5)</f>
        <v>0.68870597957240764</v>
      </c>
      <c r="G45">
        <f>F45^2/(PI()*'Données géométriques'!$B$6)</f>
        <v>4.7172183961197822E-2</v>
      </c>
      <c r="H45">
        <f t="shared" si="7"/>
        <v>0.14125218396119776</v>
      </c>
      <c r="I45" s="4" t="s">
        <v>30</v>
      </c>
      <c r="J45" s="4">
        <f>'1kts'!J$22</f>
        <v>-0.41152228571428573</v>
      </c>
      <c r="K45" s="4">
        <f>'1kts'!K$22</f>
        <v>0.92155428571428555</v>
      </c>
      <c r="L45" s="4">
        <f>'1kts'!L$22</f>
        <v>0.15152228571428572</v>
      </c>
    </row>
    <row r="46" spans="1:12" x14ac:dyDescent="0.25">
      <c r="A46">
        <f t="shared" ref="A46:A78" si="8">A45+2</f>
        <v>26</v>
      </c>
      <c r="B46">
        <f t="shared" si="0"/>
        <v>0.4537856055185257</v>
      </c>
      <c r="C46">
        <f t="shared" si="5"/>
        <v>1.2048213333333333</v>
      </c>
      <c r="D46">
        <f t="shared" si="6"/>
        <v>0.10759999999999995</v>
      </c>
      <c r="E46" s="4" t="s">
        <v>30</v>
      </c>
      <c r="F46">
        <f>C46*'Données géométriques'!$B$6/(2+('Données géométriques'!$B$6^2+4)^0.5)</f>
        <v>0.66783610140354666</v>
      </c>
      <c r="G46">
        <f>F46^2/(PI()*'Données géométriques'!$B$6)</f>
        <v>4.4356580694459635E-2</v>
      </c>
      <c r="H46">
        <f t="shared" si="7"/>
        <v>0.15195658069445958</v>
      </c>
      <c r="I46" s="4" t="s">
        <v>30</v>
      </c>
      <c r="J46" s="4">
        <f>'1kts'!J$22</f>
        <v>-0.41152228571428573</v>
      </c>
      <c r="K46" s="4">
        <f>'1kts'!K$22</f>
        <v>0.92155428571428555</v>
      </c>
      <c r="L46" s="4">
        <f>'1kts'!L$22</f>
        <v>0.15152228571428572</v>
      </c>
    </row>
    <row r="47" spans="1:12" x14ac:dyDescent="0.25">
      <c r="A47">
        <f t="shared" si="8"/>
        <v>28</v>
      </c>
      <c r="B47">
        <f t="shared" si="0"/>
        <v>0.48869219055841229</v>
      </c>
      <c r="C47">
        <f t="shared" si="5"/>
        <v>1.1671706666666666</v>
      </c>
      <c r="D47">
        <f t="shared" si="6"/>
        <v>0.12111999999999992</v>
      </c>
      <c r="E47" s="4" t="s">
        <v>30</v>
      </c>
      <c r="F47">
        <f>C47*'Données géométriques'!$B$6/(2+('Données géométriques'!$B$6^2+4)^0.5)</f>
        <v>0.64696622323468589</v>
      </c>
      <c r="G47">
        <f>F47^2/(PI()*'Données géométriques'!$B$6)</f>
        <v>4.1627611374390354E-2</v>
      </c>
      <c r="H47">
        <f t="shared" si="7"/>
        <v>0.16274761137439028</v>
      </c>
      <c r="I47" s="4" t="s">
        <v>30</v>
      </c>
      <c r="J47" s="4">
        <f>'1kts'!J$22</f>
        <v>-0.41152228571428573</v>
      </c>
      <c r="K47" s="4">
        <f>'1kts'!K$22</f>
        <v>0.92155428571428555</v>
      </c>
      <c r="L47" s="4">
        <f>'1kts'!L$22</f>
        <v>0.15152228571428572</v>
      </c>
    </row>
    <row r="48" spans="1:12" x14ac:dyDescent="0.25">
      <c r="A48">
        <f t="shared" si="8"/>
        <v>30</v>
      </c>
      <c r="B48">
        <f t="shared" si="0"/>
        <v>0.52359877559829882</v>
      </c>
      <c r="C48">
        <f t="shared" si="5"/>
        <v>1.1295200000000001</v>
      </c>
      <c r="D48">
        <f t="shared" si="6"/>
        <v>0.13463999999999993</v>
      </c>
      <c r="E48" s="4" t="s">
        <v>30</v>
      </c>
      <c r="F48">
        <f>C48*'Données géométriques'!$B$6/(2+('Données géométriques'!$B$6^2+4)^0.5)</f>
        <v>0.62609634506582512</v>
      </c>
      <c r="G48">
        <f>F48^2/(PI()*'Données géométriques'!$B$6)</f>
        <v>3.898527600098993E-2</v>
      </c>
      <c r="H48">
        <f t="shared" si="7"/>
        <v>0.17362527600098987</v>
      </c>
      <c r="I48" s="4" t="s">
        <v>30</v>
      </c>
      <c r="J48" s="4">
        <f>'1kts'!J$22</f>
        <v>-0.41152228571428573</v>
      </c>
      <c r="K48" s="4">
        <f>'1kts'!K$22</f>
        <v>0.92155428571428555</v>
      </c>
      <c r="L48" s="4">
        <f>'1kts'!L$22</f>
        <v>0.15152228571428572</v>
      </c>
    </row>
    <row r="49" spans="1:12" x14ac:dyDescent="0.25">
      <c r="A49">
        <f t="shared" si="8"/>
        <v>32</v>
      </c>
      <c r="B49">
        <f t="shared" si="0"/>
        <v>0.55850536063818546</v>
      </c>
      <c r="C49">
        <f t="shared" si="5"/>
        <v>1.0918693333333331</v>
      </c>
      <c r="D49">
        <f t="shared" si="6"/>
        <v>0.1481599999999999</v>
      </c>
      <c r="E49" s="4" t="s">
        <v>30</v>
      </c>
      <c r="F49">
        <f>C49*'Données géométriques'!$B$6/(2+('Données géométriques'!$B$6^2+4)^0.5)</f>
        <v>0.60522646689696413</v>
      </c>
      <c r="G49">
        <f>F49^2/(PI()*'Données géométriques'!$B$6)</f>
        <v>3.6429574574258355E-2</v>
      </c>
      <c r="H49">
        <f t="shared" si="7"/>
        <v>0.18458957457425826</v>
      </c>
      <c r="I49" s="4" t="s">
        <v>30</v>
      </c>
      <c r="J49" s="4">
        <f>'1kts'!J$22</f>
        <v>-0.41152228571428573</v>
      </c>
      <c r="K49" s="4">
        <f>'1kts'!K$22</f>
        <v>0.92155428571428555</v>
      </c>
      <c r="L49" s="4">
        <f>'1kts'!L$22</f>
        <v>0.15152228571428572</v>
      </c>
    </row>
    <row r="50" spans="1:12" x14ac:dyDescent="0.25">
      <c r="A50">
        <f t="shared" si="8"/>
        <v>34</v>
      </c>
      <c r="B50">
        <f t="shared" si="0"/>
        <v>0.59341194567807209</v>
      </c>
      <c r="C50">
        <f t="shared" si="5"/>
        <v>1.0542186666666666</v>
      </c>
      <c r="D50">
        <f t="shared" si="6"/>
        <v>0.16167999999999991</v>
      </c>
      <c r="E50" s="4" t="s">
        <v>30</v>
      </c>
      <c r="F50">
        <f>C50*'Données géométriques'!$B$6/(2+('Données géométriques'!$B$6^2+4)^0.5)</f>
        <v>0.58435658872810337</v>
      </c>
      <c r="G50">
        <f>F50^2/(PI()*'Données géométriques'!$B$6)</f>
        <v>3.3960507094195666E-2</v>
      </c>
      <c r="H50">
        <f t="shared" si="7"/>
        <v>0.19564050709419556</v>
      </c>
      <c r="I50" s="4" t="s">
        <v>30</v>
      </c>
      <c r="J50" s="4">
        <f>'1kts'!J$22</f>
        <v>-0.41152228571428573</v>
      </c>
      <c r="K50" s="4">
        <f>'1kts'!K$22</f>
        <v>0.92155428571428555</v>
      </c>
      <c r="L50" s="4">
        <f>'1kts'!L$22</f>
        <v>0.15152228571428572</v>
      </c>
    </row>
    <row r="51" spans="1:12" x14ac:dyDescent="0.25">
      <c r="A51">
        <f t="shared" si="8"/>
        <v>36</v>
      </c>
      <c r="B51">
        <f t="shared" si="0"/>
        <v>0.62831853071795862</v>
      </c>
      <c r="C51">
        <f t="shared" si="5"/>
        <v>1.0165679999999999</v>
      </c>
      <c r="D51">
        <f t="shared" si="6"/>
        <v>0.17519999999999988</v>
      </c>
      <c r="E51" s="4" t="s">
        <v>30</v>
      </c>
      <c r="F51">
        <f>C51*'Données géométriques'!$B$6/(2+('Données géométriques'!$B$6^2+4)^0.5)</f>
        <v>0.56348671055924249</v>
      </c>
      <c r="G51">
        <f>F51^2/(PI()*'Données géométriques'!$B$6)</f>
        <v>3.1578073560801834E-2</v>
      </c>
      <c r="H51">
        <f t="shared" si="7"/>
        <v>0.20677807356080172</v>
      </c>
      <c r="I51" s="4" t="s">
        <v>30</v>
      </c>
      <c r="J51" s="4">
        <f>'1kts'!J$22</f>
        <v>-0.41152228571428573</v>
      </c>
      <c r="K51" s="4">
        <f>'1kts'!K$22</f>
        <v>0.92155428571428555</v>
      </c>
      <c r="L51" s="4">
        <f>'1kts'!L$22</f>
        <v>0.15152228571428572</v>
      </c>
    </row>
    <row r="52" spans="1:12" x14ac:dyDescent="0.25">
      <c r="A52">
        <f t="shared" si="8"/>
        <v>38</v>
      </c>
      <c r="B52">
        <f t="shared" si="0"/>
        <v>0.66322511575784526</v>
      </c>
      <c r="C52">
        <f t="shared" si="5"/>
        <v>0.9789173333333332</v>
      </c>
      <c r="D52">
        <f t="shared" si="6"/>
        <v>0.18871999999999989</v>
      </c>
      <c r="E52" s="4" t="s">
        <v>30</v>
      </c>
      <c r="F52">
        <f>C52*'Données géométriques'!$B$6/(2+('Données géométriques'!$B$6^2+4)^0.5)</f>
        <v>0.54261683239038161</v>
      </c>
      <c r="G52">
        <f>F52^2/(PI()*'Données géométriques'!$B$6)</f>
        <v>2.9282273974076865E-2</v>
      </c>
      <c r="H52">
        <f t="shared" si="7"/>
        <v>0.21800227397407676</v>
      </c>
      <c r="I52" s="4" t="s">
        <v>30</v>
      </c>
      <c r="J52" s="4">
        <f>'1kts'!J$22</f>
        <v>-0.41152228571428573</v>
      </c>
      <c r="K52" s="4">
        <f>'1kts'!K$22</f>
        <v>0.92155428571428555</v>
      </c>
      <c r="L52" s="4">
        <f>'1kts'!L$22</f>
        <v>0.15152228571428572</v>
      </c>
    </row>
    <row r="53" spans="1:12" x14ac:dyDescent="0.25">
      <c r="A53">
        <f t="shared" si="8"/>
        <v>40</v>
      </c>
      <c r="B53">
        <f t="shared" si="0"/>
        <v>0.69813170079773179</v>
      </c>
      <c r="C53">
        <f t="shared" si="5"/>
        <v>0.9412666666666667</v>
      </c>
      <c r="D53">
        <f t="shared" si="6"/>
        <v>0.20223999999999986</v>
      </c>
      <c r="E53" s="4" t="s">
        <v>30</v>
      </c>
      <c r="F53">
        <f>C53*'Données géométriques'!$B$6/(2+('Données géométriques'!$B$6^2+4)^0.5)</f>
        <v>0.52174695422152095</v>
      </c>
      <c r="G53">
        <f>F53^2/(PI()*'Données géométriques'!$B$6)</f>
        <v>2.7073108334020792E-2</v>
      </c>
      <c r="H53">
        <f t="shared" si="7"/>
        <v>0.22931310833402066</v>
      </c>
      <c r="I53" s="4" t="s">
        <v>30</v>
      </c>
      <c r="J53" s="4">
        <f>'1kts'!J$22</f>
        <v>-0.41152228571428573</v>
      </c>
      <c r="K53" s="4">
        <f>'1kts'!K$22</f>
        <v>0.92155428571428555</v>
      </c>
      <c r="L53" s="4">
        <f>'1kts'!L$22</f>
        <v>0.15152228571428572</v>
      </c>
    </row>
    <row r="54" spans="1:12" x14ac:dyDescent="0.25">
      <c r="A54">
        <f t="shared" si="8"/>
        <v>42</v>
      </c>
      <c r="B54">
        <f t="shared" si="0"/>
        <v>0.73303828583761843</v>
      </c>
      <c r="C54">
        <f t="shared" si="5"/>
        <v>0.90361599999999986</v>
      </c>
      <c r="D54">
        <f t="shared" si="6"/>
        <v>0.21575999999999987</v>
      </c>
      <c r="E54" s="4" t="s">
        <v>30</v>
      </c>
      <c r="F54">
        <f>C54*'Données géométriques'!$B$6/(2+('Données géométriques'!$B$6^2+4)^0.5)</f>
        <v>0.50087707605265996</v>
      </c>
      <c r="G54">
        <f>F54^2/(PI()*'Données géométriques'!$B$6)</f>
        <v>2.4950576640633548E-2</v>
      </c>
      <c r="H54">
        <f t="shared" si="7"/>
        <v>0.24071057664063342</v>
      </c>
      <c r="I54" s="4" t="s">
        <v>30</v>
      </c>
      <c r="J54" s="4">
        <f>'1kts'!J$22</f>
        <v>-0.41152228571428573</v>
      </c>
      <c r="K54" s="4">
        <f>'1kts'!K$22</f>
        <v>0.92155428571428555</v>
      </c>
      <c r="L54" s="4">
        <f>'1kts'!L$22</f>
        <v>0.15152228571428572</v>
      </c>
    </row>
    <row r="55" spans="1:12" x14ac:dyDescent="0.25">
      <c r="A55">
        <f t="shared" si="8"/>
        <v>44</v>
      </c>
      <c r="B55">
        <f t="shared" si="0"/>
        <v>0.76794487087750496</v>
      </c>
      <c r="C55">
        <f t="shared" si="5"/>
        <v>0.86596533333333336</v>
      </c>
      <c r="D55">
        <f t="shared" si="6"/>
        <v>0.22927999999999985</v>
      </c>
      <c r="E55" s="4" t="s">
        <v>30</v>
      </c>
      <c r="F55">
        <f>C55*'Données géométriques'!$B$6/(2+('Données géométriques'!$B$6^2+4)^0.5)</f>
        <v>0.48000719788379925</v>
      </c>
      <c r="G55">
        <f>F55^2/(PI()*'Données géométriques'!$B$6)</f>
        <v>2.2914678893915196E-2</v>
      </c>
      <c r="H55">
        <f t="shared" si="7"/>
        <v>0.25219467889391506</v>
      </c>
      <c r="I55" s="4" t="s">
        <v>30</v>
      </c>
      <c r="J55" s="4">
        <f>'1kts'!J$22</f>
        <v>-0.41152228571428573</v>
      </c>
      <c r="K55" s="4">
        <f>'1kts'!K$22</f>
        <v>0.92155428571428555</v>
      </c>
      <c r="L55" s="4">
        <f>'1kts'!L$22</f>
        <v>0.15152228571428572</v>
      </c>
    </row>
    <row r="56" spans="1:12" x14ac:dyDescent="0.25">
      <c r="A56">
        <f t="shared" si="8"/>
        <v>46</v>
      </c>
      <c r="B56">
        <f t="shared" si="0"/>
        <v>0.8028514559173916</v>
      </c>
      <c r="C56">
        <f t="shared" si="5"/>
        <v>0.82831466666666664</v>
      </c>
      <c r="D56">
        <f t="shared" si="6"/>
        <v>0.24279999999999985</v>
      </c>
      <c r="E56" s="4" t="s">
        <v>30</v>
      </c>
      <c r="F56">
        <f>C56*'Données géométriques'!$B$6/(2+('Données géométriques'!$B$6^2+4)^0.5)</f>
        <v>0.45913731971493837</v>
      </c>
      <c r="G56">
        <f>F56^2/(PI()*'Données géométriques'!$B$6)</f>
        <v>2.0965415093865694E-2</v>
      </c>
      <c r="H56">
        <f t="shared" si="7"/>
        <v>0.26376541509386553</v>
      </c>
      <c r="I56" s="4" t="s">
        <v>30</v>
      </c>
      <c r="J56" s="4">
        <f>'1kts'!J$22</f>
        <v>-0.41152228571428573</v>
      </c>
      <c r="K56" s="4">
        <f>'1kts'!K$22</f>
        <v>0.92155428571428555</v>
      </c>
      <c r="L56" s="4">
        <f>'1kts'!L$22</f>
        <v>0.15152228571428572</v>
      </c>
    </row>
    <row r="57" spans="1:12" x14ac:dyDescent="0.25">
      <c r="A57">
        <f t="shared" si="8"/>
        <v>48</v>
      </c>
      <c r="B57">
        <f t="shared" si="0"/>
        <v>0.83775804095727824</v>
      </c>
      <c r="C57">
        <f t="shared" si="5"/>
        <v>0.79066399999999992</v>
      </c>
      <c r="D57">
        <f t="shared" si="6"/>
        <v>0.25631999999999983</v>
      </c>
      <c r="E57" s="4" t="s">
        <v>30</v>
      </c>
      <c r="F57">
        <f>C57*'Données géométriques'!$B$6/(2+('Données géométriques'!$B$6^2+4)^0.5)</f>
        <v>0.4382674415460775</v>
      </c>
      <c r="G57">
        <f>F57^2/(PI()*'Données géométriques'!$B$6)</f>
        <v>1.910278524048506E-2</v>
      </c>
      <c r="H57">
        <f t="shared" si="7"/>
        <v>0.27542278524048491</v>
      </c>
      <c r="I57" s="4" t="s">
        <v>30</v>
      </c>
      <c r="J57" s="4">
        <f>'1kts'!J$22</f>
        <v>-0.41152228571428573</v>
      </c>
      <c r="K57" s="4">
        <f>'1kts'!K$22</f>
        <v>0.92155428571428555</v>
      </c>
      <c r="L57" s="4">
        <f>'1kts'!L$22</f>
        <v>0.15152228571428572</v>
      </c>
    </row>
    <row r="58" spans="1:12" x14ac:dyDescent="0.25">
      <c r="A58">
        <f t="shared" si="8"/>
        <v>50</v>
      </c>
      <c r="B58">
        <f t="shared" si="0"/>
        <v>0.87266462599716477</v>
      </c>
      <c r="C58">
        <f t="shared" si="5"/>
        <v>0.75301333333333331</v>
      </c>
      <c r="D58">
        <f t="shared" si="6"/>
        <v>0.26983999999999986</v>
      </c>
      <c r="E58" s="4" t="s">
        <v>30</v>
      </c>
      <c r="F58">
        <f>C58*'Données géométriques'!$B$6/(2+('Données géométriques'!$B$6^2+4)^0.5)</f>
        <v>0.41739756337721673</v>
      </c>
      <c r="G58">
        <f>F58^2/(PI()*'Données géométriques'!$B$6)</f>
        <v>1.7326789333773303E-2</v>
      </c>
      <c r="H58">
        <f t="shared" si="7"/>
        <v>0.28716678933377315</v>
      </c>
      <c r="I58" s="4" t="s">
        <v>30</v>
      </c>
      <c r="J58" s="4">
        <f>'1kts'!J$22</f>
        <v>-0.41152228571428573</v>
      </c>
      <c r="K58" s="4">
        <f>'1kts'!K$22</f>
        <v>0.92155428571428555</v>
      </c>
      <c r="L58" s="4">
        <f>'1kts'!L$22</f>
        <v>0.15152228571428572</v>
      </c>
    </row>
    <row r="59" spans="1:12" x14ac:dyDescent="0.25">
      <c r="A59">
        <f t="shared" si="8"/>
        <v>52</v>
      </c>
      <c r="B59">
        <f t="shared" si="0"/>
        <v>0.90757121103705141</v>
      </c>
      <c r="C59">
        <f t="shared" si="5"/>
        <v>0.7153626666666667</v>
      </c>
      <c r="D59">
        <f t="shared" si="6"/>
        <v>0.28335999999999983</v>
      </c>
      <c r="E59" s="4" t="s">
        <v>30</v>
      </c>
      <c r="F59">
        <f>C59*'Données géométriques'!$B$6/(2+('Données géométriques'!$B$6^2+4)^0.5)</f>
        <v>0.39652768520835591</v>
      </c>
      <c r="G59">
        <f>F59^2/(PI()*'Données géométriques'!$B$6)</f>
        <v>1.5637427373730407E-2</v>
      </c>
      <c r="H59">
        <f t="shared" si="7"/>
        <v>0.29899742737373025</v>
      </c>
      <c r="I59" s="4" t="s">
        <v>30</v>
      </c>
      <c r="J59" s="4">
        <f>'1kts'!J$22</f>
        <v>-0.41152228571428573</v>
      </c>
      <c r="K59" s="4">
        <f>'1kts'!K$22</f>
        <v>0.92155428571428555</v>
      </c>
      <c r="L59" s="4">
        <f>'1kts'!L$22</f>
        <v>0.15152228571428572</v>
      </c>
    </row>
    <row r="60" spans="1:12" x14ac:dyDescent="0.25">
      <c r="A60">
        <f t="shared" si="8"/>
        <v>54</v>
      </c>
      <c r="B60">
        <f t="shared" si="0"/>
        <v>0.94247779607693793</v>
      </c>
      <c r="C60">
        <f t="shared" si="5"/>
        <v>0.67771199999999998</v>
      </c>
      <c r="D60">
        <f t="shared" si="6"/>
        <v>0.29687999999999981</v>
      </c>
      <c r="E60" s="4" t="s">
        <v>30</v>
      </c>
      <c r="F60">
        <f>C60*'Données géométriques'!$B$6/(2+('Données géométriques'!$B$6^2+4)^0.5)</f>
        <v>0.37565780703949503</v>
      </c>
      <c r="G60">
        <f>F60^2/(PI()*'Données géométriques'!$B$6)</f>
        <v>1.4034699360356374E-2</v>
      </c>
      <c r="H60">
        <f t="shared" si="7"/>
        <v>0.31091469936035621</v>
      </c>
      <c r="I60" s="4" t="s">
        <v>30</v>
      </c>
      <c r="J60" s="4">
        <f>'1kts'!J$22</f>
        <v>-0.41152228571428573</v>
      </c>
      <c r="K60" s="4">
        <f>'1kts'!K$22</f>
        <v>0.92155428571428555</v>
      </c>
      <c r="L60" s="4">
        <f>'1kts'!L$22</f>
        <v>0.15152228571428572</v>
      </c>
    </row>
    <row r="61" spans="1:12" x14ac:dyDescent="0.25">
      <c r="A61">
        <f t="shared" si="8"/>
        <v>56</v>
      </c>
      <c r="B61">
        <f t="shared" si="0"/>
        <v>0.97738438111682457</v>
      </c>
      <c r="C61">
        <f t="shared" si="5"/>
        <v>0.64006133333333326</v>
      </c>
      <c r="D61">
        <f t="shared" si="6"/>
        <v>0.31039999999999979</v>
      </c>
      <c r="E61" s="4" t="s">
        <v>30</v>
      </c>
      <c r="F61">
        <f>C61*'Données géométriques'!$B$6/(2+('Données géométriques'!$B$6^2+4)^0.5)</f>
        <v>0.35478792887063415</v>
      </c>
      <c r="G61">
        <f>F61^2/(PI()*'Données géométriques'!$B$6)</f>
        <v>1.2518605293651206E-2</v>
      </c>
      <c r="H61">
        <f t="shared" si="7"/>
        <v>0.32291860529365102</v>
      </c>
      <c r="I61" s="4" t="s">
        <v>30</v>
      </c>
      <c r="J61" s="4">
        <f>'1kts'!J$22</f>
        <v>-0.41152228571428573</v>
      </c>
      <c r="K61" s="4">
        <f>'1kts'!K$22</f>
        <v>0.92155428571428555</v>
      </c>
      <c r="L61" s="4">
        <f>'1kts'!L$22</f>
        <v>0.15152228571428572</v>
      </c>
    </row>
    <row r="62" spans="1:12" x14ac:dyDescent="0.25">
      <c r="A62">
        <f t="shared" si="8"/>
        <v>58</v>
      </c>
      <c r="B62">
        <f t="shared" si="0"/>
        <v>1.0122909661567112</v>
      </c>
      <c r="C62">
        <f t="shared" si="5"/>
        <v>0.60241066666666665</v>
      </c>
      <c r="D62">
        <f t="shared" si="6"/>
        <v>0.32391999999999976</v>
      </c>
      <c r="E62" s="4" t="s">
        <v>30</v>
      </c>
      <c r="F62">
        <f>C62*'Données géométriques'!$B$6/(2+('Données géométriques'!$B$6^2+4)^0.5)</f>
        <v>0.33391805070177333</v>
      </c>
      <c r="G62">
        <f>F62^2/(PI()*'Données géométriques'!$B$6)</f>
        <v>1.1089145173614909E-2</v>
      </c>
      <c r="H62">
        <f t="shared" si="7"/>
        <v>0.33500914517361469</v>
      </c>
      <c r="I62" s="4" t="s">
        <v>30</v>
      </c>
      <c r="J62" s="4">
        <f>'1kts'!J$22</f>
        <v>-0.41152228571428573</v>
      </c>
      <c r="K62" s="4">
        <f>'1kts'!K$22</f>
        <v>0.92155428571428555</v>
      </c>
      <c r="L62" s="4">
        <f>'1kts'!L$22</f>
        <v>0.15152228571428572</v>
      </c>
    </row>
    <row r="63" spans="1:12" x14ac:dyDescent="0.25">
      <c r="A63">
        <f t="shared" si="8"/>
        <v>60</v>
      </c>
      <c r="B63">
        <f t="shared" si="0"/>
        <v>1.0471975511965976</v>
      </c>
      <c r="C63">
        <f t="shared" si="5"/>
        <v>0.56476000000000004</v>
      </c>
      <c r="D63">
        <f t="shared" si="6"/>
        <v>0.3374399999999998</v>
      </c>
      <c r="E63" s="4" t="s">
        <v>30</v>
      </c>
      <c r="F63">
        <f>C63*'Données géométriques'!$B$6/(2+('Données géométriques'!$B$6^2+4)^0.5)</f>
        <v>0.31304817253291256</v>
      </c>
      <c r="G63">
        <f>F63^2/(PI()*'Données géométriques'!$B$6)</f>
        <v>9.7463190002474824E-3</v>
      </c>
      <c r="H63">
        <f t="shared" si="7"/>
        <v>0.34718631900024727</v>
      </c>
      <c r="I63" s="4" t="s">
        <v>30</v>
      </c>
      <c r="J63" s="4">
        <f>'1kts'!J$22</f>
        <v>-0.41152228571428573</v>
      </c>
      <c r="K63" s="4">
        <f>'1kts'!K$22</f>
        <v>0.92155428571428555</v>
      </c>
      <c r="L63" s="4">
        <f>'1kts'!L$22</f>
        <v>0.15152228571428572</v>
      </c>
    </row>
    <row r="64" spans="1:12" x14ac:dyDescent="0.25">
      <c r="A64">
        <f t="shared" si="8"/>
        <v>62</v>
      </c>
      <c r="B64">
        <f t="shared" si="0"/>
        <v>1.0821041362364843</v>
      </c>
      <c r="C64">
        <f t="shared" si="5"/>
        <v>0.52710933333333332</v>
      </c>
      <c r="D64">
        <f t="shared" si="6"/>
        <v>0.35095999999999977</v>
      </c>
      <c r="E64" s="4" t="s">
        <v>30</v>
      </c>
      <c r="F64">
        <f>C64*'Données géométriques'!$B$6/(2+('Données géométriques'!$B$6^2+4)^0.5)</f>
        <v>0.29217829436405168</v>
      </c>
      <c r="G64">
        <f>F64^2/(PI()*'Données géométriques'!$B$6)</f>
        <v>8.4901267735489165E-3</v>
      </c>
      <c r="H64">
        <f t="shared" si="7"/>
        <v>0.35945012677354871</v>
      </c>
      <c r="I64" s="4" t="s">
        <v>30</v>
      </c>
      <c r="J64" s="4">
        <f>'1kts'!J$22</f>
        <v>-0.41152228571428573</v>
      </c>
      <c r="K64" s="4">
        <f>'1kts'!K$22</f>
        <v>0.92155428571428555</v>
      </c>
      <c r="L64" s="4">
        <f>'1kts'!L$22</f>
        <v>0.15152228571428572</v>
      </c>
    </row>
    <row r="65" spans="1:12" x14ac:dyDescent="0.25">
      <c r="A65">
        <f t="shared" si="8"/>
        <v>64</v>
      </c>
      <c r="B65">
        <f t="shared" si="0"/>
        <v>1.1170107212763709</v>
      </c>
      <c r="C65">
        <f t="shared" si="5"/>
        <v>0.4894586666666666</v>
      </c>
      <c r="D65">
        <f t="shared" si="6"/>
        <v>0.36447999999999975</v>
      </c>
      <c r="E65" s="4" t="s">
        <v>30</v>
      </c>
      <c r="F65">
        <f>C65*'Données géométriques'!$B$6/(2+('Données géométriques'!$B$6^2+4)^0.5)</f>
        <v>0.2713084161951908</v>
      </c>
      <c r="G65">
        <f>F65^2/(PI()*'Données géométriques'!$B$6)</f>
        <v>7.3205684935192163E-3</v>
      </c>
      <c r="H65">
        <f t="shared" si="7"/>
        <v>0.37180056849351895</v>
      </c>
      <c r="I65" s="4" t="s">
        <v>30</v>
      </c>
      <c r="J65" s="4">
        <f>'1kts'!J$22</f>
        <v>-0.41152228571428573</v>
      </c>
      <c r="K65" s="4">
        <f>'1kts'!K$22</f>
        <v>0.92155428571428555</v>
      </c>
      <c r="L65" s="4">
        <f>'1kts'!L$22</f>
        <v>0.15152228571428572</v>
      </c>
    </row>
    <row r="66" spans="1:12" x14ac:dyDescent="0.25">
      <c r="A66">
        <f t="shared" si="8"/>
        <v>66</v>
      </c>
      <c r="B66">
        <f t="shared" si="0"/>
        <v>1.1519173063162575</v>
      </c>
      <c r="C66">
        <f t="shared" si="5"/>
        <v>0.45180799999999993</v>
      </c>
      <c r="D66">
        <f t="shared" si="6"/>
        <v>0.37799999999999973</v>
      </c>
      <c r="E66" s="4" t="s">
        <v>30</v>
      </c>
      <c r="F66">
        <f>C66*'Données géométriques'!$B$6/(2+('Données géométriques'!$B$6^2+4)^0.5)</f>
        <v>0.25043853802632998</v>
      </c>
      <c r="G66">
        <f>F66^2/(PI()*'Données géométriques'!$B$6)</f>
        <v>6.2376441601583871E-3</v>
      </c>
      <c r="H66">
        <f t="shared" si="7"/>
        <v>0.3842376441601581</v>
      </c>
      <c r="I66" s="4" t="s">
        <v>30</v>
      </c>
      <c r="J66" s="4">
        <f>'1kts'!J$22</f>
        <v>-0.41152228571428573</v>
      </c>
      <c r="K66" s="4">
        <f>'1kts'!K$22</f>
        <v>0.92155428571428555</v>
      </c>
      <c r="L66" s="4">
        <f>'1kts'!L$22</f>
        <v>0.15152228571428572</v>
      </c>
    </row>
    <row r="67" spans="1:12" x14ac:dyDescent="0.25">
      <c r="A67">
        <f t="shared" si="8"/>
        <v>68</v>
      </c>
      <c r="B67">
        <f t="shared" si="0"/>
        <v>1.1868238913561442</v>
      </c>
      <c r="C67">
        <f t="shared" si="5"/>
        <v>0.41415733333333332</v>
      </c>
      <c r="D67">
        <f t="shared" si="6"/>
        <v>0.39151999999999976</v>
      </c>
      <c r="E67" s="4" t="s">
        <v>30</v>
      </c>
      <c r="F67">
        <f>C67*'Données géométriques'!$B$6/(2+('Données géométriques'!$B$6^2+4)^0.5)</f>
        <v>0.22956865985746919</v>
      </c>
      <c r="G67">
        <f>F67^2/(PI()*'Données géométriques'!$B$6)</f>
        <v>5.2413537734664235E-3</v>
      </c>
      <c r="H67">
        <f t="shared" si="7"/>
        <v>0.39676135377346616</v>
      </c>
      <c r="I67" s="4" t="s">
        <v>30</v>
      </c>
      <c r="J67" s="4">
        <f>'1kts'!J$22</f>
        <v>-0.41152228571428573</v>
      </c>
      <c r="K67" s="4">
        <f>'1kts'!K$22</f>
        <v>0.92155428571428555</v>
      </c>
      <c r="L67" s="4">
        <f>'1kts'!L$22</f>
        <v>0.15152228571428572</v>
      </c>
    </row>
    <row r="68" spans="1:12" x14ac:dyDescent="0.25">
      <c r="A68">
        <f t="shared" si="8"/>
        <v>70</v>
      </c>
      <c r="B68">
        <f t="shared" si="0"/>
        <v>1.2217304763960306</v>
      </c>
      <c r="C68">
        <f t="shared" si="5"/>
        <v>0.37650666666666666</v>
      </c>
      <c r="D68">
        <f t="shared" si="6"/>
        <v>0.40503999999999973</v>
      </c>
      <c r="E68" s="4" t="s">
        <v>30</v>
      </c>
      <c r="F68">
        <f>C68*'Données géométriques'!$B$6/(2+('Données géométriques'!$B$6^2+4)^0.5)</f>
        <v>0.20869878168860836</v>
      </c>
      <c r="G68">
        <f>F68^2/(PI()*'Données géométriques'!$B$6)</f>
        <v>4.3316973334433257E-3</v>
      </c>
      <c r="H68">
        <f t="shared" si="7"/>
        <v>0.40937169733344309</v>
      </c>
      <c r="I68" s="4" t="s">
        <v>30</v>
      </c>
      <c r="J68" s="4">
        <f>'1kts'!J$22</f>
        <v>-0.41152228571428573</v>
      </c>
      <c r="K68" s="4">
        <f>'1kts'!K$22</f>
        <v>0.92155428571428555</v>
      </c>
      <c r="L68" s="4">
        <f>'1kts'!L$22</f>
        <v>0.15152228571428572</v>
      </c>
    </row>
    <row r="69" spans="1:12" x14ac:dyDescent="0.25">
      <c r="A69">
        <f t="shared" si="8"/>
        <v>72</v>
      </c>
      <c r="B69">
        <f t="shared" ref="B69:B78" si="9">RADIANS(A69)</f>
        <v>1.2566370614359172</v>
      </c>
      <c r="C69">
        <f t="shared" si="5"/>
        <v>0.33885599999999999</v>
      </c>
      <c r="D69">
        <f t="shared" si="6"/>
        <v>0.41855999999999971</v>
      </c>
      <c r="E69" s="4" t="s">
        <v>30</v>
      </c>
      <c r="F69">
        <f>C69*'Données géométriques'!$B$6/(2+('Données géométriques'!$B$6^2+4)^0.5)</f>
        <v>0.18782890351974751</v>
      </c>
      <c r="G69">
        <f>F69^2/(PI()*'Données géométriques'!$B$6)</f>
        <v>3.5086748400890936E-3</v>
      </c>
      <c r="H69">
        <f t="shared" si="7"/>
        <v>0.42206867484008881</v>
      </c>
      <c r="I69" s="4" t="s">
        <v>30</v>
      </c>
      <c r="J69" s="4">
        <f>'1kts'!J$22</f>
        <v>-0.41152228571428573</v>
      </c>
      <c r="K69" s="4">
        <f>'1kts'!K$22</f>
        <v>0.92155428571428555</v>
      </c>
      <c r="L69" s="4">
        <f>'1kts'!L$22</f>
        <v>0.15152228571428572</v>
      </c>
    </row>
    <row r="70" spans="1:12" x14ac:dyDescent="0.25">
      <c r="A70">
        <f t="shared" si="8"/>
        <v>74</v>
      </c>
      <c r="B70">
        <f t="shared" si="9"/>
        <v>1.2915436464758039</v>
      </c>
      <c r="C70">
        <f t="shared" si="5"/>
        <v>0.30120533333333332</v>
      </c>
      <c r="D70">
        <f t="shared" si="6"/>
        <v>0.43207999999999969</v>
      </c>
      <c r="E70" s="4" t="s">
        <v>30</v>
      </c>
      <c r="F70">
        <f>C70*'Données géométriques'!$B$6/(2+('Données géométriques'!$B$6^2+4)^0.5)</f>
        <v>0.16695902535088666</v>
      </c>
      <c r="G70">
        <f>F70^2/(PI()*'Données géométriques'!$B$6)</f>
        <v>2.7722862934037272E-3</v>
      </c>
      <c r="H70">
        <f t="shared" si="7"/>
        <v>0.43485228629340339</v>
      </c>
      <c r="I70" s="4" t="s">
        <v>30</v>
      </c>
      <c r="J70" s="4">
        <f>'1kts'!J$22</f>
        <v>-0.41152228571428573</v>
      </c>
      <c r="K70" s="4">
        <f>'1kts'!K$22</f>
        <v>0.92155428571428555</v>
      </c>
      <c r="L70" s="4">
        <f>'1kts'!L$22</f>
        <v>0.15152228571428572</v>
      </c>
    </row>
    <row r="71" spans="1:12" x14ac:dyDescent="0.25">
      <c r="A71">
        <f t="shared" si="8"/>
        <v>76</v>
      </c>
      <c r="B71">
        <f t="shared" si="9"/>
        <v>1.3264502315156905</v>
      </c>
      <c r="C71">
        <f t="shared" si="5"/>
        <v>0.26355466666666666</v>
      </c>
      <c r="D71">
        <f t="shared" si="6"/>
        <v>0.44559999999999972</v>
      </c>
      <c r="E71" s="4" t="s">
        <v>30</v>
      </c>
      <c r="F71">
        <f>C71*'Données géométriques'!$B$6/(2+('Données géométriques'!$B$6^2+4)^0.5)</f>
        <v>0.14608914718202584</v>
      </c>
      <c r="G71">
        <f>F71^2/(PI()*'Données géométriques'!$B$6)</f>
        <v>2.1225316933872291E-3</v>
      </c>
      <c r="H71">
        <f t="shared" si="7"/>
        <v>0.44772253169338694</v>
      </c>
      <c r="I71" s="4" t="s">
        <v>30</v>
      </c>
      <c r="J71" s="4">
        <f>'1kts'!J$22</f>
        <v>-0.41152228571428573</v>
      </c>
      <c r="K71" s="4">
        <f>'1kts'!K$22</f>
        <v>0.92155428571428555</v>
      </c>
      <c r="L71" s="4">
        <f>'1kts'!L$22</f>
        <v>0.15152228571428572</v>
      </c>
    </row>
    <row r="72" spans="1:12" x14ac:dyDescent="0.25">
      <c r="A72">
        <f t="shared" si="8"/>
        <v>78</v>
      </c>
      <c r="B72">
        <f t="shared" si="9"/>
        <v>1.3613568165555769</v>
      </c>
      <c r="C72">
        <f t="shared" si="5"/>
        <v>0.22590399999999997</v>
      </c>
      <c r="D72">
        <f t="shared" si="6"/>
        <v>0.4591199999999997</v>
      </c>
      <c r="E72" s="4" t="s">
        <v>30</v>
      </c>
      <c r="F72">
        <f>C72*'Données géométriques'!$B$6/(2+('Données géométriques'!$B$6^2+4)^0.5)</f>
        <v>0.12521926901316499</v>
      </c>
      <c r="G72">
        <f>F72^2/(PI()*'Données géométriques'!$B$6)</f>
        <v>1.5594110400395968E-3</v>
      </c>
      <c r="H72">
        <f t="shared" si="7"/>
        <v>0.46067941104003929</v>
      </c>
      <c r="I72" s="4" t="s">
        <v>30</v>
      </c>
      <c r="J72" s="4">
        <f>'1kts'!J$22</f>
        <v>-0.41152228571428573</v>
      </c>
      <c r="K72" s="4">
        <f>'1kts'!K$22</f>
        <v>0.92155428571428555</v>
      </c>
      <c r="L72" s="4">
        <f>'1kts'!L$22</f>
        <v>0.15152228571428572</v>
      </c>
    </row>
    <row r="73" spans="1:12" x14ac:dyDescent="0.25">
      <c r="A73">
        <f t="shared" si="8"/>
        <v>80</v>
      </c>
      <c r="B73">
        <f t="shared" si="9"/>
        <v>1.3962634015954636</v>
      </c>
      <c r="C73">
        <f t="shared" si="5"/>
        <v>0.18825333333333333</v>
      </c>
      <c r="D73">
        <f t="shared" si="6"/>
        <v>0.47263999999999967</v>
      </c>
      <c r="E73" s="4" t="s">
        <v>30</v>
      </c>
      <c r="F73">
        <f>C73*'Données géométriques'!$B$6/(2+('Données géométriques'!$B$6^2+4)^0.5)</f>
        <v>0.10434939084430418</v>
      </c>
      <c r="G73">
        <f>F73^2/(PI()*'Données géométriques'!$B$6)</f>
        <v>1.0829243333608314E-3</v>
      </c>
      <c r="H73">
        <f t="shared" si="7"/>
        <v>0.4737229243333605</v>
      </c>
      <c r="I73" s="4" t="s">
        <v>30</v>
      </c>
      <c r="J73" s="4">
        <f>'1kts'!J$22</f>
        <v>-0.41152228571428573</v>
      </c>
      <c r="K73" s="4">
        <f>'1kts'!K$22</f>
        <v>0.92155428571428555</v>
      </c>
      <c r="L73" s="4">
        <f>'1kts'!L$22</f>
        <v>0.15152228571428572</v>
      </c>
    </row>
    <row r="74" spans="1:12" x14ac:dyDescent="0.25">
      <c r="A74">
        <f t="shared" si="8"/>
        <v>82</v>
      </c>
      <c r="B74">
        <f t="shared" si="9"/>
        <v>1.4311699866353502</v>
      </c>
      <c r="C74">
        <f t="shared" si="5"/>
        <v>0.15060266666666666</v>
      </c>
      <c r="D74">
        <f t="shared" si="6"/>
        <v>0.48615999999999965</v>
      </c>
      <c r="E74" s="4" t="s">
        <v>30</v>
      </c>
      <c r="F74">
        <f>C74*'Données géométriques'!$B$6/(2+('Données géométriques'!$B$6^2+4)^0.5)</f>
        <v>8.3479512675443332E-2</v>
      </c>
      <c r="G74">
        <f>F74^2/(PI()*'Données géométriques'!$B$6)</f>
        <v>6.930715733509318E-4</v>
      </c>
      <c r="H74">
        <f t="shared" si="7"/>
        <v>0.48685307157335056</v>
      </c>
      <c r="I74" s="4" t="s">
        <v>30</v>
      </c>
      <c r="J74" s="4">
        <f>'1kts'!J$22</f>
        <v>-0.41152228571428573</v>
      </c>
      <c r="K74" s="4">
        <f>'1kts'!K$22</f>
        <v>0.92155428571428555</v>
      </c>
      <c r="L74" s="4">
        <f>'1kts'!L$22</f>
        <v>0.15152228571428572</v>
      </c>
    </row>
    <row r="75" spans="1:12" x14ac:dyDescent="0.25">
      <c r="A75">
        <f t="shared" si="8"/>
        <v>84</v>
      </c>
      <c r="B75">
        <f t="shared" si="9"/>
        <v>1.4660765716752369</v>
      </c>
      <c r="C75">
        <f t="shared" si="5"/>
        <v>0.11295199999999998</v>
      </c>
      <c r="D75">
        <f t="shared" si="6"/>
        <v>0.49967999999999968</v>
      </c>
      <c r="E75" s="4" t="s">
        <v>30</v>
      </c>
      <c r="F75">
        <f>C75*'Données géométriques'!$B$6/(2+('Données géométriques'!$B$6^2+4)^0.5)</f>
        <v>6.2609634506582496E-2</v>
      </c>
      <c r="G75">
        <f>F75^2/(PI()*'Données géométriques'!$B$6)</f>
        <v>3.8985276000989919E-4</v>
      </c>
      <c r="H75">
        <f t="shared" si="7"/>
        <v>0.50006985276000959</v>
      </c>
      <c r="I75" s="4" t="s">
        <v>30</v>
      </c>
      <c r="J75" s="4">
        <f>'1kts'!J$22</f>
        <v>-0.41152228571428573</v>
      </c>
      <c r="K75" s="4">
        <f>'1kts'!K$22</f>
        <v>0.92155428571428555</v>
      </c>
      <c r="L75" s="4">
        <f>'1kts'!L$22</f>
        <v>0.15152228571428572</v>
      </c>
    </row>
    <row r="76" spans="1:12" x14ac:dyDescent="0.25">
      <c r="A76">
        <f t="shared" si="8"/>
        <v>86</v>
      </c>
      <c r="B76">
        <f t="shared" si="9"/>
        <v>1.5009831567151235</v>
      </c>
      <c r="C76">
        <f t="shared" si="5"/>
        <v>7.5301333333333331E-2</v>
      </c>
      <c r="D76">
        <f t="shared" si="6"/>
        <v>0.51319999999999966</v>
      </c>
      <c r="E76" s="4" t="s">
        <v>30</v>
      </c>
      <c r="F76">
        <f>C76*'Données géométriques'!$B$6/(2+('Données géométriques'!$B$6^2+4)^0.5)</f>
        <v>4.1739756337721666E-2</v>
      </c>
      <c r="G76">
        <f>F76^2/(PI()*'Données géométriques'!$B$6)</f>
        <v>1.7326789333773295E-4</v>
      </c>
      <c r="H76">
        <f t="shared" si="7"/>
        <v>0.51337326789333737</v>
      </c>
      <c r="I76" s="4" t="s">
        <v>30</v>
      </c>
      <c r="J76" s="4">
        <f>'1kts'!J$22</f>
        <v>-0.41152228571428573</v>
      </c>
      <c r="K76" s="4">
        <f>'1kts'!K$22</f>
        <v>0.92155428571428555</v>
      </c>
      <c r="L76" s="4">
        <f>'1kts'!L$22</f>
        <v>0.15152228571428572</v>
      </c>
    </row>
    <row r="77" spans="1:12" x14ac:dyDescent="0.25">
      <c r="A77">
        <f t="shared" si="8"/>
        <v>88</v>
      </c>
      <c r="B77">
        <f t="shared" si="9"/>
        <v>1.5358897417550099</v>
      </c>
      <c r="C77">
        <f t="shared" si="5"/>
        <v>3.7650666666666666E-2</v>
      </c>
      <c r="D77">
        <f t="shared" si="6"/>
        <v>0.52671999999999963</v>
      </c>
      <c r="E77" s="4" t="s">
        <v>30</v>
      </c>
      <c r="F77">
        <f>C77*'Données géométriques'!$B$6/(2+('Données géométriques'!$B$6^2+4)^0.5)</f>
        <v>2.0869878168860833E-2</v>
      </c>
      <c r="G77">
        <f>F77^2/(PI()*'Données géométriques'!$B$6)</f>
        <v>4.3316973334433238E-5</v>
      </c>
      <c r="H77">
        <f t="shared" si="7"/>
        <v>0.52676331697333412</v>
      </c>
      <c r="I77" s="4" t="s">
        <v>30</v>
      </c>
      <c r="J77" s="4">
        <f>'1kts'!J$22</f>
        <v>-0.41152228571428573</v>
      </c>
      <c r="K77" s="4">
        <f>'1kts'!K$22</f>
        <v>0.92155428571428555</v>
      </c>
      <c r="L77" s="4">
        <f>'1kts'!L$22</f>
        <v>0.15152228571428572</v>
      </c>
    </row>
    <row r="78" spans="1:12" x14ac:dyDescent="0.25">
      <c r="A78">
        <f t="shared" si="8"/>
        <v>90</v>
      </c>
      <c r="B78">
        <f t="shared" si="9"/>
        <v>1.5707963267948966</v>
      </c>
      <c r="C78">
        <f t="shared" si="5"/>
        <v>0</v>
      </c>
      <c r="D78">
        <f t="shared" si="6"/>
        <v>0.54023999999999972</v>
      </c>
      <c r="E78" s="4" t="s">
        <v>30</v>
      </c>
      <c r="F78">
        <f>C78*'Données géométriques'!$B$6/(2+('Données géométriques'!$B$6^2+4)^0.5)</f>
        <v>0</v>
      </c>
      <c r="G78">
        <f>F78^2/(PI()*'Données géométriques'!$B$6)</f>
        <v>0</v>
      </c>
      <c r="H78">
        <f t="shared" si="7"/>
        <v>0.54023999999999972</v>
      </c>
      <c r="I78" s="4" t="s">
        <v>30</v>
      </c>
      <c r="J78" s="4">
        <f>'1kts'!J$22</f>
        <v>-0.41152228571428573</v>
      </c>
      <c r="K78" s="4">
        <f>'1kts'!K$22</f>
        <v>0.92155428571428555</v>
      </c>
      <c r="L78" s="4">
        <f>'1kts'!L$22</f>
        <v>0.15152228571428572</v>
      </c>
    </row>
    <row r="79" spans="1:12" x14ac:dyDescent="0.25">
      <c r="J79" s="4"/>
      <c r="K79" s="4"/>
      <c r="L79" s="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58C03-BC6C-416B-BB91-84FB8042E63A}">
  <sheetPr codeName="Feuil8"/>
  <dimension ref="A1:O80"/>
  <sheetViews>
    <sheetView topLeftCell="A10" workbookViewId="0">
      <selection activeCell="M33" sqref="M33"/>
    </sheetView>
  </sheetViews>
  <sheetFormatPr baseColWidth="10" defaultRowHeight="15" x14ac:dyDescent="0.25"/>
  <sheetData>
    <row r="1" spans="1:15" x14ac:dyDescent="0.25">
      <c r="A1">
        <v>40</v>
      </c>
      <c r="C1">
        <f>ROUND(((A1*0.514)/15.6)*1000000,0)</f>
        <v>1317949</v>
      </c>
      <c r="N1" t="s">
        <v>28</v>
      </c>
      <c r="O1" t="s">
        <v>29</v>
      </c>
    </row>
    <row r="2" spans="1:1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22</v>
      </c>
      <c r="J2" t="s">
        <v>23</v>
      </c>
      <c r="K2" t="s">
        <v>25</v>
      </c>
      <c r="L2" t="s">
        <v>24</v>
      </c>
      <c r="N2">
        <f>INDEX(A4:A43,MATCH(MAX(F4:F43),F4:F43,0))</f>
        <v>15.5</v>
      </c>
      <c r="O2">
        <f>(D35-D34)/(A35-A34)</f>
        <v>7.7199999999999908E-3</v>
      </c>
    </row>
    <row r="3" spans="1:15" x14ac:dyDescent="0.25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5" x14ac:dyDescent="0.25">
      <c r="A4">
        <v>0</v>
      </c>
      <c r="B4">
        <v>0</v>
      </c>
      <c r="C4">
        <v>1E-4</v>
      </c>
      <c r="D4">
        <v>6.11E-3</v>
      </c>
      <c r="E4">
        <v>0</v>
      </c>
      <c r="F4">
        <f>C4*'Données géométriques'!$B$6/(2+('Données géométriques'!$B$6^2+4)^0.5)</f>
        <v>5.543030181544595E-5</v>
      </c>
      <c r="G4">
        <f>F4^2/(PI()*'Données géométriques'!$B$6)</f>
        <v>3.0557144138605595E-10</v>
      </c>
      <c r="H4">
        <f>G4+D4</f>
        <v>6.1100003055714414E-3</v>
      </c>
      <c r="I4">
        <v>0</v>
      </c>
      <c r="J4">
        <f>XCP_3D('Données géométriques'!$B$9,'Données géométriques'!$B$10,'Données géométriques'!$B$12,'Données géométriques'!$B$11,I4)</f>
        <v>-4.3380407229079376E-2</v>
      </c>
      <c r="K4">
        <f>'5kts'!K4</f>
        <v>1.1514536950961625</v>
      </c>
      <c r="L4">
        <f xml:space="preserve"> -(J4+0.26)</f>
        <v>-0.21661959277092063</v>
      </c>
    </row>
    <row r="5" spans="1:15" x14ac:dyDescent="0.25">
      <c r="A5">
        <v>0.5</v>
      </c>
      <c r="B5">
        <f>RADIANS(A5)</f>
        <v>8.7266462599716477E-3</v>
      </c>
      <c r="C5">
        <v>5.4600000000000003E-2</v>
      </c>
      <c r="D5">
        <v>6.1399999999999996E-3</v>
      </c>
      <c r="E5">
        <v>1E-4</v>
      </c>
      <c r="F5">
        <f>C5*'Données géométriques'!$B$6/(2+('Données géométriques'!$B$6^2+4)^0.5)</f>
        <v>3.026494479123349E-2</v>
      </c>
      <c r="G5">
        <f>F5^2/(PI()*'Données géométriques'!$B$6)</f>
        <v>9.1095735820245454E-5</v>
      </c>
      <c r="H5">
        <f t="shared" ref="H5:H41" si="0">G5+D5</f>
        <v>6.2310957358202449E-3</v>
      </c>
      <c r="I5">
        <f>0.25-E5/(C5*COS(B5)+D5*SIN(B5))</f>
        <v>0.24817022412059067</v>
      </c>
      <c r="J5">
        <f>XCP_3D('Données géométriques'!$B$9,'Données géométriques'!$B$10,'Données géométriques'!$B$12,'Données géométriques'!$B$11,I5)</f>
        <v>-0.22610825555801692</v>
      </c>
      <c r="K5">
        <f>'5kts'!K5</f>
        <v>1.1514536950961625</v>
      </c>
      <c r="L5">
        <f t="shared" ref="L5:L35" si="1" xml:space="preserve"> -(J5+0.26)</f>
        <v>-3.389174444198309E-2</v>
      </c>
    </row>
    <row r="6" spans="1:15" x14ac:dyDescent="0.25">
      <c r="A6">
        <v>1</v>
      </c>
      <c r="B6">
        <f t="shared" ref="B6:B41" si="2">RADIANS(A6)</f>
        <v>1.7453292519943295E-2</v>
      </c>
      <c r="C6">
        <v>0.1091</v>
      </c>
      <c r="D6">
        <v>6.2300000000000003E-3</v>
      </c>
      <c r="E6">
        <v>2.9999999999999997E-4</v>
      </c>
      <c r="F6">
        <f>C6*'Données géométriques'!$B$6/(2+('Données géométriques'!$B$6^2+4)^0.5)</f>
        <v>6.0474459280651538E-2</v>
      </c>
      <c r="G6">
        <f>F6^2/(PI()*'Données géométriques'!$B$6)</f>
        <v>3.6371588082443609E-4</v>
      </c>
      <c r="H6">
        <f t="shared" si="0"/>
        <v>6.593715880824436E-3</v>
      </c>
      <c r="I6">
        <f t="shared" ref="I6:I35" si="3">0.25-E6/(C6*COS(B6)+D6*SIN(B6))</f>
        <v>0.24725254879301628</v>
      </c>
      <c r="J6">
        <f>XCP_3D('Données géométriques'!$B$9,'Données géométriques'!$B$10,'Données géométriques'!$B$12,'Données géométriques'!$B$11,I6)</f>
        <v>-0.22543257079902995</v>
      </c>
      <c r="K6">
        <f>'5kts'!K6</f>
        <v>1.1514536950961625</v>
      </c>
      <c r="L6">
        <f t="shared" si="1"/>
        <v>-3.4567429200970057E-2</v>
      </c>
    </row>
    <row r="7" spans="1:15" x14ac:dyDescent="0.25">
      <c r="A7">
        <v>1.5</v>
      </c>
      <c r="B7">
        <f t="shared" si="2"/>
        <v>2.6179938779914945E-2</v>
      </c>
      <c r="C7">
        <v>0.1633</v>
      </c>
      <c r="D7">
        <v>6.3899999999999998E-3</v>
      </c>
      <c r="E7">
        <v>5.9999999999999995E-4</v>
      </c>
      <c r="F7">
        <f>C7*'Données géométriques'!$B$6/(2+('Données géométriques'!$B$6^2+4)^0.5)</f>
        <v>9.0517682864623222E-2</v>
      </c>
      <c r="G7">
        <f>F7^2/(PI()*'Données géométriques'!$B$6)</f>
        <v>8.1486400145833985E-4</v>
      </c>
      <c r="H7">
        <f t="shared" si="0"/>
        <v>7.2048640014583396E-3</v>
      </c>
      <c r="I7">
        <f t="shared" si="3"/>
        <v>0.2463282835616426</v>
      </c>
      <c r="J7">
        <f>XCP_3D('Données géométriques'!$B$9,'Données géométriques'!$B$10,'Données géométriques'!$B$12,'Données géométriques'!$B$11,I7)</f>
        <v>-0.22475203389089618</v>
      </c>
      <c r="K7">
        <f>'5kts'!K7</f>
        <v>1.1514536950961625</v>
      </c>
      <c r="L7">
        <f t="shared" si="1"/>
        <v>-3.5247966109103829E-2</v>
      </c>
    </row>
    <row r="8" spans="1:15" x14ac:dyDescent="0.25">
      <c r="A8">
        <v>2</v>
      </c>
      <c r="B8">
        <f t="shared" si="2"/>
        <v>3.4906585039886591E-2</v>
      </c>
      <c r="C8">
        <v>0.2172</v>
      </c>
      <c r="D8">
        <v>6.5900000000000004E-3</v>
      </c>
      <c r="E8">
        <v>8.9999999999999998E-4</v>
      </c>
      <c r="F8">
        <f>C8*'Données géométriques'!$B$6/(2+('Données géométriques'!$B$6^2+4)^0.5)</f>
        <v>0.12039461554314859</v>
      </c>
      <c r="G8">
        <f>F8^2/(PI()*'Données géométriques'!$B$6)</f>
        <v>1.441558942739795E-3</v>
      </c>
      <c r="H8">
        <f t="shared" si="0"/>
        <v>8.0315589427397954E-3</v>
      </c>
      <c r="I8">
        <f t="shared" si="3"/>
        <v>0.24585821616034997</v>
      </c>
      <c r="J8">
        <f>XCP_3D('Données géométriques'!$B$9,'Données géométriques'!$B$10,'Données géométriques'!$B$12,'Données géométriques'!$B$11,I8)</f>
        <v>-0.2244059230505964</v>
      </c>
      <c r="K8">
        <f>'5kts'!K8</f>
        <v>1.1514536950961625</v>
      </c>
      <c r="L8">
        <f t="shared" si="1"/>
        <v>-3.5594076949403614E-2</v>
      </c>
    </row>
    <row r="9" spans="1:15" x14ac:dyDescent="0.25">
      <c r="A9">
        <v>2.5</v>
      </c>
      <c r="B9">
        <f t="shared" si="2"/>
        <v>4.3633231299858237E-2</v>
      </c>
      <c r="C9">
        <v>0.27060000000000001</v>
      </c>
      <c r="D9">
        <v>6.8100000000000001E-3</v>
      </c>
      <c r="E9">
        <v>1.2999999999999999E-3</v>
      </c>
      <c r="F9">
        <f>C9*'Données géométriques'!$B$6/(2+('Données géométriques'!$B$6^2+4)^0.5)</f>
        <v>0.14999439671259673</v>
      </c>
      <c r="G9">
        <f>F9^2/(PI()*'Données géométriques'!$B$6)</f>
        <v>2.2375273229771455E-3</v>
      </c>
      <c r="H9">
        <f t="shared" si="0"/>
        <v>9.0475273229771447E-3</v>
      </c>
      <c r="I9">
        <f t="shared" si="3"/>
        <v>0.24519656215951996</v>
      </c>
      <c r="J9">
        <f>XCP_3D('Données géométriques'!$B$9,'Données géométriques'!$B$10,'Données géométriques'!$B$12,'Données géométriques'!$B$11,I9)</f>
        <v>-0.22391874691035485</v>
      </c>
      <c r="K9">
        <f>'5kts'!K9</f>
        <v>1.1514536950961625</v>
      </c>
      <c r="L9">
        <f t="shared" si="1"/>
        <v>-3.608125308964516E-2</v>
      </c>
    </row>
    <row r="10" spans="1:15" x14ac:dyDescent="0.25">
      <c r="A10">
        <v>3</v>
      </c>
      <c r="B10">
        <f t="shared" si="2"/>
        <v>5.235987755982989E-2</v>
      </c>
      <c r="C10">
        <v>0.32350000000000001</v>
      </c>
      <c r="D10">
        <v>7.0800000000000004E-3</v>
      </c>
      <c r="E10">
        <v>2E-3</v>
      </c>
      <c r="F10">
        <f>C10*'Données géométriques'!$B$6/(2+('Données géométriques'!$B$6^2+4)^0.5)</f>
        <v>0.17931702637296765</v>
      </c>
      <c r="G10">
        <f>F10^2/(PI()*'Données géométriques'!$B$6)</f>
        <v>3.1978738876793874E-3</v>
      </c>
      <c r="H10">
        <f t="shared" si="0"/>
        <v>1.0277873887679388E-2</v>
      </c>
      <c r="I10">
        <f t="shared" si="3"/>
        <v>0.24381622806339434</v>
      </c>
      <c r="J10">
        <f>XCP_3D('Données géométriques'!$B$9,'Données géométriques'!$B$10,'Données géométriques'!$B$12,'Données géométriques'!$B$11,I10)</f>
        <v>-0.22290240629070998</v>
      </c>
      <c r="K10">
        <f>'5kts'!K10</f>
        <v>1.1514536950961625</v>
      </c>
      <c r="L10">
        <f t="shared" si="1"/>
        <v>-3.7097593709290028E-2</v>
      </c>
    </row>
    <row r="11" spans="1:15" x14ac:dyDescent="0.25">
      <c r="A11">
        <v>3.5</v>
      </c>
      <c r="B11">
        <f t="shared" si="2"/>
        <v>6.1086523819801536E-2</v>
      </c>
      <c r="C11">
        <v>0.376</v>
      </c>
      <c r="D11">
        <v>7.3400000000000002E-3</v>
      </c>
      <c r="E11">
        <v>2.8E-3</v>
      </c>
      <c r="F11">
        <f>C11*'Données géométriques'!$B$6/(2+('Données géométriques'!$B$6^2+4)^0.5)</f>
        <v>0.20841793482607676</v>
      </c>
      <c r="G11">
        <f>F11^2/(PI()*'Données géométriques'!$B$6)</f>
        <v>4.3200468097395039E-3</v>
      </c>
      <c r="H11">
        <f t="shared" si="0"/>
        <v>1.1660046809739505E-2</v>
      </c>
      <c r="I11">
        <f t="shared" si="3"/>
        <v>0.24254817301063128</v>
      </c>
      <c r="J11">
        <f>XCP_3D('Données géométriques'!$B$9,'Données géométriques'!$B$10,'Données géométriques'!$B$12,'Données géométriques'!$B$11,I11)</f>
        <v>-0.22196873678150519</v>
      </c>
      <c r="K11">
        <f>'5kts'!K11</f>
        <v>1.1514536950961625</v>
      </c>
      <c r="L11">
        <f t="shared" si="1"/>
        <v>-3.8031263218494815E-2</v>
      </c>
    </row>
    <row r="12" spans="1:15" x14ac:dyDescent="0.25">
      <c r="A12">
        <v>4</v>
      </c>
      <c r="B12">
        <f t="shared" si="2"/>
        <v>6.9813170079773182E-2</v>
      </c>
      <c r="C12">
        <v>0.42849999999999999</v>
      </c>
      <c r="D12">
        <v>7.6400000000000001E-3</v>
      </c>
      <c r="E12">
        <v>3.7000000000000002E-3</v>
      </c>
      <c r="F12">
        <f>C12*'Données géométriques'!$B$6/(2+('Données géométriques'!$B$6^2+4)^0.5)</f>
        <v>0.23751884327918588</v>
      </c>
      <c r="G12">
        <f>F12^2/(PI()*'Données géométriques'!$B$6)</f>
        <v>5.6106659888636836E-3</v>
      </c>
      <c r="H12">
        <f t="shared" si="0"/>
        <v>1.3250665988863684E-2</v>
      </c>
      <c r="I12">
        <f t="shared" si="3"/>
        <v>0.24135492072704876</v>
      </c>
      <c r="J12">
        <f>XCP_3D('Données géométriques'!$B$9,'Données géométriques'!$B$10,'Données géométriques'!$B$12,'Données géométriques'!$B$11,I12)</f>
        <v>-0.22109014458509849</v>
      </c>
      <c r="K12">
        <f>'5kts'!K12</f>
        <v>1.1514536950961625</v>
      </c>
      <c r="L12">
        <f t="shared" si="1"/>
        <v>-3.8909855414901523E-2</v>
      </c>
    </row>
    <row r="13" spans="1:15" x14ac:dyDescent="0.25">
      <c r="A13">
        <v>4.5</v>
      </c>
      <c r="B13">
        <f t="shared" si="2"/>
        <v>7.8539816339744828E-2</v>
      </c>
      <c r="C13">
        <v>0.4844</v>
      </c>
      <c r="D13">
        <v>8.0199999999999994E-3</v>
      </c>
      <c r="E13">
        <v>3.7000000000000002E-3</v>
      </c>
      <c r="F13">
        <f>C13*'Données géométriques'!$B$6/(2+('Données géométriques'!$B$6^2+4)^0.5)</f>
        <v>0.26850438199402021</v>
      </c>
      <c r="G13">
        <f>F13^2/(PI()*'Données géométriques'!$B$6)</f>
        <v>7.1700309726867228E-3</v>
      </c>
      <c r="H13">
        <f t="shared" si="0"/>
        <v>1.5190030972686723E-2</v>
      </c>
      <c r="I13">
        <f t="shared" si="3"/>
        <v>0.24234803610862182</v>
      </c>
      <c r="J13">
        <f>XCP_3D('Données géométriques'!$B$9,'Données géométriques'!$B$10,'Données géométriques'!$B$12,'Données géométriques'!$B$11,I13)</f>
        <v>-0.22182137588998432</v>
      </c>
      <c r="K13">
        <f>'5kts'!K13</f>
        <v>1.1514536950961625</v>
      </c>
      <c r="L13">
        <f t="shared" si="1"/>
        <v>-3.8178624110015685E-2</v>
      </c>
    </row>
    <row r="14" spans="1:15" x14ac:dyDescent="0.25">
      <c r="A14">
        <v>5</v>
      </c>
      <c r="B14">
        <f t="shared" si="2"/>
        <v>8.7266462599716474E-2</v>
      </c>
      <c r="C14">
        <v>0.54479999999999995</v>
      </c>
      <c r="D14">
        <v>8.4200000000000004E-3</v>
      </c>
      <c r="E14">
        <v>2.5999999999999999E-3</v>
      </c>
      <c r="F14">
        <f>C14*'Données géométriques'!$B$6/(2+('Données géométriques'!$B$6^2+4)^0.5)</f>
        <v>0.30198428429054947</v>
      </c>
      <c r="G14">
        <f>F14^2/(PI()*'Données géométriques'!$B$6)</f>
        <v>9.0695755026328727E-3</v>
      </c>
      <c r="H14">
        <f t="shared" si="0"/>
        <v>1.7489575502632873E-2</v>
      </c>
      <c r="I14">
        <f t="shared" si="3"/>
        <v>0.2452158456157626</v>
      </c>
      <c r="J14">
        <f>XCP_3D('Données géométriques'!$B$9,'Données géométriques'!$B$10,'Données géométriques'!$B$12,'Données géométriques'!$B$11,I14)</f>
        <v>-0.22393294532791355</v>
      </c>
      <c r="K14">
        <f>'5kts'!K14</f>
        <v>1.1514536950961625</v>
      </c>
      <c r="L14">
        <f t="shared" si="1"/>
        <v>-3.6067054672086457E-2</v>
      </c>
    </row>
    <row r="15" spans="1:15" x14ac:dyDescent="0.25">
      <c r="A15">
        <v>5.5</v>
      </c>
      <c r="B15">
        <f t="shared" si="2"/>
        <v>9.599310885968812E-2</v>
      </c>
      <c r="C15">
        <v>0.60719999999999996</v>
      </c>
      <c r="D15">
        <v>8.8500000000000002E-3</v>
      </c>
      <c r="E15">
        <v>1.1000000000000001E-3</v>
      </c>
      <c r="F15">
        <f>C15*'Données géométriques'!$B$6/(2+('Données géométriques'!$B$6^2+4)^0.5)</f>
        <v>0.33657279262338774</v>
      </c>
      <c r="G15">
        <f>F15^2/(PI()*'Données géométriques'!$B$6)</f>
        <v>1.1266169697607705E-2</v>
      </c>
      <c r="H15">
        <f t="shared" si="0"/>
        <v>2.0116169697607704E-2</v>
      </c>
      <c r="I15">
        <f t="shared" si="3"/>
        <v>0.24818257761371662</v>
      </c>
      <c r="J15">
        <f>XCP_3D('Données géométriques'!$B$9,'Données géométriques'!$B$10,'Données géométriques'!$B$12,'Données géométriques'!$B$11,I15)</f>
        <v>-0.22611735144059514</v>
      </c>
      <c r="K15">
        <f>'5kts'!K15</f>
        <v>1.1514536950961625</v>
      </c>
      <c r="L15">
        <f t="shared" si="1"/>
        <v>-3.3882648559404871E-2</v>
      </c>
    </row>
    <row r="16" spans="1:15" x14ac:dyDescent="0.25">
      <c r="A16">
        <v>6</v>
      </c>
      <c r="B16">
        <f t="shared" si="2"/>
        <v>0.10471975511965978</v>
      </c>
      <c r="C16">
        <v>0.66959999999999997</v>
      </c>
      <c r="D16">
        <v>9.3399999999999993E-3</v>
      </c>
      <c r="E16">
        <v>-5.9999999999999995E-4</v>
      </c>
      <c r="F16">
        <f>C16*'Données géométriques'!$B$6/(2+('Données géométriques'!$B$6^2+4)^0.5)</f>
        <v>0.37116130095622607</v>
      </c>
      <c r="G16">
        <f>F16^2/(PI()*'Données géométriques'!$B$6)</f>
        <v>1.3700728263704819E-2</v>
      </c>
      <c r="H16">
        <f t="shared" si="0"/>
        <v>2.3040728263704818E-2</v>
      </c>
      <c r="I16">
        <f t="shared" si="3"/>
        <v>0.25089967410611985</v>
      </c>
      <c r="J16">
        <f>XCP_3D('Données géométriques'!$B$9,'Données géométriques'!$B$10,'Données géométriques'!$B$12,'Données géométriques'!$B$11,I16)</f>
        <v>-0.22811795081756683</v>
      </c>
      <c r="K16">
        <f>'5kts'!K16</f>
        <v>1.1514536950961625</v>
      </c>
      <c r="L16">
        <f t="shared" si="1"/>
        <v>-3.1882049182433175E-2</v>
      </c>
    </row>
    <row r="17" spans="1:12" x14ac:dyDescent="0.25">
      <c r="A17">
        <v>6.5</v>
      </c>
      <c r="B17">
        <f t="shared" si="2"/>
        <v>0.11344640137963143</v>
      </c>
      <c r="C17">
        <v>0.73140000000000005</v>
      </c>
      <c r="D17">
        <v>9.8200000000000006E-3</v>
      </c>
      <c r="E17">
        <v>-2.0999999999999999E-3</v>
      </c>
      <c r="F17">
        <f>C17*'Données géométriques'!$B$6/(2+('Données géométriques'!$B$6^2+4)^0.5)</f>
        <v>0.40541722747817172</v>
      </c>
      <c r="G17">
        <f>F17^2/(PI()*'Données géométriques'!$B$6)</f>
        <v>1.6346420806084744E-2</v>
      </c>
      <c r="H17">
        <f t="shared" si="0"/>
        <v>2.6166420806084743E-2</v>
      </c>
      <c r="I17">
        <f t="shared" si="3"/>
        <v>0.25288536799480382</v>
      </c>
      <c r="J17">
        <f>XCP_3D('Données géométriques'!$B$9,'Données géométriques'!$B$10,'Données géométriques'!$B$12,'Données géométriques'!$B$11,I17)</f>
        <v>-0.22958001812642831</v>
      </c>
      <c r="K17">
        <f>'5kts'!K17</f>
        <v>1.1514536950961625</v>
      </c>
      <c r="L17">
        <f t="shared" si="1"/>
        <v>-3.04199818735717E-2</v>
      </c>
    </row>
    <row r="18" spans="1:12" x14ac:dyDescent="0.25">
      <c r="A18">
        <v>7</v>
      </c>
      <c r="B18">
        <f t="shared" si="2"/>
        <v>0.12217304763960307</v>
      </c>
      <c r="C18">
        <v>0.78039999999999998</v>
      </c>
      <c r="D18">
        <v>1.034E-2</v>
      </c>
      <c r="E18">
        <v>-8.9999999999999998E-4</v>
      </c>
      <c r="F18">
        <f>C18*'Données géométriques'!$B$6/(2+('Données géométriques'!$B$6^2+4)^0.5)</f>
        <v>0.43257807536774018</v>
      </c>
      <c r="G18">
        <f>F18^2/(PI()*'Données géométriques'!$B$6)</f>
        <v>1.8610039041013195E-2</v>
      </c>
      <c r="H18">
        <f t="shared" si="0"/>
        <v>2.8950039041013197E-2</v>
      </c>
      <c r="I18">
        <f t="shared" si="3"/>
        <v>0.25116002829299733</v>
      </c>
      <c r="J18">
        <f>XCP_3D('Données géométriques'!$B$9,'Données géométriques'!$B$10,'Données géométriques'!$B$12,'Données géométriques'!$B$11,I18)</f>
        <v>-0.22830964972318848</v>
      </c>
      <c r="K18">
        <f>'5kts'!K18</f>
        <v>1.1514536950961625</v>
      </c>
      <c r="L18">
        <f t="shared" si="1"/>
        <v>-3.1690350276811524E-2</v>
      </c>
    </row>
    <row r="19" spans="1:12" x14ac:dyDescent="0.25">
      <c r="A19">
        <v>7.5</v>
      </c>
      <c r="B19">
        <f t="shared" si="2"/>
        <v>0.1308996938995747</v>
      </c>
      <c r="C19">
        <v>0.83020000000000005</v>
      </c>
      <c r="D19">
        <v>1.0869999999999999E-2</v>
      </c>
      <c r="E19">
        <v>2.0000000000000001E-4</v>
      </c>
      <c r="F19">
        <f>C19*'Données géométriques'!$B$6/(2+('Données géométriques'!$B$6^2+4)^0.5)</f>
        <v>0.46018236567183229</v>
      </c>
      <c r="G19">
        <f>F19^2/(PI()*'Données géométriques'!$B$6)</f>
        <v>2.1060962791225175E-2</v>
      </c>
      <c r="H19">
        <f t="shared" si="0"/>
        <v>3.1930962791225176E-2</v>
      </c>
      <c r="I19">
        <f t="shared" si="3"/>
        <v>0.24975743355295854</v>
      </c>
      <c r="J19">
        <f>XCP_3D('Données géométriques'!$B$9,'Données géométriques'!$B$10,'Données géométriques'!$B$12,'Données géométriques'!$B$11,I19)</f>
        <v>-0.22727691858135643</v>
      </c>
      <c r="K19">
        <f>'5kts'!K19</f>
        <v>1.1514536950961625</v>
      </c>
      <c r="L19">
        <f t="shared" si="1"/>
        <v>-3.2723081418643579E-2</v>
      </c>
    </row>
    <row r="20" spans="1:12" x14ac:dyDescent="0.25">
      <c r="A20">
        <v>8</v>
      </c>
      <c r="B20">
        <f t="shared" si="2"/>
        <v>0.13962634015954636</v>
      </c>
      <c r="C20">
        <v>0.88</v>
      </c>
      <c r="D20">
        <v>1.1520000000000001E-2</v>
      </c>
      <c r="E20">
        <v>1.1999999999999999E-3</v>
      </c>
      <c r="F20">
        <f>C20*'Données géométriques'!$B$6/(2+('Données géométriques'!$B$6^2+4)^0.5)</f>
        <v>0.48778665597592435</v>
      </c>
      <c r="G20">
        <f>F20^2/(PI()*'Données géométriques'!$B$6)</f>
        <v>2.3663452420936173E-2</v>
      </c>
      <c r="H20">
        <f t="shared" si="0"/>
        <v>3.5183452420936172E-2</v>
      </c>
      <c r="I20">
        <f t="shared" si="3"/>
        <v>0.24862549123236274</v>
      </c>
      <c r="J20">
        <f>XCP_3D('Données géométriques'!$B$9,'Données géométriques'!$B$10,'Données géométriques'!$B$12,'Données géométriques'!$B$11,I20)</f>
        <v>-0.22644346893844405</v>
      </c>
      <c r="K20">
        <f>'5kts'!K20</f>
        <v>1.1514536950961625</v>
      </c>
      <c r="L20">
        <f t="shared" si="1"/>
        <v>-3.3556531061555955E-2</v>
      </c>
    </row>
    <row r="21" spans="1:12" x14ac:dyDescent="0.25">
      <c r="A21">
        <v>8.5</v>
      </c>
      <c r="B21">
        <f t="shared" si="2"/>
        <v>0.14835298641951802</v>
      </c>
      <c r="C21">
        <v>0.93030000000000002</v>
      </c>
      <c r="D21">
        <v>1.217E-2</v>
      </c>
      <c r="E21">
        <v>2E-3</v>
      </c>
      <c r="F21">
        <f>C21*'Données géométriques'!$B$6/(2+('Données géométriques'!$B$6^2+4)^0.5)</f>
        <v>0.51566809778909362</v>
      </c>
      <c r="G21">
        <f>F21^2/(PI()*'Données géométriques'!$B$6)</f>
        <v>2.6445927602052288E-2</v>
      </c>
      <c r="H21">
        <f t="shared" si="0"/>
        <v>3.8615927602052291E-2</v>
      </c>
      <c r="I21">
        <f t="shared" si="3"/>
        <v>0.24783052094305111</v>
      </c>
      <c r="J21">
        <f>XCP_3D('Données géométriques'!$B$9,'Données géométriques'!$B$10,'Données géométriques'!$B$12,'Données géométriques'!$B$11,I21)</f>
        <v>-0.22585813195466209</v>
      </c>
      <c r="K21">
        <f>'5kts'!K21</f>
        <v>1.1514536950961625</v>
      </c>
      <c r="L21">
        <f t="shared" si="1"/>
        <v>-3.414186804533792E-2</v>
      </c>
    </row>
    <row r="22" spans="1:12" x14ac:dyDescent="0.25">
      <c r="A22">
        <v>9</v>
      </c>
      <c r="B22">
        <f t="shared" si="2"/>
        <v>0.15707963267948966</v>
      </c>
      <c r="C22">
        <v>0.98040000000000005</v>
      </c>
      <c r="D22">
        <v>1.2869999999999999E-2</v>
      </c>
      <c r="E22">
        <v>2.8E-3</v>
      </c>
      <c r="F22">
        <f>C22*'Données géométriques'!$B$6/(2+('Données géométriques'!$B$6^2+4)^0.5)</f>
        <v>0.54343867899863207</v>
      </c>
      <c r="G22">
        <f>F22^2/(PI()*'Données géométriques'!$B$6)</f>
        <v>2.9371042920864537E-2</v>
      </c>
      <c r="H22">
        <f t="shared" si="0"/>
        <v>4.2241042920864537E-2</v>
      </c>
      <c r="I22">
        <f t="shared" si="3"/>
        <v>0.24711442230896929</v>
      </c>
      <c r="J22">
        <f>XCP_3D('Données géométriques'!$B$9,'Données géométriques'!$B$10,'Données géométriques'!$B$12,'Données géométriques'!$B$11,I22)</f>
        <v>-0.22533086820631773</v>
      </c>
      <c r="K22">
        <f>'5kts'!K22</f>
        <v>1.1514536950961625</v>
      </c>
      <c r="L22">
        <f t="shared" si="1"/>
        <v>-3.4669131793682278E-2</v>
      </c>
    </row>
    <row r="23" spans="1:12" x14ac:dyDescent="0.25">
      <c r="A23">
        <v>9.5</v>
      </c>
      <c r="B23">
        <f t="shared" si="2"/>
        <v>0.16580627893946132</v>
      </c>
      <c r="C23">
        <v>1.0298</v>
      </c>
      <c r="D23">
        <v>1.3679999999999999E-2</v>
      </c>
      <c r="E23">
        <v>3.7000000000000002E-3</v>
      </c>
      <c r="F23">
        <f>C23*'Données géométriques'!$B$6/(2+('Données géométriques'!$B$6^2+4)^0.5)</f>
        <v>0.57082124809546242</v>
      </c>
      <c r="G23">
        <f>F23^2/(PI()*'Données géométriques'!$B$6)</f>
        <v>3.2405485895547335E-2</v>
      </c>
      <c r="H23">
        <f t="shared" si="0"/>
        <v>4.6085485895547333E-2</v>
      </c>
      <c r="I23">
        <f t="shared" si="3"/>
        <v>0.24636518946802599</v>
      </c>
      <c r="J23">
        <f>XCP_3D('Données géométriques'!$B$9,'Données géométriques'!$B$10,'Données géométriques'!$B$12,'Données géométriques'!$B$11,I23)</f>
        <v>-0.22477920772646948</v>
      </c>
      <c r="K23">
        <f>'5kts'!K23</f>
        <v>1.1514536950961625</v>
      </c>
      <c r="L23">
        <f t="shared" si="1"/>
        <v>-3.5220792273530532E-2</v>
      </c>
    </row>
    <row r="24" spans="1:12" x14ac:dyDescent="0.25">
      <c r="A24">
        <v>10</v>
      </c>
      <c r="B24">
        <f t="shared" si="2"/>
        <v>0.17453292519943295</v>
      </c>
      <c r="C24">
        <v>1.0784</v>
      </c>
      <c r="D24">
        <v>1.46E-2</v>
      </c>
      <c r="E24">
        <v>4.5999999999999999E-3</v>
      </c>
      <c r="F24">
        <f>C24*'Données géométriques'!$B$6/(2+('Données géométriques'!$B$6^2+4)^0.5)</f>
        <v>0.59776037477776911</v>
      </c>
      <c r="G24">
        <f>F24^2/(PI()*'Données géométriques'!$B$6)</f>
        <v>3.5536325659415537E-2</v>
      </c>
      <c r="H24">
        <f t="shared" si="0"/>
        <v>5.0136325659415538E-2</v>
      </c>
      <c r="I24">
        <f t="shared" si="3"/>
        <v>0.24567893325931214</v>
      </c>
      <c r="J24">
        <f>XCP_3D('Données géométriques'!$B$9,'Données géométriques'!$B$10,'Données géométriques'!$B$12,'Données géométriques'!$B$11,I24)</f>
        <v>-0.22427391696942733</v>
      </c>
      <c r="K24">
        <f>'5kts'!K24</f>
        <v>1.1514536950961625</v>
      </c>
      <c r="L24">
        <f t="shared" si="1"/>
        <v>-3.5726083030572675E-2</v>
      </c>
    </row>
    <row r="25" spans="1:12" x14ac:dyDescent="0.25">
      <c r="A25">
        <v>10.5</v>
      </c>
      <c r="B25">
        <f t="shared" si="2"/>
        <v>0.18325957145940461</v>
      </c>
      <c r="C25">
        <v>1.1265000000000001</v>
      </c>
      <c r="D25">
        <v>1.5520000000000001E-2</v>
      </c>
      <c r="E25">
        <v>5.4999999999999997E-3</v>
      </c>
      <c r="F25">
        <f>C25*'Données géométriques'!$B$6/(2+('Données géométriques'!$B$6^2+4)^0.5)</f>
        <v>0.62442234995099866</v>
      </c>
      <c r="G25">
        <f>F25^2/(PI()*'Données géométriques'!$B$6)</f>
        <v>3.8777084665464819E-2</v>
      </c>
      <c r="H25">
        <f t="shared" si="0"/>
        <v>5.4297084665464818E-2</v>
      </c>
      <c r="I25">
        <f t="shared" si="3"/>
        <v>0.24504711967153234</v>
      </c>
      <c r="J25">
        <f>XCP_3D('Données géométriques'!$B$9,'Données géométriques'!$B$10,'Données géométriques'!$B$12,'Données géométriques'!$B$11,I25)</f>
        <v>-0.22380871233881963</v>
      </c>
      <c r="K25">
        <f>'5kts'!K25</f>
        <v>1.1514536950961625</v>
      </c>
      <c r="L25">
        <f t="shared" si="1"/>
        <v>-3.6191287661180377E-2</v>
      </c>
    </row>
    <row r="26" spans="1:12" x14ac:dyDescent="0.25">
      <c r="A26">
        <v>11</v>
      </c>
      <c r="B26">
        <f t="shared" si="2"/>
        <v>0.19198621771937624</v>
      </c>
      <c r="C26">
        <v>1.1736</v>
      </c>
      <c r="D26">
        <v>1.653E-2</v>
      </c>
      <c r="E26">
        <v>6.4999999999999997E-3</v>
      </c>
      <c r="F26">
        <f>C26*'Données géométriques'!$B$6/(2+('Données géométriques'!$B$6^2+4)^0.5)</f>
        <v>0.65053002210607358</v>
      </c>
      <c r="G26">
        <f>F26^2/(PI()*'Données géométriques'!$B$6)</f>
        <v>4.2087484014148829E-2</v>
      </c>
      <c r="H26">
        <f t="shared" si="0"/>
        <v>5.8617484014148832E-2</v>
      </c>
      <c r="I26">
        <f t="shared" si="3"/>
        <v>0.24437322844164605</v>
      </c>
      <c r="J26">
        <f>XCP_3D('Données géométriques'!$B$9,'Données géométriques'!$B$10,'Données géométriques'!$B$12,'Données géométriques'!$B$11,I26)</f>
        <v>-0.22331252592128567</v>
      </c>
      <c r="K26">
        <f>K25</f>
        <v>1.1514536950961625</v>
      </c>
      <c r="L26">
        <f t="shared" si="1"/>
        <v>-3.6687474078714338E-2</v>
      </c>
    </row>
    <row r="27" spans="1:12" x14ac:dyDescent="0.25">
      <c r="A27">
        <v>11.5</v>
      </c>
      <c r="B27">
        <f t="shared" si="2"/>
        <v>0.2007128639793479</v>
      </c>
      <c r="C27">
        <v>1.2193000000000001</v>
      </c>
      <c r="D27">
        <v>1.7649999999999999E-2</v>
      </c>
      <c r="E27">
        <v>7.6E-3</v>
      </c>
      <c r="F27">
        <f>C27*'Données géométriques'!$B$6/(2+('Données géométriques'!$B$6^2+4)^0.5)</f>
        <v>0.67586167003573239</v>
      </c>
      <c r="G27">
        <f>F27^2/(PI()*'Données géométriques'!$B$6)</f>
        <v>4.5429076706712444E-2</v>
      </c>
      <c r="H27">
        <f t="shared" si="0"/>
        <v>6.307907670671245E-2</v>
      </c>
      <c r="I27">
        <f t="shared" si="3"/>
        <v>0.24365789890420819</v>
      </c>
      <c r="J27">
        <f>XCP_3D('Données géométriques'!$B$9,'Données géométriques'!$B$10,'Données géométriques'!$B$12,'Données géométriques'!$B$11,I27)</f>
        <v>-0.22278582845915065</v>
      </c>
      <c r="K27">
        <f t="shared" ref="K27:K35" si="4">K26</f>
        <v>1.1514536950961625</v>
      </c>
      <c r="L27">
        <f t="shared" si="1"/>
        <v>-3.7214171540849356E-2</v>
      </c>
    </row>
    <row r="28" spans="1:12" x14ac:dyDescent="0.25">
      <c r="A28">
        <v>12</v>
      </c>
      <c r="B28">
        <f t="shared" si="2"/>
        <v>0.20943951023931956</v>
      </c>
      <c r="C28">
        <v>1.2633000000000001</v>
      </c>
      <c r="D28">
        <v>1.891E-2</v>
      </c>
      <c r="E28">
        <v>8.8000000000000005E-3</v>
      </c>
      <c r="F28">
        <f>C28*'Données géométriques'!$B$6/(2+('Données géométriques'!$B$6^2+4)^0.5)</f>
        <v>0.70025100283452868</v>
      </c>
      <c r="G28">
        <f>F28^2/(PI()*'Données géométriques'!$B$6)</f>
        <v>4.8766968012406549E-2</v>
      </c>
      <c r="H28">
        <f t="shared" si="0"/>
        <v>6.7676968012406552E-2</v>
      </c>
      <c r="I28">
        <f t="shared" si="3"/>
        <v>0.24290108167022922</v>
      </c>
      <c r="J28">
        <f>XCP_3D('Données géométriques'!$B$9,'Données géométriques'!$B$10,'Données géométriques'!$B$12,'Données géométriques'!$B$11,I28)</f>
        <v>-0.22222858358727501</v>
      </c>
      <c r="K28">
        <f t="shared" si="4"/>
        <v>1.1514536950961625</v>
      </c>
      <c r="L28">
        <f t="shared" si="1"/>
        <v>-3.7771416412724995E-2</v>
      </c>
    </row>
    <row r="29" spans="1:12" x14ac:dyDescent="0.25">
      <c r="A29">
        <v>12.5</v>
      </c>
      <c r="B29">
        <f t="shared" si="2"/>
        <v>0.21816615649929119</v>
      </c>
      <c r="C29">
        <v>1.3038000000000001</v>
      </c>
      <c r="D29">
        <v>2.0480000000000002E-2</v>
      </c>
      <c r="E29">
        <v>1.04E-2</v>
      </c>
      <c r="F29">
        <f>C29*'Données géométriques'!$B$6/(2+('Données géométriques'!$B$6^2+4)^0.5)</f>
        <v>0.72270027506978429</v>
      </c>
      <c r="G29">
        <f>F29^2/(PI()*'Données géométriques'!$B$6)</f>
        <v>5.1943919423494238E-2</v>
      </c>
      <c r="H29">
        <f t="shared" si="0"/>
        <v>7.2423919423494243E-2</v>
      </c>
      <c r="I29">
        <f t="shared" si="3"/>
        <v>0.24185799986869366</v>
      </c>
      <c r="J29">
        <f>XCP_3D('Données géométriques'!$B$9,'Données géométriques'!$B$10,'Données géométriques'!$B$12,'Données géométriques'!$B$11,I29)</f>
        <v>-0.22146056198476055</v>
      </c>
      <c r="K29">
        <f t="shared" si="4"/>
        <v>1.1514536950961625</v>
      </c>
      <c r="L29">
        <f t="shared" si="1"/>
        <v>-3.8539438015239458E-2</v>
      </c>
    </row>
    <row r="30" spans="1:12" x14ac:dyDescent="0.25">
      <c r="A30">
        <v>13</v>
      </c>
      <c r="B30">
        <f t="shared" si="2"/>
        <v>0.22689280275926285</v>
      </c>
      <c r="C30">
        <v>1.3418000000000001</v>
      </c>
      <c r="D30">
        <v>2.2179999999999998E-2</v>
      </c>
      <c r="E30">
        <v>1.21E-2</v>
      </c>
      <c r="F30">
        <f>C30*'Données géométriques'!$B$6/(2+('Données géométriques'!$B$6^2+4)^0.5)</f>
        <v>0.74376378975965374</v>
      </c>
      <c r="G30">
        <f>F30^2/(PI()*'Données géométriques'!$B$6)</f>
        <v>5.5015914683751839E-2</v>
      </c>
      <c r="H30">
        <f t="shared" si="0"/>
        <v>7.7195914683751837E-2</v>
      </c>
      <c r="I30">
        <f t="shared" si="3"/>
        <v>0.24078024407409321</v>
      </c>
      <c r="J30">
        <f>XCP_3D('Données géométriques'!$B$9,'Données géométriques'!$B$10,'Données géométriques'!$B$12,'Données géométriques'!$B$11,I30)</f>
        <v>-0.2206670099054592</v>
      </c>
      <c r="K30">
        <f t="shared" si="4"/>
        <v>1.1514536950961625</v>
      </c>
      <c r="L30">
        <f t="shared" si="1"/>
        <v>-3.9332990094540804E-2</v>
      </c>
    </row>
    <row r="31" spans="1:12" x14ac:dyDescent="0.25">
      <c r="A31">
        <v>13.5</v>
      </c>
      <c r="B31">
        <f t="shared" si="2"/>
        <v>0.23561944901923448</v>
      </c>
      <c r="C31">
        <v>1.3779999999999999</v>
      </c>
      <c r="D31">
        <v>2.383E-2</v>
      </c>
      <c r="E31">
        <v>1.4E-2</v>
      </c>
      <c r="F31">
        <f>C31*'Données géométriques'!$B$6/(2+('Données géométriques'!$B$6^2+4)^0.5)</f>
        <v>0.76382955901684513</v>
      </c>
      <c r="G31">
        <f>F31^2/(PI()*'Données géométriques'!$B$6)</f>
        <v>5.8024472090491941E-2</v>
      </c>
      <c r="H31">
        <f t="shared" si="0"/>
        <v>8.1854472090491945E-2</v>
      </c>
      <c r="I31">
        <f t="shared" si="3"/>
        <v>0.23959485914292145</v>
      </c>
      <c r="J31">
        <f>XCP_3D('Données géométriques'!$B$9,'Données géométriques'!$B$10,'Données géométriques'!$B$12,'Données géométriques'!$B$11,I31)</f>
        <v>-0.219794210444195</v>
      </c>
      <c r="K31">
        <f t="shared" si="4"/>
        <v>1.1514536950961625</v>
      </c>
      <c r="L31">
        <f t="shared" si="1"/>
        <v>-4.0205789555805005E-2</v>
      </c>
    </row>
    <row r="32" spans="1:12" x14ac:dyDescent="0.25">
      <c r="A32">
        <v>14</v>
      </c>
      <c r="B32">
        <f t="shared" si="2"/>
        <v>0.24434609527920614</v>
      </c>
      <c r="C32">
        <v>1.4097</v>
      </c>
      <c r="D32">
        <v>2.572E-2</v>
      </c>
      <c r="E32">
        <v>1.6199999999999999E-2</v>
      </c>
      <c r="F32">
        <f>C32*'Données géométriques'!$B$6/(2+('Données géométriques'!$B$6^2+4)^0.5)</f>
        <v>0.78140096469234155</v>
      </c>
      <c r="G32">
        <f>F32^2/(PI()*'Données géométriques'!$B$6)</f>
        <v>6.0724809668163494E-2</v>
      </c>
      <c r="H32">
        <f t="shared" si="0"/>
        <v>8.6444809668163494E-2</v>
      </c>
      <c r="I32">
        <f t="shared" si="3"/>
        <v>0.23821001986347548</v>
      </c>
      <c r="J32">
        <f>XCP_3D('Données géométriques'!$B$9,'Données géométriques'!$B$10,'Données géométriques'!$B$12,'Données géométriques'!$B$11,I32)</f>
        <v>-0.21877455265603188</v>
      </c>
      <c r="K32">
        <f t="shared" si="4"/>
        <v>1.1514536950961625</v>
      </c>
      <c r="L32">
        <f t="shared" si="1"/>
        <v>-4.122544734396813E-2</v>
      </c>
    </row>
    <row r="33" spans="1:12" x14ac:dyDescent="0.25">
      <c r="A33">
        <v>14.5</v>
      </c>
      <c r="B33">
        <f t="shared" si="2"/>
        <v>0.2530727415391778</v>
      </c>
      <c r="C33">
        <v>1.4332</v>
      </c>
      <c r="D33">
        <v>2.792E-2</v>
      </c>
      <c r="E33">
        <v>1.9199999999999998E-2</v>
      </c>
      <c r="F33">
        <f>C33*'Données géométriques'!$B$6/(2+('Données géométriques'!$B$6^2+4)^0.5)</f>
        <v>0.79442708561897135</v>
      </c>
      <c r="G33">
        <f>F33^2/(PI()*'Données géométriques'!$B$6)</f>
        <v>6.2766275937347071E-2</v>
      </c>
      <c r="H33">
        <f t="shared" si="0"/>
        <v>9.0686275937347072E-2</v>
      </c>
      <c r="I33">
        <f t="shared" si="3"/>
        <v>0.23623201726391013</v>
      </c>
      <c r="J33">
        <f>XCP_3D('Données géométriques'!$B$9,'Données géométriques'!$B$10,'Données géométriques'!$B$12,'Données géométriques'!$B$11,I33)</f>
        <v>-0.21731814844683112</v>
      </c>
      <c r="K33">
        <f t="shared" si="4"/>
        <v>1.1514536950961625</v>
      </c>
      <c r="L33">
        <f t="shared" si="1"/>
        <v>-4.2681851553168892E-2</v>
      </c>
    </row>
    <row r="34" spans="1:12" x14ac:dyDescent="0.25">
      <c r="A34">
        <v>15</v>
      </c>
      <c r="B34">
        <f t="shared" si="2"/>
        <v>0.26179938779914941</v>
      </c>
      <c r="C34">
        <v>1.4424999999999999</v>
      </c>
      <c r="D34">
        <v>3.0620000000000001E-2</v>
      </c>
      <c r="E34">
        <v>2.3300000000000001E-2</v>
      </c>
      <c r="F34">
        <f>C34*'Données géométriques'!$B$6/(2+('Données géométriques'!$B$6^2+4)^0.5)</f>
        <v>0.7995821036878078</v>
      </c>
      <c r="G34">
        <f>F34^2/(PI()*'Données géométriques'!$B$6)</f>
        <v>6.358349650576138E-2</v>
      </c>
      <c r="H34">
        <f t="shared" si="0"/>
        <v>9.4203496505761375E-2</v>
      </c>
      <c r="I34">
        <f t="shared" si="3"/>
        <v>0.23337226273872902</v>
      </c>
      <c r="J34">
        <f>XCP_3D('Données géométriques'!$B$9,'Données géométriques'!$B$10,'Données géométriques'!$B$12,'Données géométriques'!$B$11,I34)</f>
        <v>-0.21521250989576421</v>
      </c>
      <c r="K34">
        <f t="shared" si="4"/>
        <v>1.1514536950961625</v>
      </c>
      <c r="L34">
        <f t="shared" si="1"/>
        <v>-4.47874901042358E-2</v>
      </c>
    </row>
    <row r="35" spans="1:12" x14ac:dyDescent="0.25">
      <c r="A35" s="3">
        <v>15.5</v>
      </c>
      <c r="B35">
        <f t="shared" si="2"/>
        <v>0.27052603405912107</v>
      </c>
      <c r="C35">
        <v>1.444</v>
      </c>
      <c r="D35">
        <v>3.4479999999999997E-2</v>
      </c>
      <c r="E35">
        <v>2.58E-2</v>
      </c>
      <c r="F35">
        <f>C35*'Données géométriques'!$B$6/(2+('Données géométriques'!$B$6^2+4)^0.5)</f>
        <v>0.80041355821503946</v>
      </c>
      <c r="G35">
        <f>F35^2/(PI()*'Données géométriques'!$B$6)</f>
        <v>6.3715801300595495E-2</v>
      </c>
      <c r="H35">
        <f t="shared" si="0"/>
        <v>9.8195801300595492E-2</v>
      </c>
      <c r="I35">
        <f t="shared" si="3"/>
        <v>0.23158059556221183</v>
      </c>
      <c r="J35">
        <f>XCP_3D('Données géométriques'!$B$9,'Données géométriques'!$B$10,'Données géométriques'!$B$12,'Données géométriques'!$B$11,I35)</f>
        <v>-0.21389330454287833</v>
      </c>
      <c r="K35">
        <f t="shared" si="4"/>
        <v>1.1514536950961625</v>
      </c>
      <c r="L35">
        <f t="shared" si="1"/>
        <v>-4.6106695457121677E-2</v>
      </c>
    </row>
    <row r="36" spans="1:12" x14ac:dyDescent="0.25">
      <c r="A36">
        <v>16</v>
      </c>
      <c r="B36">
        <f t="shared" si="2"/>
        <v>0.27925268031909273</v>
      </c>
      <c r="C36">
        <f>-$C$35*(A36-90)/(90-$A$35)</f>
        <v>1.4343087248322146</v>
      </c>
      <c r="D36">
        <f>$O$2*(A36-$A$35)+$D$35</f>
        <v>3.8339999999999992E-2</v>
      </c>
      <c r="E36" s="4" t="s">
        <v>30</v>
      </c>
      <c r="F36">
        <f>C36*'Données géométriques'!$B$6/(2+('Données géométriques'!$B$6^2+4)^0.5)</f>
        <v>0.79504165513977065</v>
      </c>
      <c r="G36">
        <f>F36^2/(PI()*'Données géométriques'!$B$6)</f>
        <v>6.2863425597416492E-2</v>
      </c>
      <c r="H36">
        <f t="shared" si="0"/>
        <v>0.10120342559741649</v>
      </c>
      <c r="I36" s="4" t="s">
        <v>30</v>
      </c>
      <c r="J36" s="4">
        <f>'1kts'!J$22</f>
        <v>-0.41152228571428573</v>
      </c>
      <c r="K36" s="4">
        <f>'1kts'!K$22</f>
        <v>0.92155428571428555</v>
      </c>
      <c r="L36" s="4">
        <f>'1kts'!L$22</f>
        <v>0.15152228571428572</v>
      </c>
    </row>
    <row r="37" spans="1:12" x14ac:dyDescent="0.25">
      <c r="A37">
        <v>16.5</v>
      </c>
      <c r="B37">
        <f t="shared" si="2"/>
        <v>0.28797932657906439</v>
      </c>
      <c r="C37">
        <f t="shared" ref="C37:C78" si="5">-$C$35*(A37-90)/(90-$A$35)</f>
        <v>1.4246174496644295</v>
      </c>
      <c r="D37">
        <f t="shared" ref="D37:D78" si="6">$O$2*(A37-$A$35)+$D$35</f>
        <v>4.2199999999999988E-2</v>
      </c>
      <c r="E37" s="4" t="s">
        <v>30</v>
      </c>
      <c r="F37">
        <f>C37*'Données géométriques'!$B$6/(2+('Données géométriques'!$B$6^2+4)^0.5)</f>
        <v>0.78966975206450207</v>
      </c>
      <c r="G37">
        <f>F37^2/(PI()*'Données géométriques'!$B$6)</f>
        <v>6.2016789797962636E-2</v>
      </c>
      <c r="H37">
        <f t="shared" si="0"/>
        <v>0.10421678979796262</v>
      </c>
      <c r="I37" s="4" t="s">
        <v>30</v>
      </c>
      <c r="J37" s="4">
        <f>'1kts'!J$22</f>
        <v>-0.41152228571428573</v>
      </c>
      <c r="K37" s="4">
        <f>'1kts'!K$22</f>
        <v>0.92155428571428555</v>
      </c>
      <c r="L37" s="4">
        <f>'1kts'!L$22</f>
        <v>0.15152228571428572</v>
      </c>
    </row>
    <row r="38" spans="1:12" x14ac:dyDescent="0.25">
      <c r="A38">
        <v>17</v>
      </c>
      <c r="B38">
        <f t="shared" si="2"/>
        <v>0.29670597283903605</v>
      </c>
      <c r="C38">
        <f t="shared" si="5"/>
        <v>1.4149261744966442</v>
      </c>
      <c r="D38">
        <f t="shared" si="6"/>
        <v>4.6059999999999983E-2</v>
      </c>
      <c r="E38" s="4" t="s">
        <v>30</v>
      </c>
      <c r="F38">
        <f>C38*'Données géométriques'!$B$6/(2+('Données géométriques'!$B$6^2+4)^0.5)</f>
        <v>0.78429784898923327</v>
      </c>
      <c r="G38">
        <f>F38^2/(PI()*'Données géométriques'!$B$6)</f>
        <v>6.1175893902233845E-2</v>
      </c>
      <c r="H38">
        <f t="shared" si="0"/>
        <v>0.10723589390223383</v>
      </c>
      <c r="I38" s="4" t="s">
        <v>30</v>
      </c>
      <c r="J38" s="4">
        <f>'1kts'!J$22</f>
        <v>-0.41152228571428573</v>
      </c>
      <c r="K38" s="4">
        <f>'1kts'!K$22</f>
        <v>0.92155428571428555</v>
      </c>
      <c r="L38" s="4">
        <f>'1kts'!L$22</f>
        <v>0.15152228571428572</v>
      </c>
    </row>
    <row r="39" spans="1:12" x14ac:dyDescent="0.25">
      <c r="A39">
        <v>17.5</v>
      </c>
      <c r="B39">
        <f t="shared" si="2"/>
        <v>0.30543261909900765</v>
      </c>
      <c r="C39">
        <f t="shared" si="5"/>
        <v>1.405234899328859</v>
      </c>
      <c r="D39">
        <f t="shared" si="6"/>
        <v>4.9919999999999978E-2</v>
      </c>
      <c r="E39" s="4" t="s">
        <v>30</v>
      </c>
      <c r="F39">
        <f>C39*'Données géométriques'!$B$6/(2+('Données géométriques'!$B$6^2+4)^0.5)</f>
        <v>0.77892594591396458</v>
      </c>
      <c r="G39">
        <f>F39^2/(PI()*'Données géométriques'!$B$6)</f>
        <v>6.0340737910230188E-2</v>
      </c>
      <c r="H39">
        <f t="shared" si="0"/>
        <v>0.11026073791023017</v>
      </c>
      <c r="I39" s="4" t="s">
        <v>30</v>
      </c>
      <c r="J39" s="4">
        <f>'1kts'!J$22</f>
        <v>-0.41152228571428573</v>
      </c>
      <c r="K39" s="4">
        <f>'1kts'!K$22</f>
        <v>0.92155428571428555</v>
      </c>
      <c r="L39" s="4">
        <f>'1kts'!L$22</f>
        <v>0.15152228571428572</v>
      </c>
    </row>
    <row r="40" spans="1:12" x14ac:dyDescent="0.25">
      <c r="A40">
        <v>18</v>
      </c>
      <c r="B40">
        <f t="shared" si="2"/>
        <v>0.31415926535897931</v>
      </c>
      <c r="C40">
        <f t="shared" si="5"/>
        <v>1.3955436241610737</v>
      </c>
      <c r="D40">
        <f t="shared" si="6"/>
        <v>5.3779999999999974E-2</v>
      </c>
      <c r="E40" s="4" t="s">
        <v>30</v>
      </c>
      <c r="F40">
        <f>C40*'Données géométriques'!$B$6/(2+('Données géométriques'!$B$6^2+4)^0.5)</f>
        <v>0.77355404283869589</v>
      </c>
      <c r="G40">
        <f>F40^2/(PI()*'Données géométriques'!$B$6)</f>
        <v>5.9511321821951638E-2</v>
      </c>
      <c r="H40">
        <f t="shared" si="0"/>
        <v>0.11329132182195162</v>
      </c>
      <c r="I40" s="4" t="s">
        <v>30</v>
      </c>
      <c r="J40" s="4">
        <f>'1kts'!J$22</f>
        <v>-0.41152228571428573</v>
      </c>
      <c r="K40" s="4">
        <f>'1kts'!K$22</f>
        <v>0.92155428571428555</v>
      </c>
      <c r="L40" s="4">
        <f>'1kts'!L$22</f>
        <v>0.15152228571428572</v>
      </c>
    </row>
    <row r="41" spans="1:12" x14ac:dyDescent="0.25">
      <c r="A41">
        <v>19</v>
      </c>
      <c r="B41">
        <f t="shared" si="2"/>
        <v>0.33161255787892263</v>
      </c>
      <c r="C41">
        <f t="shared" si="5"/>
        <v>1.3761610738255035</v>
      </c>
      <c r="D41">
        <f t="shared" si="6"/>
        <v>6.1499999999999964E-2</v>
      </c>
      <c r="E41" s="4" t="s">
        <v>30</v>
      </c>
      <c r="F41">
        <f>C41*'Données géométriques'!$B$6/(2+('Données géométriques'!$B$6^2+4)^0.5)</f>
        <v>0.76281023668815839</v>
      </c>
      <c r="G41">
        <f>F41^2/(PI()*'Données géométriques'!$B$6)</f>
        <v>5.7869709356569869E-2</v>
      </c>
      <c r="H41">
        <f t="shared" si="0"/>
        <v>0.11936970935656983</v>
      </c>
      <c r="I41" s="4" t="s">
        <v>30</v>
      </c>
      <c r="J41" s="4">
        <f>'1kts'!J$22</f>
        <v>-0.41152228571428573</v>
      </c>
      <c r="K41" s="4">
        <f>'1kts'!K$22</f>
        <v>0.92155428571428555</v>
      </c>
      <c r="L41" s="4">
        <f>'1kts'!L$22</f>
        <v>0.15152228571428572</v>
      </c>
    </row>
    <row r="42" spans="1:12" x14ac:dyDescent="0.25">
      <c r="A42">
        <v>19.5</v>
      </c>
      <c r="B42">
        <f>RADIANS(A42)</f>
        <v>0.34033920413889424</v>
      </c>
      <c r="C42">
        <f t="shared" si="5"/>
        <v>1.3664697986577181</v>
      </c>
      <c r="D42">
        <f t="shared" si="6"/>
        <v>6.535999999999996E-2</v>
      </c>
      <c r="E42" s="4" t="s">
        <v>30</v>
      </c>
      <c r="F42">
        <f>C42*'Données géométriques'!$B$6/(2+('Données géométriques'!$B$6^2+4)^0.5)</f>
        <v>0.75743833361288959</v>
      </c>
      <c r="G42">
        <f>F42^2/(PI()*'Données géométriques'!$B$6)</f>
        <v>5.7057512979466631E-2</v>
      </c>
      <c r="H42">
        <f>G42+D42</f>
        <v>0.1224175129794666</v>
      </c>
      <c r="I42" s="4" t="s">
        <v>30</v>
      </c>
      <c r="J42" s="4">
        <f>'1kts'!J$22</f>
        <v>-0.41152228571428573</v>
      </c>
      <c r="K42" s="4">
        <f>'1kts'!K$22</f>
        <v>0.92155428571428555</v>
      </c>
      <c r="L42" s="4">
        <f>'1kts'!L$22</f>
        <v>0.15152228571428572</v>
      </c>
    </row>
    <row r="43" spans="1:12" x14ac:dyDescent="0.25">
      <c r="A43">
        <v>20</v>
      </c>
      <c r="B43">
        <f>RADIANS(A43)</f>
        <v>0.3490658503988659</v>
      </c>
      <c r="C43">
        <f t="shared" si="5"/>
        <v>1.3567785234899328</v>
      </c>
      <c r="D43">
        <f t="shared" si="6"/>
        <v>6.9219999999999948E-2</v>
      </c>
      <c r="E43" s="4" t="s">
        <v>30</v>
      </c>
      <c r="F43">
        <f>C43*'Données géométriques'!$B$6/(2+('Données géométriques'!$B$6^2+4)^0.5)</f>
        <v>0.7520664305376209</v>
      </c>
      <c r="G43">
        <f>F43^2/(PI()*'Données géométriques'!$B$6)</f>
        <v>5.625105650608854E-2</v>
      </c>
      <c r="H43">
        <f>G43+D43</f>
        <v>0.12547105650608847</v>
      </c>
      <c r="I43" s="4" t="s">
        <v>30</v>
      </c>
      <c r="J43" s="4">
        <f>'1kts'!J$22</f>
        <v>-0.41152228571428573</v>
      </c>
      <c r="K43" s="4">
        <f>'1kts'!K$22</f>
        <v>0.92155428571428555</v>
      </c>
      <c r="L43" s="4">
        <f>'1kts'!L$22</f>
        <v>0.15152228571428572</v>
      </c>
    </row>
    <row r="44" spans="1:12" x14ac:dyDescent="0.25">
      <c r="A44">
        <v>22</v>
      </c>
      <c r="B44">
        <f t="shared" ref="B44:B78" si="7">RADIANS(A44)</f>
        <v>0.38397243543875248</v>
      </c>
      <c r="C44">
        <f t="shared" si="5"/>
        <v>1.3180134228187919</v>
      </c>
      <c r="D44">
        <f t="shared" si="6"/>
        <v>8.465999999999993E-2</v>
      </c>
      <c r="E44" s="4" t="s">
        <v>30</v>
      </c>
      <c r="F44">
        <f>C44*'Données géométriques'!$B$6/(2+('Données géométriques'!$B$6^2+4)^0.5)</f>
        <v>0.73057881823654602</v>
      </c>
      <c r="G44">
        <f>F44^2/(PI()*'Données géométriques'!$B$6)</f>
        <v>5.3082629649827219E-2</v>
      </c>
      <c r="H44">
        <f t="shared" ref="H44:H78" si="8">G44+D44</f>
        <v>0.13774262964982714</v>
      </c>
      <c r="I44" s="4" t="s">
        <v>30</v>
      </c>
      <c r="J44" s="4">
        <f>'1kts'!J$22</f>
        <v>-0.41152228571428573</v>
      </c>
      <c r="K44" s="4">
        <f>'1kts'!K$22</f>
        <v>0.92155428571428555</v>
      </c>
      <c r="L44" s="4">
        <f>'1kts'!L$22</f>
        <v>0.15152228571428572</v>
      </c>
    </row>
    <row r="45" spans="1:12" x14ac:dyDescent="0.25">
      <c r="A45">
        <f>A44+2</f>
        <v>24</v>
      </c>
      <c r="B45">
        <f t="shared" si="7"/>
        <v>0.41887902047863912</v>
      </c>
      <c r="C45">
        <f t="shared" si="5"/>
        <v>1.2792483221476509</v>
      </c>
      <c r="D45">
        <f t="shared" si="6"/>
        <v>0.10009999999999993</v>
      </c>
      <c r="E45" s="4" t="s">
        <v>30</v>
      </c>
      <c r="F45">
        <f>C45*'Données géométriques'!$B$6/(2+('Données géométriques'!$B$6^2+4)^0.5)</f>
        <v>0.70909120593547126</v>
      </c>
      <c r="G45">
        <f>F45^2/(PI()*'Données géométriques'!$B$6)</f>
        <v>5.0006041253167703E-2</v>
      </c>
      <c r="H45">
        <f t="shared" si="8"/>
        <v>0.15010604125316762</v>
      </c>
      <c r="I45" s="4" t="s">
        <v>30</v>
      </c>
      <c r="J45" s="4">
        <f>'1kts'!J$22</f>
        <v>-0.41152228571428573</v>
      </c>
      <c r="K45" s="4">
        <f>'1kts'!K$22</f>
        <v>0.92155428571428555</v>
      </c>
      <c r="L45" s="4">
        <f>'1kts'!L$22</f>
        <v>0.15152228571428572</v>
      </c>
    </row>
    <row r="46" spans="1:12" x14ac:dyDescent="0.25">
      <c r="A46">
        <f t="shared" ref="A46:A78" si="9">A45+2</f>
        <v>26</v>
      </c>
      <c r="B46">
        <f t="shared" si="7"/>
        <v>0.4537856055185257</v>
      </c>
      <c r="C46">
        <f t="shared" si="5"/>
        <v>1.24048322147651</v>
      </c>
      <c r="D46">
        <f t="shared" si="6"/>
        <v>0.11553999999999991</v>
      </c>
      <c r="E46" s="4" t="s">
        <v>30</v>
      </c>
      <c r="F46">
        <f>C46*'Données géométriques'!$B$6/(2+('Données géométriques'!$B$6^2+4)^0.5)</f>
        <v>0.68760359363439638</v>
      </c>
      <c r="G46">
        <f>F46^2/(PI()*'Données géométriques'!$B$6)</f>
        <v>4.7021291316109944E-2</v>
      </c>
      <c r="H46">
        <f t="shared" si="8"/>
        <v>0.16256129131610986</v>
      </c>
      <c r="I46" s="4" t="s">
        <v>30</v>
      </c>
      <c r="J46" s="4">
        <f>'1kts'!J$22</f>
        <v>-0.41152228571428573</v>
      </c>
      <c r="K46" s="4">
        <f>'1kts'!K$22</f>
        <v>0.92155428571428555</v>
      </c>
      <c r="L46" s="4">
        <f>'1kts'!L$22</f>
        <v>0.15152228571428572</v>
      </c>
    </row>
    <row r="47" spans="1:12" x14ac:dyDescent="0.25">
      <c r="A47">
        <f t="shared" si="9"/>
        <v>28</v>
      </c>
      <c r="B47">
        <f t="shared" si="7"/>
        <v>0.48869219055841229</v>
      </c>
      <c r="C47">
        <f t="shared" si="5"/>
        <v>1.2017181208053691</v>
      </c>
      <c r="D47">
        <f t="shared" si="6"/>
        <v>0.13097999999999987</v>
      </c>
      <c r="E47" s="4" t="s">
        <v>30</v>
      </c>
      <c r="F47">
        <f>C47*'Données géométriques'!$B$6/(2+('Données géométriques'!$B$6^2+4)^0.5)</f>
        <v>0.66611598133332139</v>
      </c>
      <c r="G47">
        <f>F47^2/(PI()*'Données géométriques'!$B$6)</f>
        <v>4.4128379838653947E-2</v>
      </c>
      <c r="H47">
        <f t="shared" si="8"/>
        <v>0.17510837983865382</v>
      </c>
      <c r="I47" s="4" t="s">
        <v>30</v>
      </c>
      <c r="J47" s="4">
        <f>'1kts'!J$22</f>
        <v>-0.41152228571428573</v>
      </c>
      <c r="K47" s="4">
        <f>'1kts'!K$22</f>
        <v>0.92155428571428555</v>
      </c>
      <c r="L47" s="4">
        <f>'1kts'!L$22</f>
        <v>0.15152228571428572</v>
      </c>
    </row>
    <row r="48" spans="1:12" x14ac:dyDescent="0.25">
      <c r="A48">
        <f t="shared" si="9"/>
        <v>30</v>
      </c>
      <c r="B48">
        <f t="shared" si="7"/>
        <v>0.52359877559829882</v>
      </c>
      <c r="C48">
        <f t="shared" si="5"/>
        <v>1.1629530201342282</v>
      </c>
      <c r="D48">
        <f t="shared" si="6"/>
        <v>0.14641999999999988</v>
      </c>
      <c r="E48" s="4" t="s">
        <v>30</v>
      </c>
      <c r="F48">
        <f>C48*'Données géométriques'!$B$6/(2+('Données géométriques'!$B$6^2+4)^0.5)</f>
        <v>0.64462836903224652</v>
      </c>
      <c r="G48">
        <f>F48^2/(PI()*'Données géométriques'!$B$6)</f>
        <v>4.1327306820799742E-2</v>
      </c>
      <c r="H48">
        <f t="shared" si="8"/>
        <v>0.18774730682079963</v>
      </c>
      <c r="I48" s="4" t="s">
        <v>30</v>
      </c>
      <c r="J48" s="4">
        <f>'1kts'!J$22</f>
        <v>-0.41152228571428573</v>
      </c>
      <c r="K48" s="4">
        <f>'1kts'!K$22</f>
        <v>0.92155428571428555</v>
      </c>
      <c r="L48" s="4">
        <f>'1kts'!L$22</f>
        <v>0.15152228571428572</v>
      </c>
    </row>
    <row r="49" spans="1:12" x14ac:dyDescent="0.25">
      <c r="A49">
        <f t="shared" si="9"/>
        <v>32</v>
      </c>
      <c r="B49">
        <f t="shared" si="7"/>
        <v>0.55850536063818546</v>
      </c>
      <c r="C49">
        <f t="shared" si="5"/>
        <v>1.1241879194630873</v>
      </c>
      <c r="D49">
        <f t="shared" si="6"/>
        <v>0.16185999999999984</v>
      </c>
      <c r="E49" s="4" t="s">
        <v>30</v>
      </c>
      <c r="F49">
        <f>C49*'Données géométriques'!$B$6/(2+('Données géométriques'!$B$6^2+4)^0.5)</f>
        <v>0.62314075673117164</v>
      </c>
      <c r="G49">
        <f>F49^2/(PI()*'Données géométriques'!$B$6)</f>
        <v>3.8618072262547321E-2</v>
      </c>
      <c r="H49">
        <f t="shared" si="8"/>
        <v>0.20047807226254716</v>
      </c>
      <c r="I49" s="4" t="s">
        <v>30</v>
      </c>
      <c r="J49" s="4">
        <f>'1kts'!J$22</f>
        <v>-0.41152228571428573</v>
      </c>
      <c r="K49" s="4">
        <f>'1kts'!K$22</f>
        <v>0.92155428571428555</v>
      </c>
      <c r="L49" s="4">
        <f>'1kts'!L$22</f>
        <v>0.15152228571428572</v>
      </c>
    </row>
    <row r="50" spans="1:12" x14ac:dyDescent="0.25">
      <c r="A50">
        <f t="shared" si="9"/>
        <v>34</v>
      </c>
      <c r="B50">
        <f t="shared" si="7"/>
        <v>0.59341194567807209</v>
      </c>
      <c r="C50">
        <f t="shared" si="5"/>
        <v>1.0854228187919464</v>
      </c>
      <c r="D50">
        <f t="shared" si="6"/>
        <v>0.17729999999999985</v>
      </c>
      <c r="E50" s="4" t="s">
        <v>30</v>
      </c>
      <c r="F50">
        <f>C50*'Données géométriques'!$B$6/(2+('Données géométriques'!$B$6^2+4)^0.5)</f>
        <v>0.60165314443009688</v>
      </c>
      <c r="G50">
        <f>F50^2/(PI()*'Données géométriques'!$B$6)</f>
        <v>3.6000676163896683E-2</v>
      </c>
      <c r="H50">
        <f t="shared" si="8"/>
        <v>0.21330067616389653</v>
      </c>
      <c r="I50" s="4" t="s">
        <v>30</v>
      </c>
      <c r="J50" s="4">
        <f>'1kts'!J$22</f>
        <v>-0.41152228571428573</v>
      </c>
      <c r="K50" s="4">
        <f>'1kts'!K$22</f>
        <v>0.92155428571428555</v>
      </c>
      <c r="L50" s="4">
        <f>'1kts'!L$22</f>
        <v>0.15152228571428572</v>
      </c>
    </row>
    <row r="51" spans="1:12" x14ac:dyDescent="0.25">
      <c r="A51">
        <f t="shared" si="9"/>
        <v>36</v>
      </c>
      <c r="B51">
        <f t="shared" si="7"/>
        <v>0.62831853071795862</v>
      </c>
      <c r="C51">
        <f t="shared" si="5"/>
        <v>1.0466577181208054</v>
      </c>
      <c r="D51">
        <f t="shared" si="6"/>
        <v>0.1927399999999998</v>
      </c>
      <c r="E51" s="4" t="s">
        <v>30</v>
      </c>
      <c r="F51">
        <f>C51*'Données géométriques'!$B$6/(2+('Données géométriques'!$B$6^2+4)^0.5)</f>
        <v>0.580165532129022</v>
      </c>
      <c r="G51">
        <f>F51^2/(PI()*'Données géométriques'!$B$6)</f>
        <v>3.3475118524847809E-2</v>
      </c>
      <c r="H51">
        <f t="shared" si="8"/>
        <v>0.2262151185248476</v>
      </c>
      <c r="I51" s="4" t="s">
        <v>30</v>
      </c>
      <c r="J51" s="4">
        <f>'1kts'!J$22</f>
        <v>-0.41152228571428573</v>
      </c>
      <c r="K51" s="4">
        <f>'1kts'!K$22</f>
        <v>0.92155428571428555</v>
      </c>
      <c r="L51" s="4">
        <f>'1kts'!L$22</f>
        <v>0.15152228571428572</v>
      </c>
    </row>
    <row r="52" spans="1:12" x14ac:dyDescent="0.25">
      <c r="A52">
        <f t="shared" si="9"/>
        <v>38</v>
      </c>
      <c r="B52">
        <f t="shared" si="7"/>
        <v>0.66322511575784526</v>
      </c>
      <c r="C52">
        <f t="shared" si="5"/>
        <v>1.0078926174496643</v>
      </c>
      <c r="D52">
        <f t="shared" si="6"/>
        <v>0.20817999999999981</v>
      </c>
      <c r="E52" s="4" t="s">
        <v>30</v>
      </c>
      <c r="F52">
        <f>C52*'Données géométriques'!$B$6/(2+('Données géométriques'!$B$6^2+4)^0.5)</f>
        <v>0.55867791982794701</v>
      </c>
      <c r="G52">
        <f>F52^2/(PI()*'Données géométriques'!$B$6)</f>
        <v>3.1041399345400698E-2</v>
      </c>
      <c r="H52">
        <f t="shared" si="8"/>
        <v>0.23922139934540051</v>
      </c>
      <c r="I52" s="4" t="s">
        <v>30</v>
      </c>
      <c r="J52" s="4">
        <f>'1kts'!J$22</f>
        <v>-0.41152228571428573</v>
      </c>
      <c r="K52" s="4">
        <f>'1kts'!K$22</f>
        <v>0.92155428571428555</v>
      </c>
      <c r="L52" s="4">
        <f>'1kts'!L$22</f>
        <v>0.15152228571428572</v>
      </c>
    </row>
    <row r="53" spans="1:12" x14ac:dyDescent="0.25">
      <c r="A53">
        <f t="shared" si="9"/>
        <v>40</v>
      </c>
      <c r="B53">
        <f t="shared" si="7"/>
        <v>0.69813170079773179</v>
      </c>
      <c r="C53">
        <f t="shared" si="5"/>
        <v>0.96912751677852349</v>
      </c>
      <c r="D53">
        <f t="shared" si="6"/>
        <v>0.22361999999999976</v>
      </c>
      <c r="E53" s="4" t="s">
        <v>30</v>
      </c>
      <c r="F53">
        <f>C53*'Données géométriques'!$B$6/(2+('Données géométriques'!$B$6^2+4)^0.5)</f>
        <v>0.53719030752687214</v>
      </c>
      <c r="G53">
        <f>F53^2/(PI()*'Données géométriques'!$B$6)</f>
        <v>2.8699518625555386E-2</v>
      </c>
      <c r="H53">
        <f t="shared" si="8"/>
        <v>0.25231951862555513</v>
      </c>
      <c r="I53" s="4" t="s">
        <v>30</v>
      </c>
      <c r="J53" s="4">
        <f>'1kts'!J$22</f>
        <v>-0.41152228571428573</v>
      </c>
      <c r="K53" s="4">
        <f>'1kts'!K$22</f>
        <v>0.92155428571428555</v>
      </c>
      <c r="L53" s="4">
        <f>'1kts'!L$22</f>
        <v>0.15152228571428572</v>
      </c>
    </row>
    <row r="54" spans="1:12" x14ac:dyDescent="0.25">
      <c r="A54">
        <f t="shared" si="9"/>
        <v>42</v>
      </c>
      <c r="B54">
        <f t="shared" si="7"/>
        <v>0.73303828583761843</v>
      </c>
      <c r="C54">
        <f t="shared" si="5"/>
        <v>0.93036241610738257</v>
      </c>
      <c r="D54">
        <f t="shared" si="6"/>
        <v>0.23905999999999977</v>
      </c>
      <c r="E54" s="4" t="s">
        <v>30</v>
      </c>
      <c r="F54">
        <f>C54*'Données géométriques'!$B$6/(2+('Données géométriques'!$B$6^2+4)^0.5)</f>
        <v>0.51570269522579726</v>
      </c>
      <c r="G54">
        <f>F54^2/(PI()*'Données géométriques'!$B$6)</f>
        <v>2.6449476365311843E-2</v>
      </c>
      <c r="H54">
        <f t="shared" si="8"/>
        <v>0.26550947636531164</v>
      </c>
      <c r="I54" s="4" t="s">
        <v>30</v>
      </c>
      <c r="J54" s="4">
        <f>'1kts'!J$22</f>
        <v>-0.41152228571428573</v>
      </c>
      <c r="K54" s="4">
        <f>'1kts'!K$22</f>
        <v>0.92155428571428555</v>
      </c>
      <c r="L54" s="4">
        <f>'1kts'!L$22</f>
        <v>0.15152228571428572</v>
      </c>
    </row>
    <row r="55" spans="1:12" x14ac:dyDescent="0.25">
      <c r="A55">
        <f t="shared" si="9"/>
        <v>44</v>
      </c>
      <c r="B55">
        <f t="shared" si="7"/>
        <v>0.76794487087750496</v>
      </c>
      <c r="C55">
        <f t="shared" si="5"/>
        <v>0.89159731543624154</v>
      </c>
      <c r="D55">
        <f t="shared" si="6"/>
        <v>0.25449999999999973</v>
      </c>
      <c r="E55" s="4" t="s">
        <v>30</v>
      </c>
      <c r="F55">
        <f>C55*'Données géométriques'!$B$6/(2+('Données géométriques'!$B$6^2+4)^0.5)</f>
        <v>0.49421508292472233</v>
      </c>
      <c r="G55">
        <f>F55^2/(PI()*'Données géométriques'!$B$6)</f>
        <v>2.429127256467007E-2</v>
      </c>
      <c r="H55">
        <f t="shared" si="8"/>
        <v>0.27879127256466979</v>
      </c>
      <c r="I55" s="4" t="s">
        <v>30</v>
      </c>
      <c r="J55" s="4">
        <f>'1kts'!J$22</f>
        <v>-0.41152228571428573</v>
      </c>
      <c r="K55" s="4">
        <f>'1kts'!K$22</f>
        <v>0.92155428571428555</v>
      </c>
      <c r="L55" s="4">
        <f>'1kts'!L$22</f>
        <v>0.15152228571428572</v>
      </c>
    </row>
    <row r="56" spans="1:12" x14ac:dyDescent="0.25">
      <c r="A56">
        <f t="shared" si="9"/>
        <v>46</v>
      </c>
      <c r="B56">
        <f t="shared" si="7"/>
        <v>0.8028514559173916</v>
      </c>
      <c r="C56">
        <f t="shared" si="5"/>
        <v>0.85283221476510074</v>
      </c>
      <c r="D56">
        <f t="shared" si="6"/>
        <v>0.26993999999999974</v>
      </c>
      <c r="E56" s="4" t="s">
        <v>30</v>
      </c>
      <c r="F56">
        <f>C56*'Données géométriques'!$B$6/(2+('Données géométriques'!$B$6^2+4)^0.5)</f>
        <v>0.47272747062364751</v>
      </c>
      <c r="G56">
        <f>F56^2/(PI()*'Données géométriques'!$B$6)</f>
        <v>2.2224907223630089E-2</v>
      </c>
      <c r="H56">
        <f t="shared" si="8"/>
        <v>0.29216490722362981</v>
      </c>
      <c r="I56" s="4" t="s">
        <v>30</v>
      </c>
      <c r="J56" s="4">
        <f>'1kts'!J$22</f>
        <v>-0.41152228571428573</v>
      </c>
      <c r="K56" s="4">
        <f>'1kts'!K$22</f>
        <v>0.92155428571428555</v>
      </c>
      <c r="L56" s="4">
        <f>'1kts'!L$22</f>
        <v>0.15152228571428572</v>
      </c>
    </row>
    <row r="57" spans="1:12" x14ac:dyDescent="0.25">
      <c r="A57">
        <f t="shared" si="9"/>
        <v>48</v>
      </c>
      <c r="B57">
        <f t="shared" si="7"/>
        <v>0.83775804095727824</v>
      </c>
      <c r="C57">
        <f t="shared" si="5"/>
        <v>0.81406711409395971</v>
      </c>
      <c r="D57">
        <f t="shared" si="6"/>
        <v>0.28537999999999969</v>
      </c>
      <c r="E57" s="4" t="s">
        <v>30</v>
      </c>
      <c r="F57">
        <f>C57*'Données géométriques'!$B$6/(2+('Données géométriques'!$B$6^2+4)^0.5)</f>
        <v>0.45123985832257257</v>
      </c>
      <c r="G57">
        <f>F57^2/(PI()*'Données géométriques'!$B$6)</f>
        <v>2.0250380342191877E-2</v>
      </c>
      <c r="H57">
        <f t="shared" si="8"/>
        <v>0.30563038034219159</v>
      </c>
      <c r="I57" s="4" t="s">
        <v>30</v>
      </c>
      <c r="J57" s="4">
        <f>'1kts'!J$22</f>
        <v>-0.41152228571428573</v>
      </c>
      <c r="K57" s="4">
        <f>'1kts'!K$22</f>
        <v>0.92155428571428555</v>
      </c>
      <c r="L57" s="4">
        <f>'1kts'!L$22</f>
        <v>0.15152228571428572</v>
      </c>
    </row>
    <row r="58" spans="1:12" x14ac:dyDescent="0.25">
      <c r="A58">
        <f t="shared" si="9"/>
        <v>50</v>
      </c>
      <c r="B58">
        <f t="shared" si="7"/>
        <v>0.87266462599716477</v>
      </c>
      <c r="C58">
        <f t="shared" si="5"/>
        <v>0.77530201342281879</v>
      </c>
      <c r="D58">
        <f t="shared" si="6"/>
        <v>0.3008199999999997</v>
      </c>
      <c r="E58" s="4" t="s">
        <v>30</v>
      </c>
      <c r="F58">
        <f>C58*'Données géométriques'!$B$6/(2+('Données géométriques'!$B$6^2+4)^0.5)</f>
        <v>0.4297522460214977</v>
      </c>
      <c r="G58">
        <f>F58^2/(PI()*'Données géométriques'!$B$6)</f>
        <v>1.8367691920355443E-2</v>
      </c>
      <c r="H58">
        <f t="shared" si="8"/>
        <v>0.31918769192035512</v>
      </c>
      <c r="I58" s="4" t="s">
        <v>30</v>
      </c>
      <c r="J58" s="4">
        <f>'1kts'!J$22</f>
        <v>-0.41152228571428573</v>
      </c>
      <c r="K58" s="4">
        <f>'1kts'!K$22</f>
        <v>0.92155428571428555</v>
      </c>
      <c r="L58" s="4">
        <f>'1kts'!L$22</f>
        <v>0.15152228571428572</v>
      </c>
    </row>
    <row r="59" spans="1:12" x14ac:dyDescent="0.25">
      <c r="A59">
        <f t="shared" si="9"/>
        <v>52</v>
      </c>
      <c r="B59">
        <f t="shared" si="7"/>
        <v>0.90757121103705141</v>
      </c>
      <c r="C59">
        <f t="shared" si="5"/>
        <v>0.73653691275167787</v>
      </c>
      <c r="D59">
        <f t="shared" si="6"/>
        <v>0.31625999999999965</v>
      </c>
      <c r="E59" s="4" t="s">
        <v>30</v>
      </c>
      <c r="F59">
        <f>C59*'Données géométriques'!$B$6/(2+('Données géométriques'!$B$6^2+4)^0.5)</f>
        <v>0.40826463372042282</v>
      </c>
      <c r="G59">
        <f>F59^2/(PI()*'Données géométriques'!$B$6)</f>
        <v>1.6576841958120789E-2</v>
      </c>
      <c r="H59">
        <f t="shared" si="8"/>
        <v>0.33283684195812047</v>
      </c>
      <c r="I59" s="4" t="s">
        <v>30</v>
      </c>
      <c r="J59" s="4">
        <f>'1kts'!J$22</f>
        <v>-0.41152228571428573</v>
      </c>
      <c r="K59" s="4">
        <f>'1kts'!K$22</f>
        <v>0.92155428571428555</v>
      </c>
      <c r="L59" s="4">
        <f>'1kts'!L$22</f>
        <v>0.15152228571428572</v>
      </c>
    </row>
    <row r="60" spans="1:12" x14ac:dyDescent="0.25">
      <c r="A60">
        <f t="shared" si="9"/>
        <v>54</v>
      </c>
      <c r="B60">
        <f t="shared" si="7"/>
        <v>0.94247779607693793</v>
      </c>
      <c r="C60">
        <f t="shared" si="5"/>
        <v>0.69777181208053685</v>
      </c>
      <c r="D60">
        <f t="shared" si="6"/>
        <v>0.33169999999999966</v>
      </c>
      <c r="E60" s="4" t="s">
        <v>30</v>
      </c>
      <c r="F60">
        <f>C60*'Données géométriques'!$B$6/(2+('Données géométriques'!$B$6^2+4)^0.5)</f>
        <v>0.38677702141934794</v>
      </c>
      <c r="G60">
        <f>F60^2/(PI()*'Données géométriques'!$B$6)</f>
        <v>1.4877830455487909E-2</v>
      </c>
      <c r="H60">
        <f t="shared" si="8"/>
        <v>0.34657783045548757</v>
      </c>
      <c r="I60" s="4" t="s">
        <v>30</v>
      </c>
      <c r="J60" s="4">
        <f>'1kts'!J$22</f>
        <v>-0.41152228571428573</v>
      </c>
      <c r="K60" s="4">
        <f>'1kts'!K$22</f>
        <v>0.92155428571428555</v>
      </c>
      <c r="L60" s="4">
        <f>'1kts'!L$22</f>
        <v>0.15152228571428572</v>
      </c>
    </row>
    <row r="61" spans="1:12" x14ac:dyDescent="0.25">
      <c r="A61">
        <f t="shared" si="9"/>
        <v>56</v>
      </c>
      <c r="B61">
        <f t="shared" si="7"/>
        <v>0.97738438111682457</v>
      </c>
      <c r="C61">
        <f t="shared" si="5"/>
        <v>0.65900671140939593</v>
      </c>
      <c r="D61">
        <f t="shared" si="6"/>
        <v>0.34713999999999962</v>
      </c>
      <c r="E61" s="4" t="s">
        <v>30</v>
      </c>
      <c r="F61">
        <f>C61*'Données géométriques'!$B$6/(2+('Données géométriques'!$B$6^2+4)^0.5)</f>
        <v>0.36528940911827301</v>
      </c>
      <c r="G61">
        <f>F61^2/(PI()*'Données géométriques'!$B$6)</f>
        <v>1.3270657412456805E-2</v>
      </c>
      <c r="H61">
        <f t="shared" si="8"/>
        <v>0.36041065741245643</v>
      </c>
      <c r="I61" s="4" t="s">
        <v>30</v>
      </c>
      <c r="J61" s="4">
        <f>'1kts'!J$22</f>
        <v>-0.41152228571428573</v>
      </c>
      <c r="K61" s="4">
        <f>'1kts'!K$22</f>
        <v>0.92155428571428555</v>
      </c>
      <c r="L61" s="4">
        <f>'1kts'!L$22</f>
        <v>0.15152228571428572</v>
      </c>
    </row>
    <row r="62" spans="1:12" x14ac:dyDescent="0.25">
      <c r="A62">
        <f t="shared" si="9"/>
        <v>58</v>
      </c>
      <c r="B62">
        <f t="shared" si="7"/>
        <v>1.0122909661567112</v>
      </c>
      <c r="C62">
        <f t="shared" si="5"/>
        <v>0.62024161073825501</v>
      </c>
      <c r="D62">
        <f t="shared" si="6"/>
        <v>0.36257999999999962</v>
      </c>
      <c r="E62" s="4" t="s">
        <v>30</v>
      </c>
      <c r="F62">
        <f>C62*'Données géométriques'!$B$6/(2+('Données géométriques'!$B$6^2+4)^0.5)</f>
        <v>0.34380179681719819</v>
      </c>
      <c r="G62">
        <f>F62^2/(PI()*'Données géométriques'!$B$6)</f>
        <v>1.1755322829027486E-2</v>
      </c>
      <c r="H62">
        <f t="shared" si="8"/>
        <v>0.3743353228290271</v>
      </c>
      <c r="I62" s="4" t="s">
        <v>30</v>
      </c>
      <c r="J62" s="4">
        <f>'1kts'!J$22</f>
        <v>-0.41152228571428573</v>
      </c>
      <c r="K62" s="4">
        <f>'1kts'!K$22</f>
        <v>0.92155428571428555</v>
      </c>
      <c r="L62" s="4">
        <f>'1kts'!L$22</f>
        <v>0.15152228571428572</v>
      </c>
    </row>
    <row r="63" spans="1:12" x14ac:dyDescent="0.25">
      <c r="A63">
        <f t="shared" si="9"/>
        <v>60</v>
      </c>
      <c r="B63">
        <f t="shared" si="7"/>
        <v>1.0471975511965976</v>
      </c>
      <c r="C63">
        <f t="shared" si="5"/>
        <v>0.58147651006711409</v>
      </c>
      <c r="D63">
        <f t="shared" si="6"/>
        <v>0.37801999999999958</v>
      </c>
      <c r="E63" s="4" t="s">
        <v>30</v>
      </c>
      <c r="F63">
        <f>C63*'Données géométriques'!$B$6/(2+('Données géométriques'!$B$6^2+4)^0.5)</f>
        <v>0.32231418451612326</v>
      </c>
      <c r="G63">
        <f>F63^2/(PI()*'Données géométriques'!$B$6)</f>
        <v>1.0331826705199935E-2</v>
      </c>
      <c r="H63">
        <f t="shared" si="8"/>
        <v>0.38835182670519952</v>
      </c>
      <c r="I63" s="4" t="s">
        <v>30</v>
      </c>
      <c r="J63" s="4">
        <f>'1kts'!J$22</f>
        <v>-0.41152228571428573</v>
      </c>
      <c r="K63" s="4">
        <f>'1kts'!K$22</f>
        <v>0.92155428571428555</v>
      </c>
      <c r="L63" s="4">
        <f>'1kts'!L$22</f>
        <v>0.15152228571428572</v>
      </c>
    </row>
    <row r="64" spans="1:12" x14ac:dyDescent="0.25">
      <c r="A64">
        <f t="shared" si="9"/>
        <v>62</v>
      </c>
      <c r="B64">
        <f t="shared" si="7"/>
        <v>1.0821041362364843</v>
      </c>
      <c r="C64">
        <f t="shared" si="5"/>
        <v>0.54271140939597318</v>
      </c>
      <c r="D64">
        <f t="shared" si="6"/>
        <v>0.39345999999999959</v>
      </c>
      <c r="E64" s="4" t="s">
        <v>30</v>
      </c>
      <c r="F64">
        <f>C64*'Données géométriques'!$B$6/(2+('Données géométriques'!$B$6^2+4)^0.5)</f>
        <v>0.30082657221504844</v>
      </c>
      <c r="G64">
        <f>F64^2/(PI()*'Données géométriques'!$B$6)</f>
        <v>9.0001690409741708E-3</v>
      </c>
      <c r="H64">
        <f t="shared" si="8"/>
        <v>0.40246016904097376</v>
      </c>
      <c r="I64" s="4" t="s">
        <v>30</v>
      </c>
      <c r="J64" s="4">
        <f>'1kts'!J$22</f>
        <v>-0.41152228571428573</v>
      </c>
      <c r="K64" s="4">
        <f>'1kts'!K$22</f>
        <v>0.92155428571428555</v>
      </c>
      <c r="L64" s="4">
        <f>'1kts'!L$22</f>
        <v>0.15152228571428572</v>
      </c>
    </row>
    <row r="65" spans="1:12" x14ac:dyDescent="0.25">
      <c r="A65">
        <f t="shared" si="9"/>
        <v>64</v>
      </c>
      <c r="B65">
        <f t="shared" si="7"/>
        <v>1.1170107212763709</v>
      </c>
      <c r="C65">
        <f t="shared" si="5"/>
        <v>0.50394630872483215</v>
      </c>
      <c r="D65">
        <f t="shared" si="6"/>
        <v>0.40889999999999954</v>
      </c>
      <c r="E65" s="4" t="s">
        <v>30</v>
      </c>
      <c r="F65">
        <f>C65*'Données géométriques'!$B$6/(2+('Données géométriques'!$B$6^2+4)^0.5)</f>
        <v>0.27933895991397351</v>
      </c>
      <c r="G65">
        <f>F65^2/(PI()*'Données géométriques'!$B$6)</f>
        <v>7.7603498363501746E-3</v>
      </c>
      <c r="H65">
        <f t="shared" si="8"/>
        <v>0.4166603498363497</v>
      </c>
      <c r="I65" s="4" t="s">
        <v>30</v>
      </c>
      <c r="J65" s="4">
        <f>'1kts'!J$22</f>
        <v>-0.41152228571428573</v>
      </c>
      <c r="K65" s="4">
        <f>'1kts'!K$22</f>
        <v>0.92155428571428555</v>
      </c>
      <c r="L65" s="4">
        <f>'1kts'!L$22</f>
        <v>0.15152228571428572</v>
      </c>
    </row>
    <row r="66" spans="1:12" x14ac:dyDescent="0.25">
      <c r="A66">
        <f t="shared" si="9"/>
        <v>66</v>
      </c>
      <c r="B66">
        <f t="shared" si="7"/>
        <v>1.1519173063162575</v>
      </c>
      <c r="C66">
        <f t="shared" si="5"/>
        <v>0.46518120805369129</v>
      </c>
      <c r="D66">
        <f t="shared" si="6"/>
        <v>0.42433999999999955</v>
      </c>
      <c r="E66" s="4" t="s">
        <v>30</v>
      </c>
      <c r="F66">
        <f>C66*'Données géométriques'!$B$6/(2+('Données géométriques'!$B$6^2+4)^0.5)</f>
        <v>0.25785134761289863</v>
      </c>
      <c r="G66">
        <f>F66^2/(PI()*'Données géométriques'!$B$6)</f>
        <v>6.6123690913279607E-3</v>
      </c>
      <c r="H66">
        <f t="shared" si="8"/>
        <v>0.4309523690913275</v>
      </c>
      <c r="I66" s="4" t="s">
        <v>30</v>
      </c>
      <c r="J66" s="4">
        <f>'1kts'!J$22</f>
        <v>-0.41152228571428573</v>
      </c>
      <c r="K66" s="4">
        <f>'1kts'!K$22</f>
        <v>0.92155428571428555</v>
      </c>
      <c r="L66" s="4">
        <f>'1kts'!L$22</f>
        <v>0.15152228571428572</v>
      </c>
    </row>
    <row r="67" spans="1:12" x14ac:dyDescent="0.25">
      <c r="A67">
        <f t="shared" si="9"/>
        <v>68</v>
      </c>
      <c r="B67">
        <f t="shared" si="7"/>
        <v>1.1868238913561442</v>
      </c>
      <c r="C67">
        <f t="shared" si="5"/>
        <v>0.42641610738255037</v>
      </c>
      <c r="D67">
        <f t="shared" si="6"/>
        <v>0.4397799999999995</v>
      </c>
      <c r="E67" s="4" t="s">
        <v>30</v>
      </c>
      <c r="F67">
        <f>C67*'Données géométriques'!$B$6/(2+('Données géométriques'!$B$6^2+4)^0.5)</f>
        <v>0.23636373531182375</v>
      </c>
      <c r="G67">
        <f>F67^2/(PI()*'Données géométriques'!$B$6)</f>
        <v>5.5562268059075222E-3</v>
      </c>
      <c r="H67">
        <f t="shared" si="8"/>
        <v>0.44533622680590701</v>
      </c>
      <c r="I67" s="4" t="s">
        <v>30</v>
      </c>
      <c r="J67" s="4">
        <f>'1kts'!J$22</f>
        <v>-0.41152228571428573</v>
      </c>
      <c r="K67" s="4">
        <f>'1kts'!K$22</f>
        <v>0.92155428571428555</v>
      </c>
      <c r="L67" s="4">
        <f>'1kts'!L$22</f>
        <v>0.15152228571428572</v>
      </c>
    </row>
    <row r="68" spans="1:12" x14ac:dyDescent="0.25">
      <c r="A68">
        <f t="shared" si="9"/>
        <v>70</v>
      </c>
      <c r="B68">
        <f t="shared" si="7"/>
        <v>1.2217304763960306</v>
      </c>
      <c r="C68">
        <f t="shared" si="5"/>
        <v>0.3876510067114094</v>
      </c>
      <c r="D68">
        <f t="shared" si="6"/>
        <v>0.45521999999999951</v>
      </c>
      <c r="E68" s="4" t="s">
        <v>30</v>
      </c>
      <c r="F68">
        <f>C68*'Données géométriques'!$B$6/(2+('Données géométriques'!$B$6^2+4)^0.5)</f>
        <v>0.21487612301074885</v>
      </c>
      <c r="G68">
        <f>F68^2/(PI()*'Données géométriques'!$B$6)</f>
        <v>4.5919229800888608E-3</v>
      </c>
      <c r="H68">
        <f t="shared" si="8"/>
        <v>0.45981192298008838</v>
      </c>
      <c r="I68" s="4" t="s">
        <v>30</v>
      </c>
      <c r="J68" s="4">
        <f>'1kts'!J$22</f>
        <v>-0.41152228571428573</v>
      </c>
      <c r="K68" s="4">
        <f>'1kts'!K$22</f>
        <v>0.92155428571428555</v>
      </c>
      <c r="L68" s="4">
        <f>'1kts'!L$22</f>
        <v>0.15152228571428572</v>
      </c>
    </row>
    <row r="69" spans="1:12" x14ac:dyDescent="0.25">
      <c r="A69">
        <f t="shared" si="9"/>
        <v>72</v>
      </c>
      <c r="B69">
        <f t="shared" si="7"/>
        <v>1.2566370614359172</v>
      </c>
      <c r="C69">
        <f t="shared" si="5"/>
        <v>0.34888590604026842</v>
      </c>
      <c r="D69">
        <f t="shared" si="6"/>
        <v>0.47065999999999947</v>
      </c>
      <c r="E69" s="4" t="s">
        <v>30</v>
      </c>
      <c r="F69">
        <f>C69*'Données géométriques'!$B$6/(2+('Données géométriques'!$B$6^2+4)^0.5)</f>
        <v>0.19338851070967397</v>
      </c>
      <c r="G69">
        <f>F69^2/(PI()*'Données géométriques'!$B$6)</f>
        <v>3.7194576138719774E-3</v>
      </c>
      <c r="H69">
        <f t="shared" si="8"/>
        <v>0.47437945761387146</v>
      </c>
      <c r="I69" s="4" t="s">
        <v>30</v>
      </c>
      <c r="J69" s="4">
        <f>'1kts'!J$22</f>
        <v>-0.41152228571428573</v>
      </c>
      <c r="K69" s="4">
        <f>'1kts'!K$22</f>
        <v>0.92155428571428555</v>
      </c>
      <c r="L69" s="4">
        <f>'1kts'!L$22</f>
        <v>0.15152228571428572</v>
      </c>
    </row>
    <row r="70" spans="1:12" x14ac:dyDescent="0.25">
      <c r="A70">
        <f t="shared" si="9"/>
        <v>74</v>
      </c>
      <c r="B70">
        <f t="shared" si="7"/>
        <v>1.2915436464758039</v>
      </c>
      <c r="C70">
        <f t="shared" si="5"/>
        <v>0.31012080536912751</v>
      </c>
      <c r="D70">
        <f t="shared" si="6"/>
        <v>0.48609999999999948</v>
      </c>
      <c r="E70" s="4" t="s">
        <v>30</v>
      </c>
      <c r="F70">
        <f>C70*'Données géométriques'!$B$6/(2+('Données géométriques'!$B$6^2+4)^0.5)</f>
        <v>0.1719008984085991</v>
      </c>
      <c r="G70">
        <f>F70^2/(PI()*'Données géométriques'!$B$6)</f>
        <v>2.9388307072568715E-3</v>
      </c>
      <c r="H70">
        <f t="shared" si="8"/>
        <v>0.48903883070725634</v>
      </c>
      <c r="I70" s="4" t="s">
        <v>30</v>
      </c>
      <c r="J70" s="4">
        <f>'1kts'!J$22</f>
        <v>-0.41152228571428573</v>
      </c>
      <c r="K70" s="4">
        <f>'1kts'!K$22</f>
        <v>0.92155428571428555</v>
      </c>
      <c r="L70" s="4">
        <f>'1kts'!L$22</f>
        <v>0.15152228571428572</v>
      </c>
    </row>
    <row r="71" spans="1:12" x14ac:dyDescent="0.25">
      <c r="A71">
        <f t="shared" si="9"/>
        <v>76</v>
      </c>
      <c r="B71">
        <f t="shared" si="7"/>
        <v>1.3264502315156905</v>
      </c>
      <c r="C71">
        <f t="shared" si="5"/>
        <v>0.27135570469798659</v>
      </c>
      <c r="D71">
        <f t="shared" si="6"/>
        <v>0.50153999999999943</v>
      </c>
      <c r="E71" s="4" t="s">
        <v>30</v>
      </c>
      <c r="F71">
        <f>C71*'Données géométriques'!$B$6/(2+('Données géométriques'!$B$6^2+4)^0.5)</f>
        <v>0.15041328610752422</v>
      </c>
      <c r="G71">
        <f>F71^2/(PI()*'Données géométriques'!$B$6)</f>
        <v>2.2500422602435427E-3</v>
      </c>
      <c r="H71">
        <f t="shared" si="8"/>
        <v>0.50379004226024293</v>
      </c>
      <c r="I71" s="4" t="s">
        <v>30</v>
      </c>
      <c r="J71" s="4">
        <f>'1kts'!J$22</f>
        <v>-0.41152228571428573</v>
      </c>
      <c r="K71" s="4">
        <f>'1kts'!K$22</f>
        <v>0.92155428571428555</v>
      </c>
      <c r="L71" s="4">
        <f>'1kts'!L$22</f>
        <v>0.15152228571428572</v>
      </c>
    </row>
    <row r="72" spans="1:12" x14ac:dyDescent="0.25">
      <c r="A72">
        <f t="shared" si="9"/>
        <v>78</v>
      </c>
      <c r="B72">
        <f t="shared" si="7"/>
        <v>1.3613568165555769</v>
      </c>
      <c r="C72">
        <f t="shared" si="5"/>
        <v>0.23259060402684564</v>
      </c>
      <c r="D72">
        <f t="shared" si="6"/>
        <v>0.51697999999999944</v>
      </c>
      <c r="E72" s="4" t="s">
        <v>30</v>
      </c>
      <c r="F72">
        <f>C72*'Données géométriques'!$B$6/(2+('Données géométriques'!$B$6^2+4)^0.5)</f>
        <v>0.12892567380644931</v>
      </c>
      <c r="G72">
        <f>F72^2/(PI()*'Données géométriques'!$B$6)</f>
        <v>1.6530922728319902E-3</v>
      </c>
      <c r="H72">
        <f t="shared" si="8"/>
        <v>0.51863309227283139</v>
      </c>
      <c r="I72" s="4" t="s">
        <v>30</v>
      </c>
      <c r="J72" s="4">
        <f>'1kts'!J$22</f>
        <v>-0.41152228571428573</v>
      </c>
      <c r="K72" s="4">
        <f>'1kts'!K$22</f>
        <v>0.92155428571428555</v>
      </c>
      <c r="L72" s="4">
        <f>'1kts'!L$22</f>
        <v>0.15152228571428572</v>
      </c>
    </row>
    <row r="73" spans="1:12" x14ac:dyDescent="0.25">
      <c r="A73">
        <f t="shared" si="9"/>
        <v>80</v>
      </c>
      <c r="B73">
        <f t="shared" si="7"/>
        <v>1.3962634015954636</v>
      </c>
      <c r="C73">
        <f t="shared" si="5"/>
        <v>0.1938255033557047</v>
      </c>
      <c r="D73">
        <f t="shared" si="6"/>
        <v>0.53241999999999934</v>
      </c>
      <c r="E73" s="4" t="s">
        <v>30</v>
      </c>
      <c r="F73">
        <f>C73*'Données géométriques'!$B$6/(2+('Données géométriques'!$B$6^2+4)^0.5)</f>
        <v>0.10743806150537442</v>
      </c>
      <c r="G73">
        <f>F73^2/(PI()*'Données géométriques'!$B$6)</f>
        <v>1.1479807450222152E-3</v>
      </c>
      <c r="H73">
        <f t="shared" si="8"/>
        <v>0.53356798074502154</v>
      </c>
      <c r="I73" s="4" t="s">
        <v>30</v>
      </c>
      <c r="J73" s="4">
        <f>'1kts'!J$22</f>
        <v>-0.41152228571428573</v>
      </c>
      <c r="K73" s="4">
        <f>'1kts'!K$22</f>
        <v>0.92155428571428555</v>
      </c>
      <c r="L73" s="4">
        <f>'1kts'!L$22</f>
        <v>0.15152228571428572</v>
      </c>
    </row>
    <row r="74" spans="1:12" x14ac:dyDescent="0.25">
      <c r="A74">
        <f t="shared" si="9"/>
        <v>82</v>
      </c>
      <c r="B74">
        <f t="shared" si="7"/>
        <v>1.4311699866353502</v>
      </c>
      <c r="C74">
        <f t="shared" si="5"/>
        <v>0.15506040268456375</v>
      </c>
      <c r="D74">
        <f t="shared" si="6"/>
        <v>0.54785999999999935</v>
      </c>
      <c r="E74" s="4" t="s">
        <v>30</v>
      </c>
      <c r="F74">
        <f>C74*'Données géométriques'!$B$6/(2+('Données géométriques'!$B$6^2+4)^0.5)</f>
        <v>8.5950449204299548E-2</v>
      </c>
      <c r="G74">
        <f>F74^2/(PI()*'Données géométriques'!$B$6)</f>
        <v>7.3470767681421787E-4</v>
      </c>
      <c r="H74">
        <f t="shared" si="8"/>
        <v>0.54859470767681362</v>
      </c>
      <c r="I74" s="4" t="s">
        <v>30</v>
      </c>
      <c r="J74" s="4">
        <f>'1kts'!J$22</f>
        <v>-0.41152228571428573</v>
      </c>
      <c r="K74" s="4">
        <f>'1kts'!K$22</f>
        <v>0.92155428571428555</v>
      </c>
      <c r="L74" s="4">
        <f>'1kts'!L$22</f>
        <v>0.15152228571428572</v>
      </c>
    </row>
    <row r="75" spans="1:12" x14ac:dyDescent="0.25">
      <c r="A75">
        <f t="shared" si="9"/>
        <v>84</v>
      </c>
      <c r="B75">
        <f t="shared" si="7"/>
        <v>1.4660765716752369</v>
      </c>
      <c r="C75">
        <f t="shared" si="5"/>
        <v>0.11629530201342282</v>
      </c>
      <c r="D75">
        <f t="shared" si="6"/>
        <v>0.56329999999999936</v>
      </c>
      <c r="E75" s="4" t="s">
        <v>30</v>
      </c>
      <c r="F75">
        <f>C75*'Données géométriques'!$B$6/(2+('Données géométriques'!$B$6^2+4)^0.5)</f>
        <v>6.4462836903224657E-2</v>
      </c>
      <c r="G75">
        <f>F75^2/(PI()*'Données géométriques'!$B$6)</f>
        <v>4.1327306820799754E-4</v>
      </c>
      <c r="H75">
        <f t="shared" si="8"/>
        <v>0.5637132730682074</v>
      </c>
      <c r="I75" s="4" t="s">
        <v>30</v>
      </c>
      <c r="J75" s="4">
        <f>'1kts'!J$22</f>
        <v>-0.41152228571428573</v>
      </c>
      <c r="K75" s="4">
        <f>'1kts'!K$22</f>
        <v>0.92155428571428555</v>
      </c>
      <c r="L75" s="4">
        <f>'1kts'!L$22</f>
        <v>0.15152228571428572</v>
      </c>
    </row>
    <row r="76" spans="1:12" x14ac:dyDescent="0.25">
      <c r="A76">
        <f t="shared" si="9"/>
        <v>86</v>
      </c>
      <c r="B76">
        <f t="shared" si="7"/>
        <v>1.5009831567151235</v>
      </c>
      <c r="C76">
        <f t="shared" si="5"/>
        <v>7.7530201342281876E-2</v>
      </c>
      <c r="D76">
        <f t="shared" si="6"/>
        <v>0.57873999999999926</v>
      </c>
      <c r="E76" s="4" t="s">
        <v>30</v>
      </c>
      <c r="F76">
        <f>C76*'Données géométriques'!$B$6/(2+('Données géométriques'!$B$6^2+4)^0.5)</f>
        <v>4.2975224602149774E-2</v>
      </c>
      <c r="G76">
        <f>F76^2/(PI()*'Données géométriques'!$B$6)</f>
        <v>1.8367691920355447E-4</v>
      </c>
      <c r="H76">
        <f t="shared" si="8"/>
        <v>0.57892367691920277</v>
      </c>
      <c r="I76" s="4" t="s">
        <v>30</v>
      </c>
      <c r="J76" s="4">
        <f>'1kts'!J$22</f>
        <v>-0.41152228571428573</v>
      </c>
      <c r="K76" s="4">
        <f>'1kts'!K$22</f>
        <v>0.92155428571428555</v>
      </c>
      <c r="L76" s="4">
        <f>'1kts'!L$22</f>
        <v>0.15152228571428572</v>
      </c>
    </row>
    <row r="77" spans="1:12" x14ac:dyDescent="0.25">
      <c r="A77">
        <f t="shared" si="9"/>
        <v>88</v>
      </c>
      <c r="B77">
        <f t="shared" si="7"/>
        <v>1.5358897417550099</v>
      </c>
      <c r="C77">
        <f t="shared" si="5"/>
        <v>3.8765100671140938E-2</v>
      </c>
      <c r="D77">
        <f t="shared" si="6"/>
        <v>0.59417999999999926</v>
      </c>
      <c r="E77" s="4" t="s">
        <v>30</v>
      </c>
      <c r="F77">
        <f>C77*'Données géométriques'!$B$6/(2+('Données géométriques'!$B$6^2+4)^0.5)</f>
        <v>2.1487612301074887E-2</v>
      </c>
      <c r="G77">
        <f>F77^2/(PI()*'Données géométriques'!$B$6)</f>
        <v>4.5919229800888617E-5</v>
      </c>
      <c r="H77">
        <f t="shared" si="8"/>
        <v>0.59422591922980017</v>
      </c>
      <c r="I77" s="4" t="s">
        <v>30</v>
      </c>
      <c r="J77" s="4">
        <f>'1kts'!J$22</f>
        <v>-0.41152228571428573</v>
      </c>
      <c r="K77" s="4">
        <f>'1kts'!K$22</f>
        <v>0.92155428571428555</v>
      </c>
      <c r="L77" s="4">
        <f>'1kts'!L$22</f>
        <v>0.15152228571428572</v>
      </c>
    </row>
    <row r="78" spans="1:12" x14ac:dyDescent="0.25">
      <c r="A78">
        <f t="shared" si="9"/>
        <v>90</v>
      </c>
      <c r="B78">
        <f t="shared" si="7"/>
        <v>1.5707963267948966</v>
      </c>
      <c r="C78">
        <f t="shared" si="5"/>
        <v>0</v>
      </c>
      <c r="D78">
        <f t="shared" si="6"/>
        <v>0.60961999999999927</v>
      </c>
      <c r="E78" s="4" t="s">
        <v>30</v>
      </c>
      <c r="F78">
        <f>C78*'Données géométriques'!$B$6/(2+('Données géométriques'!$B$6^2+4)^0.5)</f>
        <v>0</v>
      </c>
      <c r="G78">
        <f>F78^2/(PI()*'Données géométriques'!$B$6)</f>
        <v>0</v>
      </c>
      <c r="H78">
        <f t="shared" si="8"/>
        <v>0.60961999999999927</v>
      </c>
      <c r="I78" s="4" t="s">
        <v>30</v>
      </c>
      <c r="J78" s="4">
        <f>'1kts'!J$22</f>
        <v>-0.41152228571428573</v>
      </c>
      <c r="K78" s="4">
        <f>'1kts'!K$22</f>
        <v>0.92155428571428555</v>
      </c>
      <c r="L78" s="4">
        <f>'1kts'!L$22</f>
        <v>0.15152228571428572</v>
      </c>
    </row>
    <row r="79" spans="1:12" x14ac:dyDescent="0.25">
      <c r="J79" s="4"/>
      <c r="K79" s="4"/>
      <c r="L79" s="4"/>
    </row>
    <row r="80" spans="1:12" x14ac:dyDescent="0.25">
      <c r="J80" s="4"/>
      <c r="K80" s="4"/>
      <c r="L80" s="4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0987A-2A60-426C-AB89-F868A481F065}">
  <sheetPr codeName="Feuil9"/>
  <dimension ref="A1:H25"/>
  <sheetViews>
    <sheetView tabSelected="1" workbookViewId="0">
      <selection activeCell="R13" sqref="R13"/>
    </sheetView>
  </sheetViews>
  <sheetFormatPr baseColWidth="10" defaultRowHeight="15" x14ac:dyDescent="0.25"/>
  <cols>
    <col min="1" max="1" width="16.7109375" customWidth="1"/>
    <col min="8" max="8" width="15.42578125" customWidth="1"/>
  </cols>
  <sheetData>
    <row r="1" spans="1:8" x14ac:dyDescent="0.25">
      <c r="A1" t="s">
        <v>20</v>
      </c>
      <c r="G1" t="s">
        <v>27</v>
      </c>
      <c r="H1" t="s">
        <v>26</v>
      </c>
    </row>
    <row r="2" spans="1:8" x14ac:dyDescent="0.25">
      <c r="A2" t="s">
        <v>11</v>
      </c>
      <c r="B2">
        <v>0.66300000000000003</v>
      </c>
      <c r="G2" s="2">
        <v>1</v>
      </c>
      <c r="H2">
        <v>8.5</v>
      </c>
    </row>
    <row r="3" spans="1:8" x14ac:dyDescent="0.25">
      <c r="A3" t="s">
        <v>12</v>
      </c>
      <c r="B3">
        <v>2.1219999999999999</v>
      </c>
      <c r="G3">
        <v>5</v>
      </c>
      <c r="H3">
        <v>10.5</v>
      </c>
    </row>
    <row r="4" spans="1:8" x14ac:dyDescent="0.25">
      <c r="A4" t="s">
        <v>13</v>
      </c>
      <c r="B4">
        <f>B3/B2</f>
        <v>3.2006033182503768</v>
      </c>
      <c r="G4">
        <v>10</v>
      </c>
      <c r="H4">
        <v>12</v>
      </c>
    </row>
    <row r="5" spans="1:8" x14ac:dyDescent="0.25">
      <c r="A5" t="s">
        <v>14</v>
      </c>
      <c r="B5">
        <v>1</v>
      </c>
      <c r="C5" t="s">
        <v>21</v>
      </c>
      <c r="G5">
        <v>15</v>
      </c>
      <c r="H5">
        <v>13</v>
      </c>
    </row>
    <row r="6" spans="1:8" x14ac:dyDescent="0.25">
      <c r="A6" t="s">
        <v>15</v>
      </c>
      <c r="B6">
        <f>B5*B4</f>
        <v>3.2006033182503768</v>
      </c>
      <c r="G6">
        <v>20</v>
      </c>
      <c r="H6">
        <v>13</v>
      </c>
    </row>
    <row r="7" spans="1:8" x14ac:dyDescent="0.25">
      <c r="G7">
        <v>25</v>
      </c>
      <c r="H7">
        <v>14</v>
      </c>
    </row>
    <row r="8" spans="1:8" x14ac:dyDescent="0.25">
      <c r="G8">
        <v>30</v>
      </c>
      <c r="H8">
        <v>14.5</v>
      </c>
    </row>
    <row r="9" spans="1:8" x14ac:dyDescent="0.25">
      <c r="A9" t="s">
        <v>16</v>
      </c>
      <c r="B9">
        <v>0.42399999999999999</v>
      </c>
      <c r="G9">
        <v>35</v>
      </c>
      <c r="H9">
        <v>15</v>
      </c>
    </row>
    <row r="10" spans="1:8" x14ac:dyDescent="0.25">
      <c r="A10" t="s">
        <v>17</v>
      </c>
      <c r="B10">
        <v>0.97599999999999998</v>
      </c>
      <c r="G10">
        <v>40</v>
      </c>
      <c r="H10">
        <v>15.5</v>
      </c>
    </row>
    <row r="11" spans="1:8" x14ac:dyDescent="0.25">
      <c r="A11" t="s">
        <v>19</v>
      </c>
      <c r="B11">
        <v>9.9900000000000003E-2</v>
      </c>
    </row>
    <row r="12" spans="1:8" x14ac:dyDescent="0.25">
      <c r="A12" t="s">
        <v>18</v>
      </c>
      <c r="B12">
        <f>B3</f>
        <v>2.1219999999999999</v>
      </c>
    </row>
    <row r="14" spans="1:8" x14ac:dyDescent="0.25">
      <c r="A14" t="s">
        <v>31</v>
      </c>
      <c r="B14">
        <f>B9*B12</f>
        <v>0.89972799999999997</v>
      </c>
    </row>
    <row r="15" spans="1:8" x14ac:dyDescent="0.25">
      <c r="A15" t="s">
        <v>32</v>
      </c>
      <c r="B15">
        <f>B11*B12/2</f>
        <v>0.1059939</v>
      </c>
    </row>
    <row r="16" spans="1:8" x14ac:dyDescent="0.25">
      <c r="A16" t="s">
        <v>33</v>
      </c>
      <c r="B16">
        <f>(B10-B9-B11)*B12/2</f>
        <v>0.47967810000000005</v>
      </c>
    </row>
    <row r="17" spans="1:2" x14ac:dyDescent="0.25">
      <c r="A17" t="s">
        <v>34</v>
      </c>
      <c r="B17">
        <f>SUM(B14:B16)</f>
        <v>1.4854000000000001</v>
      </c>
    </row>
    <row r="19" spans="1:2" x14ac:dyDescent="0.25">
      <c r="A19" t="s">
        <v>37</v>
      </c>
      <c r="B19">
        <f>-'Données géométriques'!B11-'Données géométriques'!B9/2</f>
        <v>-0.31190000000000001</v>
      </c>
    </row>
    <row r="20" spans="1:2" x14ac:dyDescent="0.25">
      <c r="A20" t="s">
        <v>35</v>
      </c>
      <c r="B20">
        <f>-2*'Données géométriques'!B11/3</f>
        <v>-6.6600000000000006E-2</v>
      </c>
    </row>
    <row r="21" spans="1:2" x14ac:dyDescent="0.25">
      <c r="A21" t="s">
        <v>36</v>
      </c>
      <c r="B21">
        <f>(-'Données géométriques'!B10-2*'Données géométriques'!B11-2*'Données géométriques'!B9)/3</f>
        <v>-0.67459999999999998</v>
      </c>
    </row>
    <row r="23" spans="1:2" x14ac:dyDescent="0.25">
      <c r="A23" t="s">
        <v>38</v>
      </c>
      <c r="B23">
        <f>B12/2</f>
        <v>1.0609999999999999</v>
      </c>
    </row>
    <row r="24" spans="1:2" x14ac:dyDescent="0.25">
      <c r="A24" t="s">
        <v>39</v>
      </c>
      <c r="B24">
        <f>B12/3</f>
        <v>0.70733333333333326</v>
      </c>
    </row>
    <row r="25" spans="1:2" x14ac:dyDescent="0.25">
      <c r="A25" t="s">
        <v>40</v>
      </c>
      <c r="B25">
        <f>B12/3</f>
        <v>0.70733333333333326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1kts</vt:lpstr>
      <vt:lpstr>5kts</vt:lpstr>
      <vt:lpstr>10kts</vt:lpstr>
      <vt:lpstr>15kts</vt:lpstr>
      <vt:lpstr>20kts</vt:lpstr>
      <vt:lpstr>25kts</vt:lpstr>
      <vt:lpstr>30kts</vt:lpstr>
      <vt:lpstr>35kts</vt:lpstr>
      <vt:lpstr>40kts</vt:lpstr>
      <vt:lpstr>Données géométriques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Loughlin</dc:creator>
  <cp:lastModifiedBy>matheo</cp:lastModifiedBy>
  <dcterms:created xsi:type="dcterms:W3CDTF">2015-06-05T18:19:34Z</dcterms:created>
  <dcterms:modified xsi:type="dcterms:W3CDTF">2020-05-05T21:25:39Z</dcterms:modified>
</cp:coreProperties>
</file>