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oughlin\Documents\GitHub\ProjetMT\"/>
    </mc:Choice>
  </mc:AlternateContent>
  <xr:revisionPtr revIDLastSave="0" documentId="13_ncr:1_{EB5D2EF5-395C-4DC2-A01C-FAA7E6353D1E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0.1kts" sheetId="1" r:id="rId1"/>
    <sheet name="0.5kts" sheetId="2" r:id="rId2"/>
    <sheet name="1kts" sheetId="3" r:id="rId3"/>
    <sheet name="1.5kts" sheetId="4" r:id="rId4"/>
    <sheet name="2kts" sheetId="5" r:id="rId5"/>
    <sheet name="2.5kts" sheetId="6" r:id="rId6"/>
    <sheet name="3kts" sheetId="7" r:id="rId7"/>
    <sheet name="3.5kts" sheetId="8" r:id="rId8"/>
    <sheet name="4kts" sheetId="9" r:id="rId9"/>
    <sheet name="5kts" sheetId="11" r:id="rId10"/>
    <sheet name="10kts" sheetId="10" r:id="rId11"/>
    <sheet name="Données géométriques" sheetId="12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44" i="1" l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5" i="10" l="1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" i="10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" i="11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" i="9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" i="8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" i="7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" i="6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" i="5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" i="4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" i="3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" i="2"/>
  <c r="F4" i="10" l="1"/>
  <c r="G4" i="10" s="1"/>
  <c r="H4" i="10" s="1"/>
  <c r="F6" i="10"/>
  <c r="G6" i="10" s="1"/>
  <c r="H6" i="10" s="1"/>
  <c r="F7" i="10"/>
  <c r="G7" i="10" s="1"/>
  <c r="H7" i="10" s="1"/>
  <c r="F8" i="10"/>
  <c r="G8" i="10" s="1"/>
  <c r="H8" i="10" s="1"/>
  <c r="F9" i="10"/>
  <c r="G9" i="10" s="1"/>
  <c r="H9" i="10" s="1"/>
  <c r="F10" i="10"/>
  <c r="G10" i="10" s="1"/>
  <c r="H10" i="10" s="1"/>
  <c r="F11" i="10"/>
  <c r="G11" i="10"/>
  <c r="H11" i="10"/>
  <c r="F12" i="10"/>
  <c r="G12" i="10" s="1"/>
  <c r="H12" i="10" s="1"/>
  <c r="F13" i="10"/>
  <c r="G13" i="10"/>
  <c r="H13" i="10" s="1"/>
  <c r="F14" i="10"/>
  <c r="G14" i="10" s="1"/>
  <c r="H14" i="10" s="1"/>
  <c r="F15" i="10"/>
  <c r="G15" i="10" s="1"/>
  <c r="H15" i="10" s="1"/>
  <c r="F16" i="10"/>
  <c r="G16" i="10" s="1"/>
  <c r="H16" i="10" s="1"/>
  <c r="F17" i="10"/>
  <c r="G17" i="10" s="1"/>
  <c r="H17" i="10" s="1"/>
  <c r="F18" i="10"/>
  <c r="G18" i="10" s="1"/>
  <c r="H18" i="10" s="1"/>
  <c r="F19" i="10"/>
  <c r="G19" i="10"/>
  <c r="H19" i="10"/>
  <c r="F20" i="10"/>
  <c r="G20" i="10" s="1"/>
  <c r="H20" i="10" s="1"/>
  <c r="F21" i="10"/>
  <c r="G21" i="10"/>
  <c r="H21" i="10" s="1"/>
  <c r="F22" i="10"/>
  <c r="G22" i="10" s="1"/>
  <c r="H22" i="10" s="1"/>
  <c r="F23" i="10"/>
  <c r="G23" i="10" s="1"/>
  <c r="H23" i="10" s="1"/>
  <c r="F24" i="10"/>
  <c r="G24" i="10" s="1"/>
  <c r="H24" i="10" s="1"/>
  <c r="F25" i="10"/>
  <c r="G25" i="10" s="1"/>
  <c r="H25" i="10" s="1"/>
  <c r="F26" i="10"/>
  <c r="G26" i="10" s="1"/>
  <c r="H26" i="10" s="1"/>
  <c r="F27" i="10"/>
  <c r="G27" i="10"/>
  <c r="H27" i="10"/>
  <c r="F28" i="10"/>
  <c r="G28" i="10" s="1"/>
  <c r="H28" i="10" s="1"/>
  <c r="F29" i="10"/>
  <c r="G29" i="10"/>
  <c r="H29" i="10" s="1"/>
  <c r="F30" i="10"/>
  <c r="G30" i="10" s="1"/>
  <c r="H30" i="10" s="1"/>
  <c r="F31" i="10"/>
  <c r="G31" i="10" s="1"/>
  <c r="H31" i="10" s="1"/>
  <c r="F32" i="10"/>
  <c r="G32" i="10" s="1"/>
  <c r="H32" i="10" s="1"/>
  <c r="F33" i="10"/>
  <c r="G33" i="10" s="1"/>
  <c r="H33" i="10" s="1"/>
  <c r="F34" i="10"/>
  <c r="G34" i="10" s="1"/>
  <c r="H34" i="10" s="1"/>
  <c r="F35" i="10"/>
  <c r="G35" i="10"/>
  <c r="H35" i="10"/>
  <c r="F36" i="10"/>
  <c r="G36" i="10" s="1"/>
  <c r="H36" i="10" s="1"/>
  <c r="F37" i="10"/>
  <c r="G37" i="10"/>
  <c r="H37" i="10" s="1"/>
  <c r="F38" i="10"/>
  <c r="G38" i="10" s="1"/>
  <c r="H38" i="10" s="1"/>
  <c r="F39" i="10"/>
  <c r="G39" i="10" s="1"/>
  <c r="H39" i="10" s="1"/>
  <c r="F40" i="10"/>
  <c r="G40" i="10" s="1"/>
  <c r="H40" i="10" s="1"/>
  <c r="F41" i="10"/>
  <c r="G41" i="10" s="1"/>
  <c r="H41" i="10" s="1"/>
  <c r="F4" i="11"/>
  <c r="G4" i="11" s="1"/>
  <c r="H4" i="11" s="1"/>
  <c r="F6" i="11"/>
  <c r="G6" i="11" s="1"/>
  <c r="H6" i="11" s="1"/>
  <c r="F7" i="11"/>
  <c r="G7" i="11" s="1"/>
  <c r="H7" i="11" s="1"/>
  <c r="F8" i="11"/>
  <c r="G8" i="11" s="1"/>
  <c r="H8" i="11" s="1"/>
  <c r="F9" i="11"/>
  <c r="G9" i="11" s="1"/>
  <c r="H9" i="11" s="1"/>
  <c r="F10" i="11"/>
  <c r="G10" i="11"/>
  <c r="H10" i="11" s="1"/>
  <c r="F11" i="11"/>
  <c r="G11" i="11" s="1"/>
  <c r="H11" i="11" s="1"/>
  <c r="F12" i="11"/>
  <c r="G12" i="11"/>
  <c r="H12" i="11" s="1"/>
  <c r="F13" i="11"/>
  <c r="G13" i="11" s="1"/>
  <c r="H13" i="11" s="1"/>
  <c r="F14" i="11"/>
  <c r="G14" i="11" s="1"/>
  <c r="H14" i="11" s="1"/>
  <c r="F15" i="11"/>
  <c r="G15" i="11" s="1"/>
  <c r="H15" i="11" s="1"/>
  <c r="F16" i="11"/>
  <c r="G16" i="11"/>
  <c r="H16" i="11" s="1"/>
  <c r="F17" i="11"/>
  <c r="G17" i="11" s="1"/>
  <c r="H17" i="11" s="1"/>
  <c r="F18" i="11"/>
  <c r="G18" i="11"/>
  <c r="H18" i="11" s="1"/>
  <c r="F19" i="11"/>
  <c r="G19" i="11" s="1"/>
  <c r="H19" i="11" s="1"/>
  <c r="F20" i="11"/>
  <c r="G20" i="11" s="1"/>
  <c r="H20" i="11" s="1"/>
  <c r="F21" i="11"/>
  <c r="G21" i="11" s="1"/>
  <c r="H21" i="11" s="1"/>
  <c r="F22" i="11"/>
  <c r="G22" i="11" s="1"/>
  <c r="H22" i="11" s="1"/>
  <c r="F23" i="11"/>
  <c r="G23" i="11" s="1"/>
  <c r="H23" i="11" s="1"/>
  <c r="F24" i="11"/>
  <c r="G24" i="11" s="1"/>
  <c r="H24" i="11" s="1"/>
  <c r="F25" i="11"/>
  <c r="G25" i="11" s="1"/>
  <c r="H25" i="11" s="1"/>
  <c r="F26" i="11"/>
  <c r="G26" i="11"/>
  <c r="H26" i="11" s="1"/>
  <c r="F27" i="11"/>
  <c r="G27" i="11" s="1"/>
  <c r="H27" i="11" s="1"/>
  <c r="F28" i="11"/>
  <c r="G28" i="11"/>
  <c r="H28" i="11" s="1"/>
  <c r="F29" i="11"/>
  <c r="G29" i="11" s="1"/>
  <c r="H29" i="11" s="1"/>
  <c r="F30" i="11"/>
  <c r="G30" i="11" s="1"/>
  <c r="H30" i="11" s="1"/>
  <c r="F31" i="11"/>
  <c r="G31" i="11" s="1"/>
  <c r="H31" i="11" s="1"/>
  <c r="F32" i="11"/>
  <c r="G32" i="11"/>
  <c r="H32" i="11" s="1"/>
  <c r="F33" i="11"/>
  <c r="G33" i="11" s="1"/>
  <c r="H33" i="11" s="1"/>
  <c r="F34" i="11"/>
  <c r="G34" i="11"/>
  <c r="H34" i="11" s="1"/>
  <c r="F35" i="11"/>
  <c r="G35" i="11" s="1"/>
  <c r="H35" i="11" s="1"/>
  <c r="F36" i="11"/>
  <c r="G36" i="11" s="1"/>
  <c r="H36" i="11" s="1"/>
  <c r="F37" i="11"/>
  <c r="G37" i="11" s="1"/>
  <c r="H37" i="11" s="1"/>
  <c r="F38" i="11"/>
  <c r="G38" i="11" s="1"/>
  <c r="H38" i="11" s="1"/>
  <c r="F39" i="11"/>
  <c r="G39" i="11" s="1"/>
  <c r="H39" i="11" s="1"/>
  <c r="F40" i="11"/>
  <c r="G40" i="11" s="1"/>
  <c r="H40" i="11" s="1"/>
  <c r="F41" i="11"/>
  <c r="G41" i="11" s="1"/>
  <c r="H41" i="11" s="1"/>
  <c r="F42" i="11"/>
  <c r="G42" i="11"/>
  <c r="H42" i="11" s="1"/>
  <c r="F43" i="11"/>
  <c r="G43" i="11" s="1"/>
  <c r="H43" i="11" s="1"/>
  <c r="F44" i="11"/>
  <c r="G44" i="11"/>
  <c r="H44" i="11" s="1"/>
  <c r="F4" i="9"/>
  <c r="G4" i="9" s="1"/>
  <c r="H4" i="9" s="1"/>
  <c r="F6" i="9"/>
  <c r="G6" i="9" s="1"/>
  <c r="H6" i="9" s="1"/>
  <c r="F7" i="9"/>
  <c r="G7" i="9" s="1"/>
  <c r="H7" i="9" s="1"/>
  <c r="F8" i="9"/>
  <c r="G8" i="9" s="1"/>
  <c r="H8" i="9" s="1"/>
  <c r="F9" i="9"/>
  <c r="G9" i="9" s="1"/>
  <c r="H9" i="9" s="1"/>
  <c r="F10" i="9"/>
  <c r="G10" i="9" s="1"/>
  <c r="H10" i="9" s="1"/>
  <c r="F11" i="9"/>
  <c r="G11" i="9" s="1"/>
  <c r="H11" i="9" s="1"/>
  <c r="F12" i="9"/>
  <c r="G12" i="9" s="1"/>
  <c r="H12" i="9" s="1"/>
  <c r="F13" i="9"/>
  <c r="G13" i="9" s="1"/>
  <c r="H13" i="9" s="1"/>
  <c r="F14" i="9"/>
  <c r="G14" i="9" s="1"/>
  <c r="H14" i="9" s="1"/>
  <c r="F15" i="9"/>
  <c r="G15" i="9" s="1"/>
  <c r="H15" i="9" s="1"/>
  <c r="F16" i="9"/>
  <c r="G16" i="9" s="1"/>
  <c r="H16" i="9" s="1"/>
  <c r="F17" i="9"/>
  <c r="G17" i="9" s="1"/>
  <c r="H17" i="9" s="1"/>
  <c r="F18" i="9"/>
  <c r="G18" i="9" s="1"/>
  <c r="H18" i="9" s="1"/>
  <c r="F19" i="9"/>
  <c r="G19" i="9" s="1"/>
  <c r="H19" i="9" s="1"/>
  <c r="F20" i="9"/>
  <c r="G20" i="9" s="1"/>
  <c r="H20" i="9" s="1"/>
  <c r="F21" i="9"/>
  <c r="G21" i="9" s="1"/>
  <c r="H21" i="9" s="1"/>
  <c r="F22" i="9"/>
  <c r="G22" i="9" s="1"/>
  <c r="H22" i="9" s="1"/>
  <c r="F23" i="9"/>
  <c r="G23" i="9" s="1"/>
  <c r="H23" i="9" s="1"/>
  <c r="F24" i="9"/>
  <c r="G24" i="9" s="1"/>
  <c r="H24" i="9" s="1"/>
  <c r="F25" i="9"/>
  <c r="G25" i="9" s="1"/>
  <c r="H25" i="9" s="1"/>
  <c r="F26" i="9"/>
  <c r="G26" i="9" s="1"/>
  <c r="H26" i="9" s="1"/>
  <c r="F27" i="9"/>
  <c r="G27" i="9" s="1"/>
  <c r="H27" i="9" s="1"/>
  <c r="F28" i="9"/>
  <c r="G28" i="9" s="1"/>
  <c r="H28" i="9" s="1"/>
  <c r="F29" i="9"/>
  <c r="G29" i="9" s="1"/>
  <c r="H29" i="9" s="1"/>
  <c r="F30" i="9"/>
  <c r="G30" i="9" s="1"/>
  <c r="H30" i="9" s="1"/>
  <c r="F31" i="9"/>
  <c r="G31" i="9" s="1"/>
  <c r="H31" i="9" s="1"/>
  <c r="F32" i="9"/>
  <c r="G32" i="9" s="1"/>
  <c r="H32" i="9" s="1"/>
  <c r="F33" i="9"/>
  <c r="G33" i="9" s="1"/>
  <c r="H33" i="9" s="1"/>
  <c r="F34" i="9"/>
  <c r="G34" i="9" s="1"/>
  <c r="H34" i="9" s="1"/>
  <c r="F35" i="9"/>
  <c r="G35" i="9" s="1"/>
  <c r="H35" i="9" s="1"/>
  <c r="F36" i="9"/>
  <c r="G36" i="9" s="1"/>
  <c r="H36" i="9" s="1"/>
  <c r="F37" i="9"/>
  <c r="G37" i="9" s="1"/>
  <c r="H37" i="9" s="1"/>
  <c r="F38" i="9"/>
  <c r="G38" i="9" s="1"/>
  <c r="H38" i="9" s="1"/>
  <c r="F39" i="9"/>
  <c r="G39" i="9" s="1"/>
  <c r="H39" i="9" s="1"/>
  <c r="F40" i="9"/>
  <c r="G40" i="9" s="1"/>
  <c r="H40" i="9" s="1"/>
  <c r="F41" i="9"/>
  <c r="G41" i="9" s="1"/>
  <c r="H41" i="9" s="1"/>
  <c r="F42" i="9"/>
  <c r="G42" i="9" s="1"/>
  <c r="H42" i="9" s="1"/>
  <c r="F43" i="9"/>
  <c r="G43" i="9" s="1"/>
  <c r="H43" i="9" s="1"/>
  <c r="F4" i="8"/>
  <c r="G4" i="8" s="1"/>
  <c r="H4" i="8" s="1"/>
  <c r="F6" i="8"/>
  <c r="G6" i="8" s="1"/>
  <c r="H6" i="8" s="1"/>
  <c r="F7" i="8"/>
  <c r="G7" i="8" s="1"/>
  <c r="H7" i="8" s="1"/>
  <c r="F8" i="8"/>
  <c r="G8" i="8" s="1"/>
  <c r="H8" i="8" s="1"/>
  <c r="F9" i="8"/>
  <c r="G9" i="8" s="1"/>
  <c r="H9" i="8" s="1"/>
  <c r="F10" i="8"/>
  <c r="G10" i="8" s="1"/>
  <c r="H10" i="8" s="1"/>
  <c r="F11" i="8"/>
  <c r="G11" i="8" s="1"/>
  <c r="H11" i="8" s="1"/>
  <c r="F12" i="8"/>
  <c r="G12" i="8" s="1"/>
  <c r="H12" i="8" s="1"/>
  <c r="F13" i="8"/>
  <c r="G13" i="8" s="1"/>
  <c r="H13" i="8" s="1"/>
  <c r="F14" i="8"/>
  <c r="G14" i="8" s="1"/>
  <c r="H14" i="8" s="1"/>
  <c r="F15" i="8"/>
  <c r="G15" i="8" s="1"/>
  <c r="H15" i="8" s="1"/>
  <c r="F16" i="8"/>
  <c r="G16" i="8" s="1"/>
  <c r="H16" i="8" s="1"/>
  <c r="F17" i="8"/>
  <c r="G17" i="8" s="1"/>
  <c r="H17" i="8" s="1"/>
  <c r="F18" i="8"/>
  <c r="G18" i="8" s="1"/>
  <c r="H18" i="8" s="1"/>
  <c r="F19" i="8"/>
  <c r="G19" i="8" s="1"/>
  <c r="H19" i="8" s="1"/>
  <c r="F20" i="8"/>
  <c r="G20" i="8" s="1"/>
  <c r="H20" i="8" s="1"/>
  <c r="F21" i="8"/>
  <c r="G21" i="8" s="1"/>
  <c r="H21" i="8" s="1"/>
  <c r="F22" i="8"/>
  <c r="G22" i="8" s="1"/>
  <c r="H22" i="8" s="1"/>
  <c r="F23" i="8"/>
  <c r="G23" i="8" s="1"/>
  <c r="H23" i="8" s="1"/>
  <c r="F24" i="8"/>
  <c r="G24" i="8" s="1"/>
  <c r="H24" i="8" s="1"/>
  <c r="F25" i="8"/>
  <c r="G25" i="8" s="1"/>
  <c r="H25" i="8" s="1"/>
  <c r="F26" i="8"/>
  <c r="G26" i="8" s="1"/>
  <c r="H26" i="8" s="1"/>
  <c r="F27" i="8"/>
  <c r="G27" i="8" s="1"/>
  <c r="H27" i="8" s="1"/>
  <c r="F28" i="8"/>
  <c r="G28" i="8" s="1"/>
  <c r="H28" i="8" s="1"/>
  <c r="F29" i="8"/>
  <c r="G29" i="8" s="1"/>
  <c r="H29" i="8" s="1"/>
  <c r="F30" i="8"/>
  <c r="G30" i="8" s="1"/>
  <c r="H30" i="8" s="1"/>
  <c r="F31" i="8"/>
  <c r="G31" i="8" s="1"/>
  <c r="H31" i="8" s="1"/>
  <c r="F32" i="8"/>
  <c r="G32" i="8" s="1"/>
  <c r="H32" i="8" s="1"/>
  <c r="F33" i="8"/>
  <c r="G33" i="8" s="1"/>
  <c r="H33" i="8" s="1"/>
  <c r="F34" i="8"/>
  <c r="G34" i="8" s="1"/>
  <c r="H34" i="8" s="1"/>
  <c r="F35" i="8"/>
  <c r="G35" i="8" s="1"/>
  <c r="H35" i="8" s="1"/>
  <c r="F36" i="8"/>
  <c r="G36" i="8" s="1"/>
  <c r="H36" i="8" s="1"/>
  <c r="F37" i="8"/>
  <c r="G37" i="8" s="1"/>
  <c r="H37" i="8" s="1"/>
  <c r="F38" i="8"/>
  <c r="G38" i="8" s="1"/>
  <c r="H38" i="8" s="1"/>
  <c r="F39" i="8"/>
  <c r="G39" i="8" s="1"/>
  <c r="H39" i="8" s="1"/>
  <c r="F40" i="8"/>
  <c r="G40" i="8" s="1"/>
  <c r="H40" i="8" s="1"/>
  <c r="F41" i="8"/>
  <c r="G41" i="8" s="1"/>
  <c r="H41" i="8" s="1"/>
  <c r="F42" i="8"/>
  <c r="G42" i="8" s="1"/>
  <c r="H42" i="8" s="1"/>
  <c r="F43" i="8"/>
  <c r="G43" i="8" s="1"/>
  <c r="H43" i="8" s="1"/>
  <c r="F44" i="8"/>
  <c r="G44" i="8" s="1"/>
  <c r="H44" i="8" s="1"/>
  <c r="F6" i="7"/>
  <c r="G6" i="7"/>
  <c r="H6" i="7" s="1"/>
  <c r="F7" i="7"/>
  <c r="G7" i="7" s="1"/>
  <c r="H7" i="7" s="1"/>
  <c r="F8" i="7"/>
  <c r="G8" i="7"/>
  <c r="H8" i="7" s="1"/>
  <c r="F9" i="7"/>
  <c r="G9" i="7"/>
  <c r="H9" i="7" s="1"/>
  <c r="F10" i="7"/>
  <c r="G10" i="7"/>
  <c r="H10" i="7" s="1"/>
  <c r="F11" i="7"/>
  <c r="G11" i="7" s="1"/>
  <c r="H11" i="7" s="1"/>
  <c r="F12" i="7"/>
  <c r="G12" i="7"/>
  <c r="H12" i="7" s="1"/>
  <c r="F13" i="7"/>
  <c r="G13" i="7"/>
  <c r="H13" i="7" s="1"/>
  <c r="F14" i="7"/>
  <c r="G14" i="7"/>
  <c r="H14" i="7" s="1"/>
  <c r="F15" i="7"/>
  <c r="G15" i="7"/>
  <c r="H15" i="7"/>
  <c r="F16" i="7"/>
  <c r="G16" i="7" s="1"/>
  <c r="H16" i="7" s="1"/>
  <c r="F17" i="7"/>
  <c r="G17" i="7"/>
  <c r="H17" i="7"/>
  <c r="F18" i="7"/>
  <c r="G18" i="7"/>
  <c r="H18" i="7" s="1"/>
  <c r="F19" i="7"/>
  <c r="G19" i="7"/>
  <c r="H19" i="7"/>
  <c r="F20" i="7"/>
  <c r="G20" i="7" s="1"/>
  <c r="H20" i="7" s="1"/>
  <c r="F21" i="7"/>
  <c r="G21" i="7"/>
  <c r="H21" i="7"/>
  <c r="F22" i="7"/>
  <c r="G22" i="7"/>
  <c r="H22" i="7" s="1"/>
  <c r="F23" i="7"/>
  <c r="G23" i="7" s="1"/>
  <c r="H23" i="7" s="1"/>
  <c r="F24" i="7"/>
  <c r="G24" i="7"/>
  <c r="H24" i="7" s="1"/>
  <c r="F25" i="7"/>
  <c r="G25" i="7"/>
  <c r="H25" i="7" s="1"/>
  <c r="F26" i="7"/>
  <c r="G26" i="7" s="1"/>
  <c r="H26" i="7" s="1"/>
  <c r="F27" i="7"/>
  <c r="G27" i="7" s="1"/>
  <c r="H27" i="7" s="1"/>
  <c r="F28" i="7"/>
  <c r="G28" i="7" s="1"/>
  <c r="H28" i="7" s="1"/>
  <c r="F29" i="7"/>
  <c r="G29" i="7"/>
  <c r="H29" i="7" s="1"/>
  <c r="F30" i="7"/>
  <c r="G30" i="7"/>
  <c r="H30" i="7" s="1"/>
  <c r="F31" i="7"/>
  <c r="G31" i="7"/>
  <c r="H31" i="7"/>
  <c r="F32" i="7"/>
  <c r="G32" i="7" s="1"/>
  <c r="H32" i="7" s="1"/>
  <c r="F33" i="7"/>
  <c r="G33" i="7" s="1"/>
  <c r="H33" i="7" s="1"/>
  <c r="F34" i="7"/>
  <c r="G34" i="7"/>
  <c r="H34" i="7" s="1"/>
  <c r="F35" i="7"/>
  <c r="G35" i="7"/>
  <c r="H35" i="7" s="1"/>
  <c r="F36" i="7"/>
  <c r="G36" i="7" s="1"/>
  <c r="H36" i="7" s="1"/>
  <c r="F37" i="7"/>
  <c r="G37" i="7"/>
  <c r="H37" i="7"/>
  <c r="F38" i="7"/>
  <c r="G38" i="7"/>
  <c r="H38" i="7" s="1"/>
  <c r="F39" i="7"/>
  <c r="G39" i="7" s="1"/>
  <c r="H39" i="7" s="1"/>
  <c r="F40" i="7"/>
  <c r="G40" i="7"/>
  <c r="H40" i="7" s="1"/>
  <c r="F41" i="7"/>
  <c r="G41" i="7"/>
  <c r="H41" i="7" s="1"/>
  <c r="F42" i="7"/>
  <c r="G42" i="7" s="1"/>
  <c r="H42" i="7" s="1"/>
  <c r="F43" i="7"/>
  <c r="G43" i="7" s="1"/>
  <c r="H43" i="7" s="1"/>
  <c r="F44" i="7"/>
  <c r="G44" i="7"/>
  <c r="H44" i="7" s="1"/>
  <c r="F4" i="7"/>
  <c r="G4" i="7" s="1"/>
  <c r="H4" i="7" s="1"/>
  <c r="F4" i="6"/>
  <c r="G4" i="6" s="1"/>
  <c r="H4" i="6" s="1"/>
  <c r="F6" i="6"/>
  <c r="G6" i="6" s="1"/>
  <c r="H6" i="6" s="1"/>
  <c r="F7" i="6"/>
  <c r="G7" i="6" s="1"/>
  <c r="H7" i="6" s="1"/>
  <c r="F8" i="6"/>
  <c r="G8" i="6" s="1"/>
  <c r="H8" i="6" s="1"/>
  <c r="F9" i="6"/>
  <c r="G9" i="6"/>
  <c r="H9" i="6" s="1"/>
  <c r="F10" i="6"/>
  <c r="G10" i="6"/>
  <c r="H10" i="6" s="1"/>
  <c r="F11" i="6"/>
  <c r="G11" i="6"/>
  <c r="H11" i="6"/>
  <c r="F12" i="6"/>
  <c r="G12" i="6" s="1"/>
  <c r="H12" i="6" s="1"/>
  <c r="F13" i="6"/>
  <c r="G13" i="6" s="1"/>
  <c r="H13" i="6" s="1"/>
  <c r="F14" i="6"/>
  <c r="G14" i="6"/>
  <c r="H14" i="6" s="1"/>
  <c r="F15" i="6"/>
  <c r="G15" i="6" s="1"/>
  <c r="H15" i="6" s="1"/>
  <c r="F16" i="6"/>
  <c r="G16" i="6" s="1"/>
  <c r="H16" i="6" s="1"/>
  <c r="F17" i="6"/>
  <c r="G17" i="6"/>
  <c r="H17" i="6" s="1"/>
  <c r="F18" i="6"/>
  <c r="G18" i="6"/>
  <c r="H18" i="6" s="1"/>
  <c r="F19" i="6"/>
  <c r="G19" i="6" s="1"/>
  <c r="H19" i="6" s="1"/>
  <c r="F20" i="6"/>
  <c r="G20" i="6"/>
  <c r="H20" i="6" s="1"/>
  <c r="F21" i="6"/>
  <c r="G21" i="6"/>
  <c r="H21" i="6" s="1"/>
  <c r="F22" i="6"/>
  <c r="G22" i="6" s="1"/>
  <c r="H22" i="6" s="1"/>
  <c r="F23" i="6"/>
  <c r="G23" i="6" s="1"/>
  <c r="H23" i="6" s="1"/>
  <c r="F24" i="6"/>
  <c r="G24" i="6" s="1"/>
  <c r="H24" i="6" s="1"/>
  <c r="F25" i="6"/>
  <c r="G25" i="6"/>
  <c r="H25" i="6" s="1"/>
  <c r="F26" i="6"/>
  <c r="G26" i="6"/>
  <c r="H26" i="6" s="1"/>
  <c r="F27" i="6"/>
  <c r="G27" i="6"/>
  <c r="H27" i="6"/>
  <c r="F28" i="6"/>
  <c r="G28" i="6" s="1"/>
  <c r="H28" i="6" s="1"/>
  <c r="F29" i="6"/>
  <c r="G29" i="6" s="1"/>
  <c r="H29" i="6" s="1"/>
  <c r="F30" i="6"/>
  <c r="G30" i="6"/>
  <c r="H30" i="6" s="1"/>
  <c r="F31" i="6"/>
  <c r="G31" i="6" s="1"/>
  <c r="H31" i="6" s="1"/>
  <c r="F32" i="6"/>
  <c r="G32" i="6" s="1"/>
  <c r="H32" i="6" s="1"/>
  <c r="F33" i="6"/>
  <c r="G33" i="6"/>
  <c r="H33" i="6" s="1"/>
  <c r="F34" i="6"/>
  <c r="G34" i="6"/>
  <c r="H34" i="6" s="1"/>
  <c r="F35" i="6"/>
  <c r="G35" i="6" s="1"/>
  <c r="H35" i="6" s="1"/>
  <c r="F36" i="6"/>
  <c r="G36" i="6"/>
  <c r="H36" i="6" s="1"/>
  <c r="F37" i="6"/>
  <c r="G37" i="6"/>
  <c r="H37" i="6" s="1"/>
  <c r="F38" i="6"/>
  <c r="G38" i="6" s="1"/>
  <c r="H38" i="6" s="1"/>
  <c r="F39" i="6"/>
  <c r="G39" i="6" s="1"/>
  <c r="H39" i="6" s="1"/>
  <c r="F40" i="6"/>
  <c r="G40" i="6" s="1"/>
  <c r="H40" i="6" s="1"/>
  <c r="F41" i="6"/>
  <c r="G41" i="6"/>
  <c r="H41" i="6" s="1"/>
  <c r="F42" i="6"/>
  <c r="G42" i="6"/>
  <c r="H42" i="6" s="1"/>
  <c r="F43" i="6"/>
  <c r="G43" i="6"/>
  <c r="H43" i="6"/>
  <c r="F44" i="6"/>
  <c r="G44" i="6" s="1"/>
  <c r="H44" i="6" s="1"/>
  <c r="F6" i="5"/>
  <c r="G6" i="5" s="1"/>
  <c r="H6" i="5" s="1"/>
  <c r="F7" i="5"/>
  <c r="G7" i="5" s="1"/>
  <c r="H7" i="5" s="1"/>
  <c r="F8" i="5"/>
  <c r="G8" i="5" s="1"/>
  <c r="H8" i="5" s="1"/>
  <c r="F9" i="5"/>
  <c r="G9" i="5"/>
  <c r="H9" i="5" s="1"/>
  <c r="F10" i="5"/>
  <c r="G10" i="5" s="1"/>
  <c r="H10" i="5" s="1"/>
  <c r="F11" i="5"/>
  <c r="G11" i="5"/>
  <c r="H11" i="5" s="1"/>
  <c r="F12" i="5"/>
  <c r="G12" i="5" s="1"/>
  <c r="H12" i="5" s="1"/>
  <c r="F13" i="5"/>
  <c r="G13" i="5"/>
  <c r="H13" i="5" s="1"/>
  <c r="F14" i="5"/>
  <c r="G14" i="5" s="1"/>
  <c r="H14" i="5" s="1"/>
  <c r="F15" i="5"/>
  <c r="G15" i="5" s="1"/>
  <c r="H15" i="5" s="1"/>
  <c r="F16" i="5"/>
  <c r="G16" i="5" s="1"/>
  <c r="H16" i="5" s="1"/>
  <c r="F17" i="5"/>
  <c r="G17" i="5"/>
  <c r="H17" i="5" s="1"/>
  <c r="F18" i="5"/>
  <c r="G18" i="5" s="1"/>
  <c r="H18" i="5" s="1"/>
  <c r="F19" i="5"/>
  <c r="G19" i="5"/>
  <c r="H19" i="5" s="1"/>
  <c r="F20" i="5"/>
  <c r="G20" i="5" s="1"/>
  <c r="H20" i="5" s="1"/>
  <c r="F21" i="5"/>
  <c r="G21" i="5"/>
  <c r="H21" i="5" s="1"/>
  <c r="F22" i="5"/>
  <c r="G22" i="5" s="1"/>
  <c r="H22" i="5" s="1"/>
  <c r="F23" i="5"/>
  <c r="G23" i="5" s="1"/>
  <c r="H23" i="5" s="1"/>
  <c r="F24" i="5"/>
  <c r="G24" i="5" s="1"/>
  <c r="H24" i="5" s="1"/>
  <c r="F25" i="5"/>
  <c r="G25" i="5"/>
  <c r="H25" i="5" s="1"/>
  <c r="F26" i="5"/>
  <c r="G26" i="5" s="1"/>
  <c r="H26" i="5" s="1"/>
  <c r="F27" i="5"/>
  <c r="G27" i="5"/>
  <c r="H27" i="5" s="1"/>
  <c r="F28" i="5"/>
  <c r="G28" i="5" s="1"/>
  <c r="H28" i="5" s="1"/>
  <c r="F29" i="5"/>
  <c r="G29" i="5"/>
  <c r="H29" i="5" s="1"/>
  <c r="F30" i="5"/>
  <c r="G30" i="5" s="1"/>
  <c r="H30" i="5" s="1"/>
  <c r="F31" i="5"/>
  <c r="G31" i="5" s="1"/>
  <c r="H31" i="5" s="1"/>
  <c r="F32" i="5"/>
  <c r="G32" i="5" s="1"/>
  <c r="H32" i="5" s="1"/>
  <c r="F33" i="5"/>
  <c r="G33" i="5"/>
  <c r="H33" i="5" s="1"/>
  <c r="F34" i="5"/>
  <c r="G34" i="5" s="1"/>
  <c r="H34" i="5" s="1"/>
  <c r="F35" i="5"/>
  <c r="G35" i="5"/>
  <c r="H35" i="5" s="1"/>
  <c r="F36" i="5"/>
  <c r="G36" i="5" s="1"/>
  <c r="H36" i="5" s="1"/>
  <c r="F37" i="5"/>
  <c r="G37" i="5"/>
  <c r="H37" i="5" s="1"/>
  <c r="F38" i="5"/>
  <c r="G38" i="5" s="1"/>
  <c r="H38" i="5" s="1"/>
  <c r="F39" i="5"/>
  <c r="G39" i="5" s="1"/>
  <c r="H39" i="5" s="1"/>
  <c r="F40" i="5"/>
  <c r="G40" i="5" s="1"/>
  <c r="H40" i="5" s="1"/>
  <c r="F41" i="5"/>
  <c r="G41" i="5"/>
  <c r="H41" i="5" s="1"/>
  <c r="F42" i="5"/>
  <c r="G42" i="5" s="1"/>
  <c r="H42" i="5" s="1"/>
  <c r="F43" i="5"/>
  <c r="G43" i="5"/>
  <c r="H43" i="5" s="1"/>
  <c r="F4" i="5"/>
  <c r="G4" i="5" s="1"/>
  <c r="H4" i="5" s="1"/>
  <c r="F5" i="10"/>
  <c r="G5" i="10" s="1"/>
  <c r="H5" i="10" s="1"/>
  <c r="F5" i="11"/>
  <c r="G5" i="11" s="1"/>
  <c r="H5" i="11" s="1"/>
  <c r="F5" i="9"/>
  <c r="G5" i="9" s="1"/>
  <c r="H5" i="9" s="1"/>
  <c r="F5" i="8"/>
  <c r="G5" i="8" s="1"/>
  <c r="H5" i="8" s="1"/>
  <c r="F5" i="7"/>
  <c r="G5" i="7" s="1"/>
  <c r="H5" i="7" s="1"/>
  <c r="F5" i="6"/>
  <c r="G5" i="6" s="1"/>
  <c r="H5" i="6" s="1"/>
  <c r="F5" i="5"/>
  <c r="G5" i="5" s="1"/>
  <c r="H5" i="5" s="1"/>
  <c r="F4" i="4"/>
  <c r="G4" i="4" s="1"/>
  <c r="H4" i="4" s="1"/>
  <c r="F5" i="4"/>
  <c r="G5" i="4" s="1"/>
  <c r="H5" i="4" s="1"/>
  <c r="F6" i="4"/>
  <c r="G6" i="4" s="1"/>
  <c r="H6" i="4" s="1"/>
  <c r="F7" i="4"/>
  <c r="G7" i="4" s="1"/>
  <c r="H7" i="4" s="1"/>
  <c r="F8" i="4"/>
  <c r="G8" i="4" s="1"/>
  <c r="H8" i="4" s="1"/>
  <c r="F9" i="4"/>
  <c r="G9" i="4" s="1"/>
  <c r="H9" i="4" s="1"/>
  <c r="F10" i="4"/>
  <c r="G10" i="4" s="1"/>
  <c r="H10" i="4" s="1"/>
  <c r="F11" i="4"/>
  <c r="G11" i="4" s="1"/>
  <c r="H11" i="4" s="1"/>
  <c r="F12" i="4"/>
  <c r="G12" i="4" s="1"/>
  <c r="H12" i="4" s="1"/>
  <c r="F13" i="4"/>
  <c r="G13" i="4" s="1"/>
  <c r="H13" i="4" s="1"/>
  <c r="F14" i="4"/>
  <c r="G14" i="4" s="1"/>
  <c r="H14" i="4" s="1"/>
  <c r="F15" i="4"/>
  <c r="G15" i="4" s="1"/>
  <c r="H15" i="4" s="1"/>
  <c r="F16" i="4"/>
  <c r="G16" i="4" s="1"/>
  <c r="H16" i="4" s="1"/>
  <c r="F17" i="4"/>
  <c r="G17" i="4" s="1"/>
  <c r="H17" i="4" s="1"/>
  <c r="F18" i="4"/>
  <c r="G18" i="4" s="1"/>
  <c r="H18" i="4" s="1"/>
  <c r="F19" i="4"/>
  <c r="G19" i="4" s="1"/>
  <c r="H19" i="4" s="1"/>
  <c r="F20" i="4"/>
  <c r="G20" i="4" s="1"/>
  <c r="H20" i="4" s="1"/>
  <c r="F21" i="4"/>
  <c r="G21" i="4" s="1"/>
  <c r="H21" i="4" s="1"/>
  <c r="F22" i="4"/>
  <c r="G22" i="4" s="1"/>
  <c r="H22" i="4" s="1"/>
  <c r="F23" i="4"/>
  <c r="G23" i="4" s="1"/>
  <c r="H23" i="4" s="1"/>
  <c r="F24" i="4"/>
  <c r="G24" i="4" s="1"/>
  <c r="H24" i="4" s="1"/>
  <c r="F25" i="4"/>
  <c r="G25" i="4" s="1"/>
  <c r="H25" i="4" s="1"/>
  <c r="F26" i="4"/>
  <c r="G26" i="4" s="1"/>
  <c r="H26" i="4" s="1"/>
  <c r="F27" i="4"/>
  <c r="G27" i="4" s="1"/>
  <c r="H27" i="4" s="1"/>
  <c r="F28" i="4"/>
  <c r="G28" i="4" s="1"/>
  <c r="H28" i="4" s="1"/>
  <c r="F29" i="4"/>
  <c r="G29" i="4" s="1"/>
  <c r="H29" i="4" s="1"/>
  <c r="F30" i="4"/>
  <c r="G30" i="4" s="1"/>
  <c r="H30" i="4" s="1"/>
  <c r="F31" i="4"/>
  <c r="G31" i="4" s="1"/>
  <c r="H31" i="4" s="1"/>
  <c r="F32" i="4"/>
  <c r="G32" i="4" s="1"/>
  <c r="H32" i="4" s="1"/>
  <c r="F33" i="4"/>
  <c r="G33" i="4" s="1"/>
  <c r="H33" i="4" s="1"/>
  <c r="F34" i="4"/>
  <c r="G34" i="4" s="1"/>
  <c r="H34" i="4" s="1"/>
  <c r="F35" i="4"/>
  <c r="G35" i="4" s="1"/>
  <c r="H35" i="4" s="1"/>
  <c r="F36" i="4"/>
  <c r="G36" i="4" s="1"/>
  <c r="H36" i="4" s="1"/>
  <c r="F37" i="4"/>
  <c r="G37" i="4" s="1"/>
  <c r="H37" i="4" s="1"/>
  <c r="F38" i="4"/>
  <c r="G38" i="4" s="1"/>
  <c r="H38" i="4" s="1"/>
  <c r="F39" i="4"/>
  <c r="G39" i="4" s="1"/>
  <c r="H39" i="4" s="1"/>
  <c r="F40" i="4"/>
  <c r="G40" i="4" s="1"/>
  <c r="H40" i="4" s="1"/>
  <c r="F41" i="4"/>
  <c r="G41" i="4" s="1"/>
  <c r="H41" i="4" s="1"/>
  <c r="F6" i="3"/>
  <c r="G6" i="3" s="1"/>
  <c r="H6" i="3" s="1"/>
  <c r="F7" i="3"/>
  <c r="G7" i="3" s="1"/>
  <c r="H7" i="3" s="1"/>
  <c r="F8" i="3"/>
  <c r="G8" i="3" s="1"/>
  <c r="H8" i="3" s="1"/>
  <c r="F9" i="3"/>
  <c r="G9" i="3"/>
  <c r="H9" i="3"/>
  <c r="F10" i="3"/>
  <c r="G10" i="3" s="1"/>
  <c r="H10" i="3" s="1"/>
  <c r="F11" i="3"/>
  <c r="G11" i="3" s="1"/>
  <c r="H11" i="3" s="1"/>
  <c r="F12" i="3"/>
  <c r="G12" i="3" s="1"/>
  <c r="H12" i="3" s="1"/>
  <c r="F13" i="3"/>
  <c r="G13" i="3"/>
  <c r="H13" i="3" s="1"/>
  <c r="F14" i="3"/>
  <c r="G14" i="3" s="1"/>
  <c r="H14" i="3" s="1"/>
  <c r="F15" i="3"/>
  <c r="G15" i="3" s="1"/>
  <c r="H15" i="3" s="1"/>
  <c r="F16" i="3"/>
  <c r="G16" i="3" s="1"/>
  <c r="H16" i="3" s="1"/>
  <c r="F17" i="3"/>
  <c r="G17" i="3"/>
  <c r="H17" i="3"/>
  <c r="F18" i="3"/>
  <c r="G18" i="3" s="1"/>
  <c r="H18" i="3" s="1"/>
  <c r="F19" i="3"/>
  <c r="G19" i="3" s="1"/>
  <c r="H19" i="3" s="1"/>
  <c r="F20" i="3"/>
  <c r="G20" i="3" s="1"/>
  <c r="H20" i="3" s="1"/>
  <c r="F21" i="3"/>
  <c r="G21" i="3"/>
  <c r="H21" i="3" s="1"/>
  <c r="F22" i="3"/>
  <c r="G22" i="3" s="1"/>
  <c r="H22" i="3" s="1"/>
  <c r="F23" i="3"/>
  <c r="G23" i="3" s="1"/>
  <c r="H23" i="3" s="1"/>
  <c r="F24" i="3"/>
  <c r="G24" i="3" s="1"/>
  <c r="H24" i="3" s="1"/>
  <c r="F25" i="3"/>
  <c r="G25" i="3"/>
  <c r="H25" i="3"/>
  <c r="F26" i="3"/>
  <c r="G26" i="3" s="1"/>
  <c r="H26" i="3" s="1"/>
  <c r="F27" i="3"/>
  <c r="G27" i="3" s="1"/>
  <c r="H27" i="3" s="1"/>
  <c r="F28" i="3"/>
  <c r="G28" i="3" s="1"/>
  <c r="H28" i="3" s="1"/>
  <c r="F29" i="3"/>
  <c r="G29" i="3"/>
  <c r="H29" i="3" s="1"/>
  <c r="F30" i="3"/>
  <c r="G30" i="3" s="1"/>
  <c r="H30" i="3" s="1"/>
  <c r="F31" i="3"/>
  <c r="G31" i="3" s="1"/>
  <c r="H31" i="3" s="1"/>
  <c r="F32" i="3"/>
  <c r="G32" i="3" s="1"/>
  <c r="H32" i="3" s="1"/>
  <c r="F33" i="3"/>
  <c r="G33" i="3"/>
  <c r="H33" i="3"/>
  <c r="F34" i="3"/>
  <c r="G34" i="3" s="1"/>
  <c r="H34" i="3" s="1"/>
  <c r="F35" i="3"/>
  <c r="G35" i="3" s="1"/>
  <c r="H35" i="3" s="1"/>
  <c r="F36" i="3"/>
  <c r="G36" i="3" s="1"/>
  <c r="H36" i="3" s="1"/>
  <c r="F37" i="3"/>
  <c r="G37" i="3"/>
  <c r="H37" i="3" s="1"/>
  <c r="F38" i="3"/>
  <c r="G38" i="3" s="1"/>
  <c r="H38" i="3" s="1"/>
  <c r="F39" i="3"/>
  <c r="G39" i="3" s="1"/>
  <c r="H39" i="3" s="1"/>
  <c r="F40" i="3"/>
  <c r="G40" i="3" s="1"/>
  <c r="H40" i="3" s="1"/>
  <c r="F41" i="3"/>
  <c r="G41" i="3"/>
  <c r="H41" i="3"/>
  <c r="F42" i="3"/>
  <c r="G42" i="3" s="1"/>
  <c r="H42" i="3" s="1"/>
  <c r="F43" i="3"/>
  <c r="G43" i="3" s="1"/>
  <c r="H43" i="3" s="1"/>
  <c r="F44" i="3"/>
  <c r="G44" i="3" s="1"/>
  <c r="H44" i="3" s="1"/>
  <c r="F4" i="3"/>
  <c r="G4" i="3" s="1"/>
  <c r="H4" i="3" s="1"/>
  <c r="F5" i="3"/>
  <c r="G5" i="3" s="1"/>
  <c r="H5" i="3" s="1"/>
  <c r="D6" i="1"/>
  <c r="E6" i="1"/>
  <c r="E5" i="1"/>
  <c r="F5" i="1"/>
  <c r="D5" i="1"/>
  <c r="C6" i="1"/>
  <c r="C5" i="1"/>
  <c r="J9" i="10"/>
  <c r="K21" i="10"/>
  <c r="K18" i="10"/>
  <c r="J14" i="10"/>
  <c r="K34" i="10"/>
  <c r="J11" i="10"/>
  <c r="K7" i="10"/>
  <c r="K39" i="10"/>
  <c r="J8" i="10"/>
  <c r="J41" i="10"/>
  <c r="J25" i="11"/>
  <c r="K25" i="11"/>
  <c r="J28" i="11"/>
  <c r="J22" i="11"/>
  <c r="J36" i="11"/>
  <c r="K26" i="11"/>
  <c r="J41" i="11"/>
  <c r="J35" i="11"/>
  <c r="K11" i="11"/>
  <c r="K8" i="11"/>
  <c r="J17" i="9"/>
  <c r="J16" i="9"/>
  <c r="K25" i="9"/>
  <c r="J28" i="9"/>
  <c r="J30" i="9"/>
  <c r="J8" i="9"/>
  <c r="K22" i="9"/>
  <c r="J12" i="9"/>
  <c r="J23" i="9"/>
  <c r="K32" i="9"/>
  <c r="J17" i="8"/>
  <c r="J15" i="8"/>
  <c r="K25" i="8"/>
  <c r="J23" i="8"/>
  <c r="J22" i="8"/>
  <c r="K6" i="8"/>
  <c r="J19" i="8"/>
  <c r="K31" i="8"/>
  <c r="K16" i="8"/>
  <c r="J36" i="8"/>
  <c r="J9" i="7"/>
  <c r="J41" i="7"/>
  <c r="K5" i="7"/>
  <c r="K37" i="7"/>
  <c r="J10" i="7"/>
  <c r="J28" i="7"/>
  <c r="K34" i="7"/>
  <c r="J11" i="7"/>
  <c r="K19" i="7"/>
  <c r="K28" i="7"/>
  <c r="J4" i="7"/>
  <c r="J33" i="6"/>
  <c r="J44" i="6"/>
  <c r="K33" i="6"/>
  <c r="J6" i="6"/>
  <c r="J38" i="6"/>
  <c r="K18" i="6"/>
  <c r="J19" i="6"/>
  <c r="K23" i="6"/>
  <c r="K12" i="6"/>
  <c r="K44" i="6"/>
  <c r="J25" i="5"/>
  <c r="K33" i="5"/>
  <c r="J30" i="5"/>
  <c r="K14" i="5"/>
  <c r="K43" i="5"/>
  <c r="J23" i="5"/>
  <c r="K32" i="5"/>
  <c r="K31" i="5"/>
  <c r="J20" i="5"/>
  <c r="J41" i="5"/>
  <c r="K25" i="4"/>
  <c r="K18" i="4"/>
  <c r="K15" i="4"/>
  <c r="K12" i="4"/>
  <c r="J4" i="4"/>
  <c r="J29" i="3"/>
  <c r="K18" i="3"/>
  <c r="K13" i="3"/>
  <c r="J26" i="3"/>
  <c r="J6" i="3"/>
  <c r="J32" i="3"/>
  <c r="J27" i="3"/>
  <c r="J24" i="3"/>
  <c r="K12" i="3"/>
  <c r="K44" i="3"/>
  <c r="K37" i="2"/>
  <c r="K19" i="2"/>
  <c r="K15" i="2"/>
  <c r="K7" i="2"/>
  <c r="K36" i="2"/>
  <c r="K38" i="1"/>
  <c r="K43" i="1"/>
  <c r="K19" i="1"/>
  <c r="K26" i="1"/>
  <c r="K28" i="1"/>
  <c r="J10" i="3"/>
  <c r="J31" i="3"/>
  <c r="K16" i="3"/>
  <c r="K38" i="2"/>
  <c r="K31" i="2"/>
  <c r="K16" i="2"/>
  <c r="K15" i="1"/>
  <c r="K13" i="1"/>
  <c r="K9" i="1"/>
  <c r="K36" i="1"/>
  <c r="K7" i="3"/>
  <c r="K23" i="2"/>
  <c r="K20" i="2"/>
  <c r="K4" i="2"/>
  <c r="K31" i="1"/>
  <c r="K42" i="1"/>
  <c r="K11" i="1"/>
  <c r="J33" i="10"/>
  <c r="J40" i="10"/>
  <c r="K13" i="11"/>
  <c r="J10" i="11"/>
  <c r="J23" i="11"/>
  <c r="K13" i="9"/>
  <c r="J18" i="9"/>
  <c r="J39" i="9"/>
  <c r="J5" i="8"/>
  <c r="J10" i="8"/>
  <c r="J16" i="8"/>
  <c r="J16" i="7"/>
  <c r="J8" i="7"/>
  <c r="K21" i="6"/>
  <c r="J13" i="10"/>
  <c r="K25" i="10"/>
  <c r="K26" i="10"/>
  <c r="J18" i="10"/>
  <c r="K16" i="10"/>
  <c r="J15" i="10"/>
  <c r="K11" i="10"/>
  <c r="J16" i="10"/>
  <c r="J12" i="10"/>
  <c r="K4" i="10"/>
  <c r="J29" i="11"/>
  <c r="K29" i="11"/>
  <c r="K12" i="11"/>
  <c r="J26" i="11"/>
  <c r="K16" i="11"/>
  <c r="K30" i="11"/>
  <c r="J7" i="11"/>
  <c r="J39" i="11"/>
  <c r="K15" i="11"/>
  <c r="K28" i="11"/>
  <c r="J21" i="9"/>
  <c r="J40" i="9"/>
  <c r="K29" i="9"/>
  <c r="K24" i="9"/>
  <c r="J34" i="9"/>
  <c r="J36" i="9"/>
  <c r="K26" i="9"/>
  <c r="J32" i="9"/>
  <c r="J27" i="9"/>
  <c r="J20" i="9"/>
  <c r="J21" i="8"/>
  <c r="J35" i="8"/>
  <c r="K29" i="8"/>
  <c r="J31" i="8"/>
  <c r="J26" i="8"/>
  <c r="K10" i="8"/>
  <c r="K28" i="8"/>
  <c r="K35" i="8"/>
  <c r="K24" i="8"/>
  <c r="J44" i="8"/>
  <c r="J13" i="7"/>
  <c r="K41" i="7"/>
  <c r="K9" i="7"/>
  <c r="J22" i="7"/>
  <c r="J14" i="7"/>
  <c r="K6" i="7"/>
  <c r="K38" i="7"/>
  <c r="J15" i="7"/>
  <c r="K39" i="7"/>
  <c r="K32" i="7"/>
  <c r="J5" i="6"/>
  <c r="J37" i="6"/>
  <c r="K5" i="6"/>
  <c r="K37" i="6"/>
  <c r="J10" i="6"/>
  <c r="K10" i="6"/>
  <c r="K30" i="6"/>
  <c r="J35" i="6"/>
  <c r="K27" i="6"/>
  <c r="K16" i="6"/>
  <c r="K4" i="6"/>
  <c r="K5" i="5"/>
  <c r="K37" i="5"/>
  <c r="J34" i="5"/>
  <c r="K18" i="5"/>
  <c r="K16" i="5"/>
  <c r="J27" i="5"/>
  <c r="J33" i="5"/>
  <c r="K35" i="5"/>
  <c r="J24" i="5"/>
  <c r="K4" i="5"/>
  <c r="K29" i="4"/>
  <c r="K22" i="4"/>
  <c r="K19" i="4"/>
  <c r="K16" i="4"/>
  <c r="K4" i="4"/>
  <c r="J33" i="3"/>
  <c r="K26" i="3"/>
  <c r="K17" i="3"/>
  <c r="J38" i="3"/>
  <c r="K6" i="3"/>
  <c r="J40" i="3"/>
  <c r="J20" i="3"/>
  <c r="K35" i="2"/>
  <c r="K10" i="2"/>
  <c r="K34" i="1"/>
  <c r="K20" i="3"/>
  <c r="K40" i="2"/>
  <c r="K17" i="1"/>
  <c r="K21" i="1"/>
  <c r="K39" i="11"/>
  <c r="K19" i="8"/>
  <c r="J12" i="7"/>
  <c r="J17" i="10"/>
  <c r="K29" i="10"/>
  <c r="K38" i="10"/>
  <c r="J22" i="10"/>
  <c r="J25" i="10"/>
  <c r="J19" i="10"/>
  <c r="K15" i="10"/>
  <c r="J28" i="10"/>
  <c r="J20" i="10"/>
  <c r="J4" i="10"/>
  <c r="J33" i="11"/>
  <c r="K33" i="11"/>
  <c r="K32" i="11"/>
  <c r="J30" i="11"/>
  <c r="K44" i="11"/>
  <c r="K34" i="11"/>
  <c r="J11" i="11"/>
  <c r="J43" i="11"/>
  <c r="K19" i="11"/>
  <c r="K36" i="11"/>
  <c r="J25" i="9"/>
  <c r="K20" i="9"/>
  <c r="K33" i="9"/>
  <c r="J6" i="9"/>
  <c r="J38" i="9"/>
  <c r="K12" i="9"/>
  <c r="K30" i="9"/>
  <c r="K16" i="9"/>
  <c r="J31" i="9"/>
  <c r="K28" i="9"/>
  <c r="J25" i="8"/>
  <c r="K40" i="8"/>
  <c r="K33" i="8"/>
  <c r="J43" i="8"/>
  <c r="J30" i="8"/>
  <c r="K14" i="8"/>
  <c r="K7" i="8"/>
  <c r="K39" i="8"/>
  <c r="K44" i="8"/>
  <c r="K12" i="8"/>
  <c r="J17" i="7"/>
  <c r="J30" i="7"/>
  <c r="K13" i="7"/>
  <c r="J38" i="7"/>
  <c r="J18" i="7"/>
  <c r="K10" i="7"/>
  <c r="K42" i="7"/>
  <c r="J19" i="7"/>
  <c r="J24" i="7"/>
  <c r="K36" i="7"/>
  <c r="J9" i="6"/>
  <c r="J41" i="6"/>
  <c r="K9" i="6"/>
  <c r="K41" i="6"/>
  <c r="J14" i="6"/>
  <c r="K26" i="6"/>
  <c r="J23" i="6"/>
  <c r="J8" i="6"/>
  <c r="K31" i="6"/>
  <c r="K20" i="6"/>
  <c r="J4" i="6"/>
  <c r="K9" i="5"/>
  <c r="J6" i="5"/>
  <c r="J38" i="5"/>
  <c r="K22" i="5"/>
  <c r="K36" i="5"/>
  <c r="J31" i="5"/>
  <c r="K7" i="5"/>
  <c r="K8" i="5"/>
  <c r="J28" i="5"/>
  <c r="J4" i="5"/>
  <c r="K33" i="4"/>
  <c r="K26" i="4"/>
  <c r="K23" i="4"/>
  <c r="K20" i="4"/>
  <c r="J5" i="3"/>
  <c r="J37" i="3"/>
  <c r="K38" i="3"/>
  <c r="K21" i="3"/>
  <c r="K22" i="3"/>
  <c r="J22" i="3"/>
  <c r="K10" i="3"/>
  <c r="J35" i="3"/>
  <c r="J4" i="3"/>
  <c r="K8" i="2"/>
  <c r="K7" i="1"/>
  <c r="J24" i="11"/>
  <c r="K13" i="8"/>
  <c r="K35" i="7"/>
  <c r="K16" i="7"/>
  <c r="J21" i="10"/>
  <c r="K33" i="10"/>
  <c r="J39" i="10"/>
  <c r="J26" i="10"/>
  <c r="K6" i="10"/>
  <c r="J23" i="10"/>
  <c r="K19" i="10"/>
  <c r="J36" i="10"/>
  <c r="J24" i="10"/>
  <c r="J5" i="11"/>
  <c r="K5" i="11"/>
  <c r="K37" i="11"/>
  <c r="J37" i="11"/>
  <c r="J34" i="11"/>
  <c r="K6" i="11"/>
  <c r="K38" i="11"/>
  <c r="J15" i="11"/>
  <c r="J16" i="11"/>
  <c r="K23" i="11"/>
  <c r="K4" i="11"/>
  <c r="J29" i="9"/>
  <c r="K5" i="9"/>
  <c r="K37" i="9"/>
  <c r="J10" i="9"/>
  <c r="J42" i="9"/>
  <c r="K36" i="9"/>
  <c r="K34" i="9"/>
  <c r="K40" i="9"/>
  <c r="J35" i="9"/>
  <c r="K4" i="9"/>
  <c r="J29" i="8"/>
  <c r="K5" i="8"/>
  <c r="K37" i="8"/>
  <c r="K36" i="8"/>
  <c r="J38" i="8"/>
  <c r="K18" i="8"/>
  <c r="K11" i="8"/>
  <c r="K43" i="8"/>
  <c r="J8" i="8"/>
  <c r="K20" i="8"/>
  <c r="J21" i="7"/>
  <c r="J42" i="7"/>
  <c r="K17" i="7"/>
  <c r="K7" i="7"/>
  <c r="J26" i="7"/>
  <c r="K14" i="7"/>
  <c r="K11" i="7"/>
  <c r="J23" i="7"/>
  <c r="K8" i="7"/>
  <c r="K40" i="7"/>
  <c r="J13" i="6"/>
  <c r="K14" i="6"/>
  <c r="K13" i="6"/>
  <c r="J42" i="6"/>
  <c r="J18" i="6"/>
  <c r="K42" i="6"/>
  <c r="J12" i="6"/>
  <c r="J36" i="6"/>
  <c r="K35" i="6"/>
  <c r="K24" i="6"/>
  <c r="J5" i="5"/>
  <c r="K13" i="5"/>
  <c r="J10" i="5"/>
  <c r="J42" i="5"/>
  <c r="K26" i="5"/>
  <c r="J37" i="5"/>
  <c r="J35" i="5"/>
  <c r="K11" i="5"/>
  <c r="K24" i="5"/>
  <c r="J32" i="5"/>
  <c r="K5" i="4"/>
  <c r="K37" i="4"/>
  <c r="K30" i="4"/>
  <c r="K27" i="4"/>
  <c r="K24" i="4"/>
  <c r="J9" i="3"/>
  <c r="J41" i="3"/>
  <c r="K27" i="3"/>
  <c r="K25" i="3"/>
  <c r="K30" i="3"/>
  <c r="J34" i="3"/>
  <c r="J7" i="3"/>
  <c r="J39" i="3"/>
  <c r="K15" i="3"/>
  <c r="K24" i="3"/>
  <c r="K4" i="3"/>
  <c r="K39" i="2"/>
  <c r="K28" i="2"/>
  <c r="K32" i="2"/>
  <c r="K25" i="2"/>
  <c r="K5" i="1"/>
  <c r="K39" i="1"/>
  <c r="K23" i="1"/>
  <c r="K25" i="1"/>
  <c r="K4" i="1"/>
  <c r="K27" i="10"/>
  <c r="K14" i="11"/>
  <c r="J5" i="9"/>
  <c r="K7" i="9"/>
  <c r="K39" i="9"/>
  <c r="J34" i="8"/>
  <c r="K26" i="8"/>
  <c r="J29" i="7"/>
  <c r="K22" i="7"/>
  <c r="J31" i="6"/>
  <c r="J7" i="6"/>
  <c r="K5" i="10"/>
  <c r="K37" i="10"/>
  <c r="K40" i="10"/>
  <c r="J30" i="10"/>
  <c r="K30" i="10"/>
  <c r="J27" i="10"/>
  <c r="K23" i="10"/>
  <c r="K8" i="10"/>
  <c r="J32" i="10"/>
  <c r="J9" i="11"/>
  <c r="K9" i="11"/>
  <c r="K41" i="11"/>
  <c r="J6" i="11"/>
  <c r="J38" i="11"/>
  <c r="K10" i="11"/>
  <c r="K35" i="11"/>
  <c r="J19" i="11"/>
  <c r="J40" i="11"/>
  <c r="K27" i="11"/>
  <c r="J4" i="11"/>
  <c r="J33" i="9"/>
  <c r="K9" i="9"/>
  <c r="K41" i="9"/>
  <c r="J14" i="9"/>
  <c r="K42" i="9"/>
  <c r="K6" i="9"/>
  <c r="K38" i="9"/>
  <c r="J7" i="9"/>
  <c r="K15" i="9"/>
  <c r="J4" i="9"/>
  <c r="J33" i="8"/>
  <c r="K9" i="8"/>
  <c r="K41" i="8"/>
  <c r="J6" i="8"/>
  <c r="J42" i="8"/>
  <c r="K22" i="8"/>
  <c r="K15" i="8"/>
  <c r="J20" i="8"/>
  <c r="J12" i="8"/>
  <c r="K32" i="8"/>
  <c r="J25" i="7"/>
  <c r="K15" i="7"/>
  <c r="K21" i="7"/>
  <c r="K27" i="7"/>
  <c r="J34" i="7"/>
  <c r="K18" i="7"/>
  <c r="K31" i="7"/>
  <c r="J27" i="7"/>
  <c r="K12" i="7"/>
  <c r="K44" i="7"/>
  <c r="J17" i="6"/>
  <c r="K34" i="6"/>
  <c r="K17" i="6"/>
  <c r="K22" i="6"/>
  <c r="J22" i="6"/>
  <c r="J27" i="6"/>
  <c r="J32" i="6"/>
  <c r="K7" i="6"/>
  <c r="K39" i="6"/>
  <c r="K28" i="6"/>
  <c r="J9" i="5"/>
  <c r="K17" i="5"/>
  <c r="J14" i="5"/>
  <c r="K28" i="5"/>
  <c r="K30" i="5"/>
  <c r="J7" i="5"/>
  <c r="J39" i="5"/>
  <c r="K15" i="5"/>
  <c r="J29" i="5"/>
  <c r="J36" i="5"/>
  <c r="K9" i="4"/>
  <c r="K41" i="4"/>
  <c r="K34" i="4"/>
  <c r="K31" i="4"/>
  <c r="K28" i="4"/>
  <c r="J13" i="3"/>
  <c r="K41" i="3"/>
  <c r="J12" i="3"/>
  <c r="K29" i="3"/>
  <c r="K42" i="3"/>
  <c r="K14" i="3"/>
  <c r="J11" i="3"/>
  <c r="J43" i="3"/>
  <c r="K23" i="3"/>
  <c r="K28" i="3"/>
  <c r="K5" i="2"/>
  <c r="K24" i="2"/>
  <c r="K6" i="2"/>
  <c r="K17" i="2"/>
  <c r="K26" i="2"/>
  <c r="K6" i="1"/>
  <c r="K16" i="1"/>
  <c r="K8" i="1"/>
  <c r="K27" i="1"/>
  <c r="K35" i="1"/>
  <c r="J4" i="2"/>
  <c r="K9" i="10"/>
  <c r="K41" i="10"/>
  <c r="J38" i="10"/>
  <c r="K24" i="10"/>
  <c r="J31" i="10"/>
  <c r="K20" i="10"/>
  <c r="J13" i="11"/>
  <c r="J42" i="11"/>
  <c r="K42" i="11"/>
  <c r="K24" i="11"/>
  <c r="J37" i="9"/>
  <c r="K10" i="9"/>
  <c r="J11" i="9"/>
  <c r="J37" i="8"/>
  <c r="J7" i="8"/>
  <c r="J32" i="8"/>
  <c r="K25" i="7"/>
  <c r="J31" i="7"/>
  <c r="K38" i="6"/>
  <c r="J5" i="10"/>
  <c r="K17" i="10"/>
  <c r="K10" i="10"/>
  <c r="J10" i="10"/>
  <c r="K22" i="10"/>
  <c r="J7" i="10"/>
  <c r="K28" i="10"/>
  <c r="K35" i="10"/>
  <c r="J37" i="10"/>
  <c r="K36" i="10"/>
  <c r="J21" i="11"/>
  <c r="K21" i="11"/>
  <c r="J8" i="11"/>
  <c r="J18" i="11"/>
  <c r="J20" i="11"/>
  <c r="K22" i="11"/>
  <c r="K20" i="11"/>
  <c r="J31" i="11"/>
  <c r="K7" i="11"/>
  <c r="J32" i="11"/>
  <c r="J13" i="9"/>
  <c r="K35" i="9"/>
  <c r="K21" i="9"/>
  <c r="K43" i="9"/>
  <c r="J26" i="9"/>
  <c r="K31" i="9"/>
  <c r="K18" i="9"/>
  <c r="K27" i="9"/>
  <c r="J19" i="9"/>
  <c r="K8" i="9"/>
  <c r="J13" i="8"/>
  <c r="K38" i="8"/>
  <c r="K21" i="8"/>
  <c r="J11" i="8"/>
  <c r="J18" i="8"/>
  <c r="J39" i="8"/>
  <c r="K42" i="8"/>
  <c r="K27" i="8"/>
  <c r="K8" i="8"/>
  <c r="J28" i="8"/>
  <c r="J5" i="7"/>
  <c r="J37" i="7"/>
  <c r="J44" i="7"/>
  <c r="K33" i="7"/>
  <c r="J6" i="7"/>
  <c r="K43" i="7"/>
  <c r="K30" i="7"/>
  <c r="J7" i="7"/>
  <c r="J39" i="7"/>
  <c r="K24" i="7"/>
  <c r="K4" i="7"/>
  <c r="J29" i="6"/>
  <c r="J28" i="6"/>
  <c r="K29" i="6"/>
  <c r="J24" i="6"/>
  <c r="J34" i="6"/>
  <c r="K6" i="6"/>
  <c r="J15" i="6"/>
  <c r="K19" i="6"/>
  <c r="K8" i="6"/>
  <c r="K40" i="6"/>
  <c r="J21" i="5"/>
  <c r="K29" i="5"/>
  <c r="J26" i="5"/>
  <c r="K10" i="5"/>
  <c r="K42" i="5"/>
  <c r="J19" i="5"/>
  <c r="K12" i="5"/>
  <c r="K27" i="5"/>
  <c r="J16" i="5"/>
  <c r="K40" i="5"/>
  <c r="K21" i="4"/>
  <c r="K14" i="4"/>
  <c r="K11" i="4"/>
  <c r="K8" i="4"/>
  <c r="K40" i="4"/>
  <c r="J25" i="3"/>
  <c r="J42" i="3"/>
  <c r="K9" i="3"/>
  <c r="J14" i="3"/>
  <c r="J44" i="3"/>
  <c r="J8" i="3"/>
  <c r="J23" i="3"/>
  <c r="K35" i="3"/>
  <c r="K8" i="3"/>
  <c r="K40" i="3"/>
  <c r="K29" i="2"/>
  <c r="K34" i="2"/>
  <c r="K30" i="2"/>
  <c r="K42" i="2"/>
  <c r="K27" i="2"/>
  <c r="K30" i="1"/>
  <c r="K33" i="1"/>
  <c r="K44" i="1"/>
  <c r="K18" i="1"/>
  <c r="K20" i="1"/>
  <c r="J43" i="9"/>
  <c r="J4" i="8"/>
  <c r="J43" i="7"/>
  <c r="J21" i="6"/>
  <c r="J26" i="6"/>
  <c r="K13" i="10"/>
  <c r="K12" i="10"/>
  <c r="J27" i="11"/>
  <c r="K11" i="9"/>
  <c r="K34" i="8"/>
  <c r="J33" i="7"/>
  <c r="K20" i="7"/>
  <c r="J40" i="6"/>
  <c r="J13" i="5"/>
  <c r="K34" i="5"/>
  <c r="J8" i="5"/>
  <c r="K38" i="4"/>
  <c r="J18" i="3"/>
  <c r="K34" i="3"/>
  <c r="K32" i="3"/>
  <c r="K33" i="2"/>
  <c r="K32" i="1"/>
  <c r="K13" i="2"/>
  <c r="J20" i="6"/>
  <c r="K36" i="4"/>
  <c r="K22" i="1"/>
  <c r="J34" i="10"/>
  <c r="J17" i="11"/>
  <c r="K40" i="11"/>
  <c r="K14" i="9"/>
  <c r="J14" i="8"/>
  <c r="J20" i="7"/>
  <c r="J32" i="7"/>
  <c r="J11" i="6"/>
  <c r="J17" i="5"/>
  <c r="K38" i="5"/>
  <c r="J12" i="5"/>
  <c r="K7" i="4"/>
  <c r="J30" i="3"/>
  <c r="K31" i="3"/>
  <c r="K36" i="3"/>
  <c r="K18" i="2"/>
  <c r="K41" i="1"/>
  <c r="K17" i="11"/>
  <c r="J12" i="11"/>
  <c r="K19" i="9"/>
  <c r="K29" i="7"/>
  <c r="J25" i="6"/>
  <c r="K21" i="5"/>
  <c r="J40" i="5"/>
  <c r="J36" i="3"/>
  <c r="J39" i="6"/>
  <c r="K12" i="1"/>
  <c r="J6" i="10"/>
  <c r="J27" i="8"/>
  <c r="K11" i="6"/>
  <c r="J11" i="5"/>
  <c r="K35" i="4"/>
  <c r="K11" i="2"/>
  <c r="K17" i="9"/>
  <c r="K41" i="2"/>
  <c r="K14" i="10"/>
  <c r="K31" i="11"/>
  <c r="J9" i="9"/>
  <c r="J15" i="9"/>
  <c r="K30" i="8"/>
  <c r="J40" i="7"/>
  <c r="J43" i="6"/>
  <c r="K15" i="6"/>
  <c r="K25" i="5"/>
  <c r="J15" i="5"/>
  <c r="K20" i="5"/>
  <c r="K39" i="4"/>
  <c r="K5" i="3"/>
  <c r="J19" i="3"/>
  <c r="K21" i="2"/>
  <c r="K12" i="2"/>
  <c r="K10" i="1"/>
  <c r="J29" i="10"/>
  <c r="J14" i="11"/>
  <c r="J41" i="9"/>
  <c r="J24" i="9"/>
  <c r="K23" i="8"/>
  <c r="K23" i="7"/>
  <c r="K25" i="6"/>
  <c r="K43" i="6"/>
  <c r="J18" i="5"/>
  <c r="J43" i="5"/>
  <c r="K13" i="4"/>
  <c r="K32" i="4"/>
  <c r="K33" i="3"/>
  <c r="K11" i="3"/>
  <c r="K9" i="2"/>
  <c r="K14" i="1"/>
  <c r="K29" i="1"/>
  <c r="J35" i="10"/>
  <c r="J40" i="8"/>
  <c r="J22" i="5"/>
  <c r="K17" i="4"/>
  <c r="K19" i="3"/>
  <c r="K31" i="10"/>
  <c r="K18" i="11"/>
  <c r="K23" i="9"/>
  <c r="J41" i="8"/>
  <c r="J24" i="8"/>
  <c r="J36" i="7"/>
  <c r="J30" i="6"/>
  <c r="K32" i="6"/>
  <c r="K41" i="5"/>
  <c r="K19" i="5"/>
  <c r="K6" i="4"/>
  <c r="J17" i="3"/>
  <c r="K39" i="3"/>
  <c r="K43" i="3"/>
  <c r="K14" i="2"/>
  <c r="K24" i="1"/>
  <c r="J4" i="1"/>
  <c r="K32" i="10"/>
  <c r="J44" i="11"/>
  <c r="J22" i="9"/>
  <c r="K17" i="8"/>
  <c r="K4" i="8"/>
  <c r="J35" i="7"/>
  <c r="J16" i="6"/>
  <c r="K36" i="6"/>
  <c r="K6" i="5"/>
  <c r="K23" i="5"/>
  <c r="K10" i="4"/>
  <c r="J21" i="3"/>
  <c r="J16" i="3"/>
  <c r="J28" i="3"/>
  <c r="K22" i="2"/>
  <c r="K40" i="1"/>
  <c r="J15" i="3"/>
  <c r="K37" i="1"/>
  <c r="K43" i="11"/>
  <c r="J9" i="8"/>
  <c r="K26" i="7"/>
  <c r="K39" i="5"/>
  <c r="K37" i="3"/>
  <c r="F5" i="2" l="1"/>
  <c r="G5" i="2" s="1"/>
  <c r="H5" i="2" s="1"/>
  <c r="F6" i="2"/>
  <c r="G6" i="2" s="1"/>
  <c r="H6" i="2" s="1"/>
  <c r="F7" i="2"/>
  <c r="G7" i="2" s="1"/>
  <c r="H7" i="2" s="1"/>
  <c r="F8" i="2"/>
  <c r="G8" i="2" s="1"/>
  <c r="H8" i="2" s="1"/>
  <c r="F9" i="2"/>
  <c r="G9" i="2" s="1"/>
  <c r="H9" i="2" s="1"/>
  <c r="F10" i="2"/>
  <c r="G10" i="2" s="1"/>
  <c r="H10" i="2" s="1"/>
  <c r="F11" i="2"/>
  <c r="G11" i="2" s="1"/>
  <c r="H11" i="2" s="1"/>
  <c r="F12" i="2"/>
  <c r="G12" i="2" s="1"/>
  <c r="H12" i="2" s="1"/>
  <c r="F13" i="2"/>
  <c r="G13" i="2" s="1"/>
  <c r="H13" i="2" s="1"/>
  <c r="F14" i="2"/>
  <c r="G14" i="2" s="1"/>
  <c r="H14" i="2" s="1"/>
  <c r="F15" i="2"/>
  <c r="G15" i="2" s="1"/>
  <c r="H15" i="2" s="1"/>
  <c r="F16" i="2"/>
  <c r="G16" i="2" s="1"/>
  <c r="H16" i="2" s="1"/>
  <c r="F17" i="2"/>
  <c r="G17" i="2" s="1"/>
  <c r="H17" i="2" s="1"/>
  <c r="F18" i="2"/>
  <c r="G18" i="2" s="1"/>
  <c r="H18" i="2" s="1"/>
  <c r="F19" i="2"/>
  <c r="G19" i="2" s="1"/>
  <c r="H19" i="2" s="1"/>
  <c r="F20" i="2"/>
  <c r="G20" i="2" s="1"/>
  <c r="H20" i="2" s="1"/>
  <c r="F21" i="2"/>
  <c r="G21" i="2" s="1"/>
  <c r="H21" i="2" s="1"/>
  <c r="F22" i="2"/>
  <c r="G22" i="2" s="1"/>
  <c r="H22" i="2" s="1"/>
  <c r="F23" i="2"/>
  <c r="G23" i="2" s="1"/>
  <c r="H23" i="2" s="1"/>
  <c r="F24" i="2"/>
  <c r="G24" i="2" s="1"/>
  <c r="H24" i="2" s="1"/>
  <c r="F25" i="2"/>
  <c r="G25" i="2" s="1"/>
  <c r="H25" i="2" s="1"/>
  <c r="F26" i="2"/>
  <c r="G26" i="2" s="1"/>
  <c r="H26" i="2" s="1"/>
  <c r="F27" i="2"/>
  <c r="G27" i="2" s="1"/>
  <c r="H27" i="2" s="1"/>
  <c r="F28" i="2"/>
  <c r="G28" i="2" s="1"/>
  <c r="H28" i="2" s="1"/>
  <c r="F29" i="2"/>
  <c r="G29" i="2" s="1"/>
  <c r="H29" i="2" s="1"/>
  <c r="F30" i="2"/>
  <c r="G30" i="2" s="1"/>
  <c r="H30" i="2" s="1"/>
  <c r="F31" i="2"/>
  <c r="G31" i="2" s="1"/>
  <c r="H31" i="2" s="1"/>
  <c r="F32" i="2"/>
  <c r="G32" i="2" s="1"/>
  <c r="H32" i="2" s="1"/>
  <c r="F33" i="2"/>
  <c r="G33" i="2" s="1"/>
  <c r="H33" i="2" s="1"/>
  <c r="F34" i="2"/>
  <c r="G34" i="2" s="1"/>
  <c r="H34" i="2" s="1"/>
  <c r="F35" i="2"/>
  <c r="G35" i="2" s="1"/>
  <c r="H35" i="2" s="1"/>
  <c r="F36" i="2"/>
  <c r="G36" i="2" s="1"/>
  <c r="H36" i="2" s="1"/>
  <c r="F37" i="2"/>
  <c r="G37" i="2" s="1"/>
  <c r="H37" i="2" s="1"/>
  <c r="F38" i="2"/>
  <c r="G38" i="2" s="1"/>
  <c r="H38" i="2" s="1"/>
  <c r="F39" i="2"/>
  <c r="G39" i="2" s="1"/>
  <c r="H39" i="2" s="1"/>
  <c r="F40" i="2"/>
  <c r="G40" i="2" s="1"/>
  <c r="H40" i="2" s="1"/>
  <c r="F41" i="2"/>
  <c r="G41" i="2" s="1"/>
  <c r="H41" i="2" s="1"/>
  <c r="F42" i="2"/>
  <c r="G42" i="2" s="1"/>
  <c r="H42" i="2" s="1"/>
  <c r="F4" i="2"/>
  <c r="G4" i="2" s="1"/>
  <c r="H4" i="2" s="1"/>
  <c r="G5" i="1"/>
  <c r="H5" i="1" s="1"/>
  <c r="F6" i="1"/>
  <c r="G6" i="1" s="1"/>
  <c r="H6" i="1" s="1"/>
  <c r="F7" i="1"/>
  <c r="G7" i="1" s="1"/>
  <c r="H7" i="1" s="1"/>
  <c r="F8" i="1"/>
  <c r="G8" i="1" s="1"/>
  <c r="H8" i="1" s="1"/>
  <c r="F9" i="1"/>
  <c r="G9" i="1" s="1"/>
  <c r="H9" i="1" s="1"/>
  <c r="F10" i="1"/>
  <c r="G10" i="1" s="1"/>
  <c r="H10" i="1" s="1"/>
  <c r="F11" i="1"/>
  <c r="G11" i="1" s="1"/>
  <c r="H11" i="1" s="1"/>
  <c r="F12" i="1"/>
  <c r="G12" i="1" s="1"/>
  <c r="H12" i="1" s="1"/>
  <c r="F13" i="1"/>
  <c r="G13" i="1" s="1"/>
  <c r="H13" i="1" s="1"/>
  <c r="F14" i="1"/>
  <c r="G14" i="1" s="1"/>
  <c r="H14" i="1" s="1"/>
  <c r="F15" i="1"/>
  <c r="G15" i="1" s="1"/>
  <c r="H15" i="1" s="1"/>
  <c r="F16" i="1"/>
  <c r="G16" i="1" s="1"/>
  <c r="H16" i="1" s="1"/>
  <c r="F17" i="1"/>
  <c r="G17" i="1" s="1"/>
  <c r="H17" i="1" s="1"/>
  <c r="F18" i="1"/>
  <c r="G18" i="1" s="1"/>
  <c r="H18" i="1" s="1"/>
  <c r="F19" i="1"/>
  <c r="G19" i="1" s="1"/>
  <c r="H19" i="1" s="1"/>
  <c r="F20" i="1"/>
  <c r="G20" i="1" s="1"/>
  <c r="H20" i="1" s="1"/>
  <c r="F21" i="1"/>
  <c r="G21" i="1" s="1"/>
  <c r="H21" i="1" s="1"/>
  <c r="F22" i="1"/>
  <c r="G22" i="1" s="1"/>
  <c r="H22" i="1" s="1"/>
  <c r="F23" i="1"/>
  <c r="G23" i="1" s="1"/>
  <c r="H23" i="1" s="1"/>
  <c r="F24" i="1"/>
  <c r="G24" i="1" s="1"/>
  <c r="H24" i="1" s="1"/>
  <c r="F25" i="1"/>
  <c r="G25" i="1" s="1"/>
  <c r="H25" i="1" s="1"/>
  <c r="F26" i="1"/>
  <c r="G26" i="1" s="1"/>
  <c r="H26" i="1" s="1"/>
  <c r="F27" i="1"/>
  <c r="G27" i="1" s="1"/>
  <c r="H27" i="1" s="1"/>
  <c r="F28" i="1"/>
  <c r="G28" i="1" s="1"/>
  <c r="H28" i="1" s="1"/>
  <c r="F29" i="1"/>
  <c r="G29" i="1" s="1"/>
  <c r="H29" i="1" s="1"/>
  <c r="F30" i="1"/>
  <c r="G30" i="1" s="1"/>
  <c r="H30" i="1" s="1"/>
  <c r="F31" i="1"/>
  <c r="G31" i="1" s="1"/>
  <c r="H31" i="1" s="1"/>
  <c r="F32" i="1"/>
  <c r="G32" i="1" s="1"/>
  <c r="H32" i="1" s="1"/>
  <c r="F33" i="1"/>
  <c r="G33" i="1" s="1"/>
  <c r="H33" i="1" s="1"/>
  <c r="F34" i="1"/>
  <c r="G34" i="1" s="1"/>
  <c r="H34" i="1" s="1"/>
  <c r="F35" i="1"/>
  <c r="G35" i="1" s="1"/>
  <c r="H35" i="1" s="1"/>
  <c r="F36" i="1"/>
  <c r="G36" i="1" s="1"/>
  <c r="H36" i="1" s="1"/>
  <c r="F37" i="1"/>
  <c r="G37" i="1" s="1"/>
  <c r="H37" i="1" s="1"/>
  <c r="F38" i="1"/>
  <c r="G38" i="1" s="1"/>
  <c r="H38" i="1" s="1"/>
  <c r="F39" i="1"/>
  <c r="G39" i="1" s="1"/>
  <c r="H39" i="1" s="1"/>
  <c r="F40" i="1"/>
  <c r="G40" i="1" s="1"/>
  <c r="H40" i="1" s="1"/>
  <c r="F41" i="1"/>
  <c r="G41" i="1" s="1"/>
  <c r="H41" i="1" s="1"/>
  <c r="F42" i="1"/>
  <c r="G42" i="1" s="1"/>
  <c r="H42" i="1" s="1"/>
  <c r="F43" i="1"/>
  <c r="G43" i="1" s="1"/>
  <c r="H43" i="1" s="1"/>
  <c r="F44" i="1"/>
  <c r="G44" i="1" s="1"/>
  <c r="H44" i="1" s="1"/>
  <c r="F4" i="1"/>
  <c r="G4" i="1" s="1"/>
  <c r="H4" i="1" s="1"/>
  <c r="B6" i="12"/>
  <c r="B4" i="12"/>
  <c r="B5" i="10"/>
  <c r="I5" i="10" s="1"/>
  <c r="B6" i="10"/>
  <c r="I6" i="10" s="1"/>
  <c r="B7" i="10"/>
  <c r="I7" i="10" s="1"/>
  <c r="B8" i="10"/>
  <c r="I8" i="10" s="1"/>
  <c r="B9" i="10"/>
  <c r="I9" i="10" s="1"/>
  <c r="B10" i="10"/>
  <c r="I10" i="10" s="1"/>
  <c r="B11" i="10"/>
  <c r="I11" i="10" s="1"/>
  <c r="B12" i="10"/>
  <c r="I12" i="10" s="1"/>
  <c r="B13" i="10"/>
  <c r="I13" i="10" s="1"/>
  <c r="B14" i="10"/>
  <c r="I14" i="10" s="1"/>
  <c r="B15" i="10"/>
  <c r="I15" i="10" s="1"/>
  <c r="B16" i="10"/>
  <c r="I16" i="10" s="1"/>
  <c r="B17" i="10"/>
  <c r="I17" i="10" s="1"/>
  <c r="B18" i="10"/>
  <c r="I18" i="10" s="1"/>
  <c r="B19" i="10"/>
  <c r="I19" i="10" s="1"/>
  <c r="B20" i="10"/>
  <c r="I20" i="10" s="1"/>
  <c r="B21" i="10"/>
  <c r="I21" i="10" s="1"/>
  <c r="B22" i="10"/>
  <c r="I22" i="10" s="1"/>
  <c r="B23" i="10"/>
  <c r="I23" i="10" s="1"/>
  <c r="B24" i="10"/>
  <c r="I24" i="10" s="1"/>
  <c r="B25" i="10"/>
  <c r="I25" i="10" s="1"/>
  <c r="B26" i="10"/>
  <c r="I26" i="10" s="1"/>
  <c r="B27" i="10"/>
  <c r="I27" i="10" s="1"/>
  <c r="B28" i="10"/>
  <c r="I28" i="10" s="1"/>
  <c r="B29" i="10"/>
  <c r="I29" i="10" s="1"/>
  <c r="B30" i="10"/>
  <c r="I30" i="10" s="1"/>
  <c r="B31" i="10"/>
  <c r="I31" i="10" s="1"/>
  <c r="B32" i="10"/>
  <c r="I32" i="10" s="1"/>
  <c r="B33" i="10"/>
  <c r="I33" i="10" s="1"/>
  <c r="B34" i="10"/>
  <c r="I34" i="10" s="1"/>
  <c r="B35" i="10"/>
  <c r="I35" i="10" s="1"/>
  <c r="B36" i="10"/>
  <c r="I36" i="10" s="1"/>
  <c r="B37" i="10"/>
  <c r="I37" i="10" s="1"/>
  <c r="B38" i="10"/>
  <c r="I38" i="10" s="1"/>
  <c r="B39" i="10"/>
  <c r="I39" i="10" s="1"/>
  <c r="B40" i="10"/>
  <c r="I40" i="10" s="1"/>
  <c r="B41" i="10"/>
  <c r="I41" i="10" s="1"/>
  <c r="B4" i="10"/>
  <c r="B5" i="11"/>
  <c r="I5" i="11" s="1"/>
  <c r="B6" i="11"/>
  <c r="I6" i="11" s="1"/>
  <c r="B7" i="11"/>
  <c r="I7" i="11" s="1"/>
  <c r="B8" i="11"/>
  <c r="I8" i="11" s="1"/>
  <c r="B9" i="11"/>
  <c r="I9" i="11" s="1"/>
  <c r="B10" i="11"/>
  <c r="I10" i="11" s="1"/>
  <c r="B11" i="11"/>
  <c r="I11" i="11" s="1"/>
  <c r="B12" i="11"/>
  <c r="I12" i="11" s="1"/>
  <c r="B13" i="11"/>
  <c r="I13" i="11" s="1"/>
  <c r="B14" i="11"/>
  <c r="I14" i="11" s="1"/>
  <c r="B15" i="11"/>
  <c r="I15" i="11" s="1"/>
  <c r="B16" i="11"/>
  <c r="I16" i="11" s="1"/>
  <c r="B17" i="11"/>
  <c r="I17" i="11" s="1"/>
  <c r="B18" i="11"/>
  <c r="I18" i="11" s="1"/>
  <c r="B19" i="11"/>
  <c r="I19" i="11" s="1"/>
  <c r="B20" i="11"/>
  <c r="I20" i="11" s="1"/>
  <c r="B21" i="11"/>
  <c r="I21" i="11" s="1"/>
  <c r="B22" i="11"/>
  <c r="I22" i="11" s="1"/>
  <c r="B23" i="11"/>
  <c r="I23" i="11" s="1"/>
  <c r="B24" i="11"/>
  <c r="I24" i="11" s="1"/>
  <c r="B25" i="11"/>
  <c r="I25" i="11" s="1"/>
  <c r="B26" i="11"/>
  <c r="I26" i="11" s="1"/>
  <c r="B27" i="11"/>
  <c r="I27" i="11" s="1"/>
  <c r="B28" i="11"/>
  <c r="I28" i="11" s="1"/>
  <c r="B29" i="11"/>
  <c r="I29" i="11" s="1"/>
  <c r="B30" i="11"/>
  <c r="I30" i="11" s="1"/>
  <c r="B31" i="11"/>
  <c r="I31" i="11" s="1"/>
  <c r="B32" i="11"/>
  <c r="I32" i="11" s="1"/>
  <c r="B33" i="11"/>
  <c r="I33" i="11" s="1"/>
  <c r="B34" i="11"/>
  <c r="I34" i="11" s="1"/>
  <c r="B35" i="11"/>
  <c r="I35" i="11" s="1"/>
  <c r="B36" i="11"/>
  <c r="I36" i="11" s="1"/>
  <c r="B37" i="11"/>
  <c r="I37" i="11" s="1"/>
  <c r="B38" i="11"/>
  <c r="I38" i="11" s="1"/>
  <c r="B39" i="11"/>
  <c r="I39" i="11" s="1"/>
  <c r="B40" i="11"/>
  <c r="I40" i="11" s="1"/>
  <c r="B41" i="11"/>
  <c r="I41" i="11" s="1"/>
  <c r="B42" i="11"/>
  <c r="I42" i="11" s="1"/>
  <c r="B43" i="11"/>
  <c r="I43" i="11" s="1"/>
  <c r="B44" i="11"/>
  <c r="I44" i="11" s="1"/>
  <c r="B4" i="11"/>
  <c r="B5" i="9"/>
  <c r="I5" i="9" s="1"/>
  <c r="B6" i="9"/>
  <c r="I6" i="9" s="1"/>
  <c r="B7" i="9"/>
  <c r="I7" i="9" s="1"/>
  <c r="B8" i="9"/>
  <c r="I8" i="9" s="1"/>
  <c r="B9" i="9"/>
  <c r="I9" i="9" s="1"/>
  <c r="B10" i="9"/>
  <c r="I10" i="9" s="1"/>
  <c r="B11" i="9"/>
  <c r="I11" i="9" s="1"/>
  <c r="B12" i="9"/>
  <c r="I12" i="9" s="1"/>
  <c r="B13" i="9"/>
  <c r="I13" i="9" s="1"/>
  <c r="B14" i="9"/>
  <c r="I14" i="9" s="1"/>
  <c r="B15" i="9"/>
  <c r="I15" i="9" s="1"/>
  <c r="B16" i="9"/>
  <c r="I16" i="9" s="1"/>
  <c r="B17" i="9"/>
  <c r="I17" i="9" s="1"/>
  <c r="B18" i="9"/>
  <c r="I18" i="9" s="1"/>
  <c r="B19" i="9"/>
  <c r="I19" i="9" s="1"/>
  <c r="B20" i="9"/>
  <c r="I20" i="9" s="1"/>
  <c r="B21" i="9"/>
  <c r="I21" i="9" s="1"/>
  <c r="B22" i="9"/>
  <c r="I22" i="9" s="1"/>
  <c r="B23" i="9"/>
  <c r="I23" i="9" s="1"/>
  <c r="B24" i="9"/>
  <c r="I24" i="9" s="1"/>
  <c r="B25" i="9"/>
  <c r="I25" i="9" s="1"/>
  <c r="B26" i="9"/>
  <c r="I26" i="9" s="1"/>
  <c r="B27" i="9"/>
  <c r="I27" i="9" s="1"/>
  <c r="B28" i="9"/>
  <c r="I28" i="9" s="1"/>
  <c r="B29" i="9"/>
  <c r="I29" i="9" s="1"/>
  <c r="B30" i="9"/>
  <c r="I30" i="9" s="1"/>
  <c r="B31" i="9"/>
  <c r="I31" i="9" s="1"/>
  <c r="B32" i="9"/>
  <c r="I32" i="9" s="1"/>
  <c r="B33" i="9"/>
  <c r="I33" i="9" s="1"/>
  <c r="B34" i="9"/>
  <c r="I34" i="9" s="1"/>
  <c r="B35" i="9"/>
  <c r="I35" i="9" s="1"/>
  <c r="B36" i="9"/>
  <c r="I36" i="9" s="1"/>
  <c r="B37" i="9"/>
  <c r="I37" i="9" s="1"/>
  <c r="B38" i="9"/>
  <c r="I38" i="9" s="1"/>
  <c r="B39" i="9"/>
  <c r="I39" i="9" s="1"/>
  <c r="B40" i="9"/>
  <c r="I40" i="9" s="1"/>
  <c r="B41" i="9"/>
  <c r="I41" i="9" s="1"/>
  <c r="B42" i="9"/>
  <c r="I42" i="9" s="1"/>
  <c r="B43" i="9"/>
  <c r="I43" i="9" s="1"/>
  <c r="B4" i="9"/>
  <c r="B5" i="8"/>
  <c r="I5" i="8" s="1"/>
  <c r="B6" i="8"/>
  <c r="I6" i="8" s="1"/>
  <c r="B7" i="8"/>
  <c r="I7" i="8" s="1"/>
  <c r="B8" i="8"/>
  <c r="I8" i="8" s="1"/>
  <c r="B9" i="8"/>
  <c r="I9" i="8" s="1"/>
  <c r="B10" i="8"/>
  <c r="I10" i="8" s="1"/>
  <c r="B11" i="8"/>
  <c r="I11" i="8" s="1"/>
  <c r="B12" i="8"/>
  <c r="I12" i="8" s="1"/>
  <c r="B13" i="8"/>
  <c r="I13" i="8" s="1"/>
  <c r="B14" i="8"/>
  <c r="I14" i="8" s="1"/>
  <c r="B15" i="8"/>
  <c r="I15" i="8" s="1"/>
  <c r="B16" i="8"/>
  <c r="I16" i="8" s="1"/>
  <c r="B17" i="8"/>
  <c r="I17" i="8" s="1"/>
  <c r="B18" i="8"/>
  <c r="I18" i="8" s="1"/>
  <c r="B19" i="8"/>
  <c r="I19" i="8" s="1"/>
  <c r="B20" i="8"/>
  <c r="I20" i="8" s="1"/>
  <c r="B21" i="8"/>
  <c r="I21" i="8" s="1"/>
  <c r="B22" i="8"/>
  <c r="I22" i="8" s="1"/>
  <c r="B23" i="8"/>
  <c r="I23" i="8" s="1"/>
  <c r="B24" i="8"/>
  <c r="I24" i="8" s="1"/>
  <c r="B25" i="8"/>
  <c r="I25" i="8" s="1"/>
  <c r="B26" i="8"/>
  <c r="I26" i="8" s="1"/>
  <c r="B27" i="8"/>
  <c r="I27" i="8" s="1"/>
  <c r="B28" i="8"/>
  <c r="I28" i="8" s="1"/>
  <c r="B29" i="8"/>
  <c r="I29" i="8" s="1"/>
  <c r="B30" i="8"/>
  <c r="I30" i="8" s="1"/>
  <c r="B31" i="8"/>
  <c r="I31" i="8" s="1"/>
  <c r="B32" i="8"/>
  <c r="I32" i="8" s="1"/>
  <c r="B33" i="8"/>
  <c r="I33" i="8" s="1"/>
  <c r="B34" i="8"/>
  <c r="I34" i="8" s="1"/>
  <c r="B35" i="8"/>
  <c r="I35" i="8" s="1"/>
  <c r="B36" i="8"/>
  <c r="I36" i="8" s="1"/>
  <c r="B37" i="8"/>
  <c r="I37" i="8" s="1"/>
  <c r="B38" i="8"/>
  <c r="I38" i="8" s="1"/>
  <c r="B39" i="8"/>
  <c r="I39" i="8" s="1"/>
  <c r="B40" i="8"/>
  <c r="I40" i="8" s="1"/>
  <c r="B41" i="8"/>
  <c r="I41" i="8" s="1"/>
  <c r="B42" i="8"/>
  <c r="I42" i="8" s="1"/>
  <c r="B43" i="8"/>
  <c r="I43" i="8" s="1"/>
  <c r="B44" i="8"/>
  <c r="I44" i="8" s="1"/>
  <c r="B4" i="8"/>
  <c r="B5" i="7"/>
  <c r="I5" i="7" s="1"/>
  <c r="B6" i="7"/>
  <c r="I6" i="7" s="1"/>
  <c r="B7" i="7"/>
  <c r="I7" i="7" s="1"/>
  <c r="B8" i="7"/>
  <c r="I8" i="7" s="1"/>
  <c r="B9" i="7"/>
  <c r="I9" i="7" s="1"/>
  <c r="B10" i="7"/>
  <c r="I10" i="7" s="1"/>
  <c r="B11" i="7"/>
  <c r="I11" i="7" s="1"/>
  <c r="B12" i="7"/>
  <c r="I12" i="7" s="1"/>
  <c r="B13" i="7"/>
  <c r="I13" i="7" s="1"/>
  <c r="B14" i="7"/>
  <c r="I14" i="7" s="1"/>
  <c r="B15" i="7"/>
  <c r="I15" i="7" s="1"/>
  <c r="B16" i="7"/>
  <c r="I16" i="7" s="1"/>
  <c r="B17" i="7"/>
  <c r="I17" i="7" s="1"/>
  <c r="B18" i="7"/>
  <c r="I18" i="7" s="1"/>
  <c r="B19" i="7"/>
  <c r="I19" i="7" s="1"/>
  <c r="B20" i="7"/>
  <c r="I20" i="7" s="1"/>
  <c r="B21" i="7"/>
  <c r="I21" i="7" s="1"/>
  <c r="B22" i="7"/>
  <c r="I22" i="7" s="1"/>
  <c r="B23" i="7"/>
  <c r="I23" i="7" s="1"/>
  <c r="B24" i="7"/>
  <c r="I24" i="7" s="1"/>
  <c r="B25" i="7"/>
  <c r="I25" i="7" s="1"/>
  <c r="B26" i="7"/>
  <c r="I26" i="7" s="1"/>
  <c r="B27" i="7"/>
  <c r="I27" i="7" s="1"/>
  <c r="B28" i="7"/>
  <c r="I28" i="7" s="1"/>
  <c r="B29" i="7"/>
  <c r="I29" i="7" s="1"/>
  <c r="B30" i="7"/>
  <c r="I30" i="7" s="1"/>
  <c r="B31" i="7"/>
  <c r="I31" i="7" s="1"/>
  <c r="B32" i="7"/>
  <c r="I32" i="7" s="1"/>
  <c r="B33" i="7"/>
  <c r="I33" i="7" s="1"/>
  <c r="B34" i="7"/>
  <c r="I34" i="7" s="1"/>
  <c r="B35" i="7"/>
  <c r="I35" i="7" s="1"/>
  <c r="B36" i="7"/>
  <c r="I36" i="7" s="1"/>
  <c r="B37" i="7"/>
  <c r="I37" i="7" s="1"/>
  <c r="B38" i="7"/>
  <c r="I38" i="7" s="1"/>
  <c r="B39" i="7"/>
  <c r="I39" i="7" s="1"/>
  <c r="B40" i="7"/>
  <c r="I40" i="7" s="1"/>
  <c r="B41" i="7"/>
  <c r="I41" i="7" s="1"/>
  <c r="B42" i="7"/>
  <c r="I42" i="7" s="1"/>
  <c r="B43" i="7"/>
  <c r="I43" i="7" s="1"/>
  <c r="B44" i="7"/>
  <c r="I44" i="7" s="1"/>
  <c r="B4" i="7"/>
  <c r="B5" i="6"/>
  <c r="I5" i="6" s="1"/>
  <c r="B6" i="6"/>
  <c r="I6" i="6" s="1"/>
  <c r="B7" i="6"/>
  <c r="I7" i="6" s="1"/>
  <c r="B8" i="6"/>
  <c r="I8" i="6" s="1"/>
  <c r="B9" i="6"/>
  <c r="I9" i="6" s="1"/>
  <c r="B10" i="6"/>
  <c r="I10" i="6" s="1"/>
  <c r="B11" i="6"/>
  <c r="I11" i="6" s="1"/>
  <c r="B12" i="6"/>
  <c r="I12" i="6" s="1"/>
  <c r="B13" i="6"/>
  <c r="I13" i="6" s="1"/>
  <c r="B14" i="6"/>
  <c r="I14" i="6" s="1"/>
  <c r="B15" i="6"/>
  <c r="I15" i="6" s="1"/>
  <c r="B16" i="6"/>
  <c r="I16" i="6" s="1"/>
  <c r="B17" i="6"/>
  <c r="I17" i="6" s="1"/>
  <c r="B18" i="6"/>
  <c r="I18" i="6" s="1"/>
  <c r="B19" i="6"/>
  <c r="I19" i="6" s="1"/>
  <c r="B20" i="6"/>
  <c r="I20" i="6" s="1"/>
  <c r="B21" i="6"/>
  <c r="I21" i="6" s="1"/>
  <c r="B22" i="6"/>
  <c r="I22" i="6" s="1"/>
  <c r="B23" i="6"/>
  <c r="I23" i="6" s="1"/>
  <c r="B24" i="6"/>
  <c r="I24" i="6" s="1"/>
  <c r="B25" i="6"/>
  <c r="I25" i="6" s="1"/>
  <c r="B26" i="6"/>
  <c r="I26" i="6" s="1"/>
  <c r="B27" i="6"/>
  <c r="I27" i="6" s="1"/>
  <c r="B28" i="6"/>
  <c r="I28" i="6" s="1"/>
  <c r="B29" i="6"/>
  <c r="I29" i="6" s="1"/>
  <c r="B30" i="6"/>
  <c r="I30" i="6" s="1"/>
  <c r="B31" i="6"/>
  <c r="I31" i="6" s="1"/>
  <c r="B32" i="6"/>
  <c r="I32" i="6" s="1"/>
  <c r="B33" i="6"/>
  <c r="I33" i="6" s="1"/>
  <c r="B34" i="6"/>
  <c r="I34" i="6" s="1"/>
  <c r="B35" i="6"/>
  <c r="I35" i="6" s="1"/>
  <c r="B36" i="6"/>
  <c r="I36" i="6" s="1"/>
  <c r="B37" i="6"/>
  <c r="I37" i="6" s="1"/>
  <c r="B38" i="6"/>
  <c r="I38" i="6" s="1"/>
  <c r="B39" i="6"/>
  <c r="I39" i="6" s="1"/>
  <c r="B40" i="6"/>
  <c r="I40" i="6" s="1"/>
  <c r="B41" i="6"/>
  <c r="I41" i="6" s="1"/>
  <c r="B42" i="6"/>
  <c r="I42" i="6" s="1"/>
  <c r="B43" i="6"/>
  <c r="I43" i="6" s="1"/>
  <c r="B44" i="6"/>
  <c r="I44" i="6" s="1"/>
  <c r="B4" i="6"/>
  <c r="B5" i="5"/>
  <c r="I5" i="5" s="1"/>
  <c r="B6" i="5"/>
  <c r="I6" i="5" s="1"/>
  <c r="B7" i="5"/>
  <c r="I7" i="5" s="1"/>
  <c r="B8" i="5"/>
  <c r="I8" i="5" s="1"/>
  <c r="B9" i="5"/>
  <c r="I9" i="5" s="1"/>
  <c r="B10" i="5"/>
  <c r="I10" i="5" s="1"/>
  <c r="B11" i="5"/>
  <c r="I11" i="5" s="1"/>
  <c r="B12" i="5"/>
  <c r="I12" i="5" s="1"/>
  <c r="B13" i="5"/>
  <c r="I13" i="5" s="1"/>
  <c r="B14" i="5"/>
  <c r="I14" i="5" s="1"/>
  <c r="B15" i="5"/>
  <c r="I15" i="5" s="1"/>
  <c r="B16" i="5"/>
  <c r="I16" i="5" s="1"/>
  <c r="B17" i="5"/>
  <c r="I17" i="5" s="1"/>
  <c r="B18" i="5"/>
  <c r="I18" i="5" s="1"/>
  <c r="B19" i="5"/>
  <c r="I19" i="5" s="1"/>
  <c r="B20" i="5"/>
  <c r="I20" i="5" s="1"/>
  <c r="B21" i="5"/>
  <c r="I21" i="5" s="1"/>
  <c r="B22" i="5"/>
  <c r="I22" i="5" s="1"/>
  <c r="B23" i="5"/>
  <c r="I23" i="5" s="1"/>
  <c r="B24" i="5"/>
  <c r="I24" i="5" s="1"/>
  <c r="B25" i="5"/>
  <c r="I25" i="5" s="1"/>
  <c r="B26" i="5"/>
  <c r="I26" i="5" s="1"/>
  <c r="B27" i="5"/>
  <c r="I27" i="5" s="1"/>
  <c r="B28" i="5"/>
  <c r="I28" i="5" s="1"/>
  <c r="B29" i="5"/>
  <c r="I29" i="5" s="1"/>
  <c r="B30" i="5"/>
  <c r="I30" i="5" s="1"/>
  <c r="B31" i="5"/>
  <c r="I31" i="5" s="1"/>
  <c r="B32" i="5"/>
  <c r="I32" i="5" s="1"/>
  <c r="B33" i="5"/>
  <c r="I33" i="5" s="1"/>
  <c r="B34" i="5"/>
  <c r="I34" i="5" s="1"/>
  <c r="B35" i="5"/>
  <c r="I35" i="5" s="1"/>
  <c r="B36" i="5"/>
  <c r="I36" i="5" s="1"/>
  <c r="B37" i="5"/>
  <c r="I37" i="5" s="1"/>
  <c r="B38" i="5"/>
  <c r="I38" i="5" s="1"/>
  <c r="B39" i="5"/>
  <c r="I39" i="5" s="1"/>
  <c r="B40" i="5"/>
  <c r="I40" i="5" s="1"/>
  <c r="B41" i="5"/>
  <c r="I41" i="5" s="1"/>
  <c r="B42" i="5"/>
  <c r="I42" i="5" s="1"/>
  <c r="B43" i="5"/>
  <c r="I43" i="5" s="1"/>
  <c r="B4" i="5"/>
  <c r="B5" i="4"/>
  <c r="I5" i="4" s="1"/>
  <c r="B6" i="4"/>
  <c r="I6" i="4" s="1"/>
  <c r="B7" i="4"/>
  <c r="I7" i="4" s="1"/>
  <c r="B8" i="4"/>
  <c r="I8" i="4" s="1"/>
  <c r="B9" i="4"/>
  <c r="I9" i="4" s="1"/>
  <c r="B10" i="4"/>
  <c r="I10" i="4" s="1"/>
  <c r="B11" i="4"/>
  <c r="I11" i="4" s="1"/>
  <c r="B12" i="4"/>
  <c r="I12" i="4" s="1"/>
  <c r="B13" i="4"/>
  <c r="I13" i="4" s="1"/>
  <c r="B14" i="4"/>
  <c r="I14" i="4" s="1"/>
  <c r="B15" i="4"/>
  <c r="I15" i="4" s="1"/>
  <c r="B16" i="4"/>
  <c r="I16" i="4" s="1"/>
  <c r="B17" i="4"/>
  <c r="I17" i="4" s="1"/>
  <c r="B18" i="4"/>
  <c r="I18" i="4" s="1"/>
  <c r="B19" i="4"/>
  <c r="I19" i="4" s="1"/>
  <c r="B20" i="4"/>
  <c r="I20" i="4" s="1"/>
  <c r="B21" i="4"/>
  <c r="I21" i="4" s="1"/>
  <c r="B22" i="4"/>
  <c r="I22" i="4" s="1"/>
  <c r="B23" i="4"/>
  <c r="I23" i="4" s="1"/>
  <c r="B24" i="4"/>
  <c r="I24" i="4" s="1"/>
  <c r="B25" i="4"/>
  <c r="I25" i="4" s="1"/>
  <c r="B26" i="4"/>
  <c r="I26" i="4" s="1"/>
  <c r="B27" i="4"/>
  <c r="I27" i="4" s="1"/>
  <c r="B28" i="4"/>
  <c r="I28" i="4" s="1"/>
  <c r="B29" i="4"/>
  <c r="I29" i="4" s="1"/>
  <c r="B30" i="4"/>
  <c r="I30" i="4" s="1"/>
  <c r="B31" i="4"/>
  <c r="I31" i="4" s="1"/>
  <c r="B32" i="4"/>
  <c r="I32" i="4" s="1"/>
  <c r="B33" i="4"/>
  <c r="I33" i="4" s="1"/>
  <c r="B34" i="4"/>
  <c r="I34" i="4" s="1"/>
  <c r="B35" i="4"/>
  <c r="I35" i="4" s="1"/>
  <c r="B36" i="4"/>
  <c r="I36" i="4" s="1"/>
  <c r="B37" i="4"/>
  <c r="I37" i="4" s="1"/>
  <c r="B38" i="4"/>
  <c r="I38" i="4" s="1"/>
  <c r="B39" i="4"/>
  <c r="I39" i="4" s="1"/>
  <c r="B40" i="4"/>
  <c r="I40" i="4" s="1"/>
  <c r="B41" i="4"/>
  <c r="I41" i="4" s="1"/>
  <c r="B4" i="4"/>
  <c r="B5" i="3"/>
  <c r="I5" i="3" s="1"/>
  <c r="B6" i="3"/>
  <c r="I6" i="3" s="1"/>
  <c r="B7" i="3"/>
  <c r="I7" i="3" s="1"/>
  <c r="B8" i="3"/>
  <c r="I8" i="3" s="1"/>
  <c r="B9" i="3"/>
  <c r="I9" i="3" s="1"/>
  <c r="B10" i="3"/>
  <c r="I10" i="3" s="1"/>
  <c r="B11" i="3"/>
  <c r="I11" i="3" s="1"/>
  <c r="B12" i="3"/>
  <c r="I12" i="3" s="1"/>
  <c r="B13" i="3"/>
  <c r="I13" i="3" s="1"/>
  <c r="B14" i="3"/>
  <c r="I14" i="3" s="1"/>
  <c r="B15" i="3"/>
  <c r="I15" i="3" s="1"/>
  <c r="B16" i="3"/>
  <c r="I16" i="3" s="1"/>
  <c r="B17" i="3"/>
  <c r="I17" i="3" s="1"/>
  <c r="B18" i="3"/>
  <c r="I18" i="3" s="1"/>
  <c r="B19" i="3"/>
  <c r="I19" i="3" s="1"/>
  <c r="B20" i="3"/>
  <c r="I20" i="3" s="1"/>
  <c r="B21" i="3"/>
  <c r="I21" i="3" s="1"/>
  <c r="B22" i="3"/>
  <c r="I22" i="3" s="1"/>
  <c r="B23" i="3"/>
  <c r="I23" i="3" s="1"/>
  <c r="B24" i="3"/>
  <c r="I24" i="3" s="1"/>
  <c r="B25" i="3"/>
  <c r="I25" i="3" s="1"/>
  <c r="B26" i="3"/>
  <c r="I26" i="3" s="1"/>
  <c r="B27" i="3"/>
  <c r="I27" i="3" s="1"/>
  <c r="B28" i="3"/>
  <c r="I28" i="3" s="1"/>
  <c r="B29" i="3"/>
  <c r="I29" i="3" s="1"/>
  <c r="B30" i="3"/>
  <c r="I30" i="3" s="1"/>
  <c r="B31" i="3"/>
  <c r="I31" i="3" s="1"/>
  <c r="B32" i="3"/>
  <c r="I32" i="3" s="1"/>
  <c r="B33" i="3"/>
  <c r="I33" i="3" s="1"/>
  <c r="B34" i="3"/>
  <c r="I34" i="3" s="1"/>
  <c r="B35" i="3"/>
  <c r="I35" i="3" s="1"/>
  <c r="B36" i="3"/>
  <c r="I36" i="3" s="1"/>
  <c r="B37" i="3"/>
  <c r="I37" i="3" s="1"/>
  <c r="B38" i="3"/>
  <c r="I38" i="3" s="1"/>
  <c r="B39" i="3"/>
  <c r="I39" i="3" s="1"/>
  <c r="B40" i="3"/>
  <c r="I40" i="3" s="1"/>
  <c r="B41" i="3"/>
  <c r="I41" i="3" s="1"/>
  <c r="B42" i="3"/>
  <c r="I42" i="3" s="1"/>
  <c r="B43" i="3"/>
  <c r="I43" i="3" s="1"/>
  <c r="B44" i="3"/>
  <c r="I44" i="3" s="1"/>
  <c r="B4" i="3"/>
  <c r="B5" i="1"/>
  <c r="I5" i="1" s="1"/>
  <c r="B6" i="1"/>
  <c r="I6" i="1" s="1"/>
  <c r="B7" i="1"/>
  <c r="I7" i="1" s="1"/>
  <c r="B8" i="1"/>
  <c r="I8" i="1" s="1"/>
  <c r="B9" i="1"/>
  <c r="I9" i="1" s="1"/>
  <c r="B10" i="1"/>
  <c r="I10" i="1" s="1"/>
  <c r="B11" i="1"/>
  <c r="I11" i="1" s="1"/>
  <c r="B12" i="1"/>
  <c r="I12" i="1" s="1"/>
  <c r="B13" i="1"/>
  <c r="I13" i="1" s="1"/>
  <c r="B14" i="1"/>
  <c r="I14" i="1" s="1"/>
  <c r="B15" i="1"/>
  <c r="I15" i="1" s="1"/>
  <c r="B16" i="1"/>
  <c r="I16" i="1" s="1"/>
  <c r="B17" i="1"/>
  <c r="I17" i="1" s="1"/>
  <c r="B18" i="1"/>
  <c r="I18" i="1" s="1"/>
  <c r="B19" i="1"/>
  <c r="I19" i="1" s="1"/>
  <c r="B20" i="1"/>
  <c r="I20" i="1" s="1"/>
  <c r="B21" i="1"/>
  <c r="I21" i="1" s="1"/>
  <c r="B22" i="1"/>
  <c r="I22" i="1" s="1"/>
  <c r="B23" i="1"/>
  <c r="I23" i="1" s="1"/>
  <c r="B24" i="1"/>
  <c r="I24" i="1" s="1"/>
  <c r="B25" i="1"/>
  <c r="I25" i="1" s="1"/>
  <c r="B26" i="1"/>
  <c r="I26" i="1" s="1"/>
  <c r="B27" i="1"/>
  <c r="I27" i="1" s="1"/>
  <c r="B28" i="1"/>
  <c r="I28" i="1" s="1"/>
  <c r="B29" i="1"/>
  <c r="I29" i="1" s="1"/>
  <c r="B30" i="1"/>
  <c r="I30" i="1" s="1"/>
  <c r="B31" i="1"/>
  <c r="I31" i="1" s="1"/>
  <c r="B32" i="1"/>
  <c r="I32" i="1" s="1"/>
  <c r="B33" i="1"/>
  <c r="I33" i="1" s="1"/>
  <c r="B34" i="1"/>
  <c r="I34" i="1" s="1"/>
  <c r="B35" i="1"/>
  <c r="I35" i="1" s="1"/>
  <c r="B36" i="1"/>
  <c r="I36" i="1" s="1"/>
  <c r="B37" i="1"/>
  <c r="I37" i="1" s="1"/>
  <c r="B38" i="1"/>
  <c r="I38" i="1" s="1"/>
  <c r="B39" i="1"/>
  <c r="I39" i="1" s="1"/>
  <c r="B40" i="1"/>
  <c r="I40" i="1" s="1"/>
  <c r="B41" i="1"/>
  <c r="I41" i="1" s="1"/>
  <c r="B42" i="1"/>
  <c r="I42" i="1" s="1"/>
  <c r="B43" i="1"/>
  <c r="I43" i="1" s="1"/>
  <c r="B44" i="1"/>
  <c r="I44" i="1" s="1"/>
  <c r="B4" i="1"/>
  <c r="B5" i="2"/>
  <c r="I5" i="2" s="1"/>
  <c r="B6" i="2"/>
  <c r="I6" i="2" s="1"/>
  <c r="B7" i="2"/>
  <c r="I7" i="2" s="1"/>
  <c r="B8" i="2"/>
  <c r="I8" i="2" s="1"/>
  <c r="B9" i="2"/>
  <c r="I9" i="2" s="1"/>
  <c r="B10" i="2"/>
  <c r="I10" i="2" s="1"/>
  <c r="B11" i="2"/>
  <c r="I11" i="2" s="1"/>
  <c r="B12" i="2"/>
  <c r="I12" i="2" s="1"/>
  <c r="B13" i="2"/>
  <c r="I13" i="2" s="1"/>
  <c r="B14" i="2"/>
  <c r="I14" i="2" s="1"/>
  <c r="B15" i="2"/>
  <c r="I15" i="2" s="1"/>
  <c r="B16" i="2"/>
  <c r="I16" i="2" s="1"/>
  <c r="B17" i="2"/>
  <c r="I17" i="2" s="1"/>
  <c r="B18" i="2"/>
  <c r="I18" i="2" s="1"/>
  <c r="B19" i="2"/>
  <c r="I19" i="2" s="1"/>
  <c r="B20" i="2"/>
  <c r="I20" i="2" s="1"/>
  <c r="B21" i="2"/>
  <c r="I21" i="2" s="1"/>
  <c r="B22" i="2"/>
  <c r="I22" i="2" s="1"/>
  <c r="B23" i="2"/>
  <c r="I23" i="2" s="1"/>
  <c r="B24" i="2"/>
  <c r="I24" i="2" s="1"/>
  <c r="B25" i="2"/>
  <c r="I25" i="2" s="1"/>
  <c r="B26" i="2"/>
  <c r="I26" i="2" s="1"/>
  <c r="B27" i="2"/>
  <c r="I27" i="2" s="1"/>
  <c r="B28" i="2"/>
  <c r="I28" i="2" s="1"/>
  <c r="B29" i="2"/>
  <c r="I29" i="2" s="1"/>
  <c r="B30" i="2"/>
  <c r="I30" i="2" s="1"/>
  <c r="B31" i="2"/>
  <c r="I31" i="2" s="1"/>
  <c r="B32" i="2"/>
  <c r="I32" i="2" s="1"/>
  <c r="B33" i="2"/>
  <c r="I33" i="2" s="1"/>
  <c r="B34" i="2"/>
  <c r="I34" i="2" s="1"/>
  <c r="B35" i="2"/>
  <c r="I35" i="2" s="1"/>
  <c r="B36" i="2"/>
  <c r="I36" i="2" s="1"/>
  <c r="B37" i="2"/>
  <c r="I37" i="2" s="1"/>
  <c r="B38" i="2"/>
  <c r="I38" i="2" s="1"/>
  <c r="B39" i="2"/>
  <c r="I39" i="2" s="1"/>
  <c r="B40" i="2"/>
  <c r="I40" i="2" s="1"/>
  <c r="B41" i="2"/>
  <c r="I41" i="2" s="1"/>
  <c r="B42" i="2"/>
  <c r="I42" i="2" s="1"/>
  <c r="B4" i="2"/>
  <c r="B2" i="12"/>
  <c r="J41" i="4"/>
  <c r="J40" i="4"/>
  <c r="J28" i="4"/>
  <c r="J38" i="4"/>
  <c r="J16" i="4"/>
  <c r="J25" i="2"/>
  <c r="J19" i="1"/>
  <c r="J7" i="2"/>
  <c r="J19" i="2"/>
  <c r="J13" i="2"/>
  <c r="J21" i="1"/>
  <c r="J6" i="1"/>
  <c r="J7" i="1"/>
  <c r="J14" i="1"/>
  <c r="J13" i="4"/>
  <c r="J11" i="4"/>
  <c r="J36" i="4"/>
  <c r="J8" i="4"/>
  <c r="J10" i="1"/>
  <c r="J33" i="2"/>
  <c r="J27" i="1"/>
  <c r="J16" i="2"/>
  <c r="J27" i="2"/>
  <c r="J32" i="4"/>
  <c r="J19" i="4"/>
  <c r="J5" i="4"/>
  <c r="J24" i="4"/>
  <c r="J18" i="1"/>
  <c r="J41" i="2"/>
  <c r="J35" i="1"/>
  <c r="J12" i="1"/>
  <c r="J35" i="2"/>
  <c r="J16" i="1"/>
  <c r="J36" i="2"/>
  <c r="J22" i="1"/>
  <c r="J23" i="1"/>
  <c r="J8" i="1"/>
  <c r="J29" i="1"/>
  <c r="J21" i="2"/>
  <c r="J31" i="1"/>
  <c r="J18" i="4"/>
  <c r="J6" i="4"/>
  <c r="J34" i="1"/>
  <c r="J10" i="2"/>
  <c r="J25" i="1"/>
  <c r="J5" i="2"/>
  <c r="J29" i="4"/>
  <c r="J14" i="4"/>
  <c r="J18" i="2"/>
  <c r="J31" i="2"/>
  <c r="J9" i="1"/>
  <c r="J41" i="1"/>
  <c r="J12" i="2"/>
  <c r="J10" i="4"/>
  <c r="J27" i="4"/>
  <c r="J37" i="4"/>
  <c r="J7" i="4"/>
  <c r="J26" i="1"/>
  <c r="J42" i="2"/>
  <c r="J43" i="1"/>
  <c r="J20" i="1"/>
  <c r="J23" i="2"/>
  <c r="J30" i="1"/>
  <c r="J15" i="2"/>
  <c r="J35" i="4"/>
  <c r="J15" i="4"/>
  <c r="J32" i="1"/>
  <c r="J28" i="1"/>
  <c r="J24" i="1"/>
  <c r="J39" i="1"/>
  <c r="J26" i="4"/>
  <c r="J42" i="1"/>
  <c r="J36" i="1"/>
  <c r="J37" i="2"/>
  <c r="J11" i="2"/>
  <c r="J22" i="2"/>
  <c r="J38" i="2"/>
  <c r="J9" i="4"/>
  <c r="J37" i="1"/>
  <c r="J33" i="1"/>
  <c r="J23" i="4"/>
  <c r="J20" i="2"/>
  <c r="J6" i="2"/>
  <c r="J38" i="1"/>
  <c r="J30" i="2"/>
  <c r="J17" i="4"/>
  <c r="J39" i="2"/>
  <c r="J24" i="2"/>
  <c r="J13" i="1"/>
  <c r="J29" i="2"/>
  <c r="J25" i="4"/>
  <c r="J34" i="4"/>
  <c r="J12" i="4"/>
  <c r="J22" i="4"/>
  <c r="J31" i="4"/>
  <c r="J9" i="2"/>
  <c r="J8" i="2"/>
  <c r="J26" i="2"/>
  <c r="J44" i="1"/>
  <c r="J28" i="2"/>
  <c r="J5" i="1"/>
  <c r="J17" i="1"/>
  <c r="J40" i="1"/>
  <c r="J14" i="2"/>
  <c r="J40" i="2"/>
  <c r="J33" i="4"/>
  <c r="J21" i="4"/>
  <c r="J20" i="4"/>
  <c r="J30" i="4"/>
  <c r="J39" i="4"/>
  <c r="J17" i="2"/>
  <c r="J11" i="1"/>
  <c r="J34" i="2"/>
  <c r="J32" i="2"/>
  <c r="J15" i="1"/>
  <c r="C1" i="10" l="1"/>
  <c r="C1" i="11"/>
  <c r="C1" i="9"/>
  <c r="C1" i="8"/>
  <c r="C1" i="7"/>
  <c r="C1" i="6"/>
  <c r="C1" i="5"/>
  <c r="C1" i="4"/>
  <c r="C1" i="3"/>
  <c r="C1" i="2"/>
  <c r="C1" i="1"/>
</calcChain>
</file>

<file path=xl/sharedStrings.xml><?xml version="1.0" encoding="utf-8"?>
<sst xmlns="http://schemas.openxmlformats.org/spreadsheetml/2006/main" count="277" uniqueCount="29">
  <si>
    <t>alpha</t>
  </si>
  <si>
    <t>alpha(rad)</t>
  </si>
  <si>
    <t>CL_2D</t>
  </si>
  <si>
    <t>CD_2D</t>
  </si>
  <si>
    <t>CM</t>
  </si>
  <si>
    <t>CL_3D</t>
  </si>
  <si>
    <t>CD_i_3D</t>
  </si>
  <si>
    <t>CD_3D</t>
  </si>
  <si>
    <t>Xp_2D</t>
  </si>
  <si>
    <t>------</t>
  </si>
  <si>
    <t>--------</t>
  </si>
  <si>
    <t>---------</t>
  </si>
  <si>
    <t>S_projetée</t>
  </si>
  <si>
    <t>QUILLE</t>
  </si>
  <si>
    <t>Corde Moyenne</t>
  </si>
  <si>
    <t>Viscosité cinematique eau</t>
  </si>
  <si>
    <t>Tailles min et max de la quille</t>
  </si>
  <si>
    <t>Envergure</t>
  </si>
  <si>
    <t>AR</t>
  </si>
  <si>
    <t>K</t>
  </si>
  <si>
    <t>AR_efficace</t>
  </si>
  <si>
    <t>car 1 tourbillon marginal</t>
  </si>
  <si>
    <t>Xp_2D_%corde</t>
  </si>
  <si>
    <t>L1</t>
  </si>
  <si>
    <t>L2</t>
  </si>
  <si>
    <t>h</t>
  </si>
  <si>
    <t>delta</t>
  </si>
  <si>
    <t>Xp_3D_repQuille</t>
  </si>
  <si>
    <t>Zp_3D_repQuille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</si>
</sst>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L44"/>
  <sheetViews>
    <sheetView tabSelected="1" zoomScale="94" workbookViewId="0">
      <selection activeCell="M17" sqref="M17"/>
    </sheetView>
  </sheetViews>
  <sheetFormatPr baseColWidth="10" defaultColWidth="8.88671875" defaultRowHeight="14.4" x14ac:dyDescent="0.3"/>
  <cols>
    <col min="1" max="8" width="11.44140625" customWidth="1"/>
    <col min="9" max="9" width="15.21875" customWidth="1"/>
    <col min="10" max="10" width="14.44140625" customWidth="1"/>
    <col min="11" max="11" width="16.21875" customWidth="1"/>
    <col min="12" max="12" width="10.44140625" customWidth="1"/>
  </cols>
  <sheetData>
    <row r="1" spans="1:12" x14ac:dyDescent="0.3">
      <c r="A1">
        <v>0.1</v>
      </c>
      <c r="C1" s="2">
        <f>A1*'Données géométriques'!B2/'Données géométriques'!G2</f>
        <v>22840.119165839129</v>
      </c>
    </row>
    <row r="2" spans="1:1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22</v>
      </c>
      <c r="J2" t="s">
        <v>27</v>
      </c>
      <c r="K2" t="s">
        <v>28</v>
      </c>
      <c r="L2" t="s">
        <v>12</v>
      </c>
    </row>
    <row r="3" spans="1:12" x14ac:dyDescent="0.3">
      <c r="A3" t="s">
        <v>9</v>
      </c>
      <c r="B3" t="s">
        <v>9</v>
      </c>
      <c r="C3" t="s">
        <v>10</v>
      </c>
      <c r="D3" t="s">
        <v>11</v>
      </c>
      <c r="E3" t="s">
        <v>10</v>
      </c>
      <c r="F3" t="s">
        <v>9</v>
      </c>
      <c r="G3" t="s">
        <v>10</v>
      </c>
      <c r="H3" t="s">
        <v>11</v>
      </c>
      <c r="I3" t="s">
        <v>11</v>
      </c>
      <c r="J3" t="s">
        <v>11</v>
      </c>
      <c r="K3" t="s">
        <v>11</v>
      </c>
      <c r="L3" t="s">
        <v>11</v>
      </c>
    </row>
    <row r="4" spans="1:12" x14ac:dyDescent="0.3">
      <c r="A4">
        <v>0</v>
      </c>
      <c r="B4">
        <f>A4*PI()/180</f>
        <v>0</v>
      </c>
      <c r="C4">
        <v>0</v>
      </c>
      <c r="D4">
        <v>2.7799999999999998E-2</v>
      </c>
      <c r="E4">
        <v>0</v>
      </c>
      <c r="F4">
        <f>C4/(1+2/'Données géométriques'!$B$6)</f>
        <v>0</v>
      </c>
      <c r="G4">
        <f>F4^2/(PI()*'Données géométriques'!$B$6)</f>
        <v>0</v>
      </c>
      <c r="H4">
        <f>D4+G4</f>
        <v>2.7799999999999998E-2</v>
      </c>
      <c r="I4">
        <v>0</v>
      </c>
      <c r="J4">
        <f>XCP_3D('Données géométriques'!$B$9,'Données géométriques'!$B$10,'Données géométriques'!$B$11,'Données géométriques'!$B$12,I4)</f>
        <v>-0.21093475128380432</v>
      </c>
      <c r="K4">
        <f>ZCP_3D('Données géométriques'!$B$9,'Données géométriques'!$B$10,'Données géométriques'!$B$11)</f>
        <v>-0.37564783319086603</v>
      </c>
      <c r="L4">
        <f>(-6.2038*A4^3 + 268.16*A4*2 - 429.35*A4 + 24611)*10^-6</f>
        <v>2.4610999999999997E-2</v>
      </c>
    </row>
    <row r="5" spans="1:12" x14ac:dyDescent="0.3">
      <c r="A5">
        <v>0.5</v>
      </c>
      <c r="B5">
        <f t="shared" ref="B5:B44" si="0">A5*PI()/180</f>
        <v>8.7266462599716477E-3</v>
      </c>
      <c r="C5">
        <f t="shared" ref="C5:E6" si="1">(C$7-C$4)/1.5*$A5+C$4</f>
        <v>3.3533333333333332E-2</v>
      </c>
      <c r="D5">
        <f t="shared" si="1"/>
        <v>2.8383333333333333E-2</v>
      </c>
      <c r="E5">
        <f t="shared" si="1"/>
        <v>4.3333333333333331E-4</v>
      </c>
      <c r="F5">
        <f>C5/(1+2/'Données géométriques'!$B$6)</f>
        <v>2.5820666666666665E-2</v>
      </c>
      <c r="G5">
        <f>F5^2/(PI()*'Données géométriques'!$B$6)</f>
        <v>3.1695101349876375E-5</v>
      </c>
      <c r="H5">
        <f t="shared" ref="H5:H44" si="2">D5+G5</f>
        <v>2.8415028434683208E-2</v>
      </c>
      <c r="I5">
        <f>0.25-E5/(C5*COS(B5)+D5*SIN(B5))</f>
        <v>0.23717179961573889</v>
      </c>
      <c r="J5">
        <f>XCP_3D('Données géométriques'!$B$9,'Données géométriques'!$B$10,'Données géométriques'!$B$11,'Données géométriques'!$B$12,I5)</f>
        <v>-0.27010039129179891</v>
      </c>
      <c r="K5">
        <f>ZCP_3D('Données géométriques'!$B$9,'Données géométriques'!$B$10,'Données géométriques'!$B$11)</f>
        <v>-0.37564783319086603</v>
      </c>
      <c r="L5">
        <f t="shared" ref="L5:L44" si="3">(-6.2038*A5^3 + 268.16*A5*2 - 429.35*A5 + 24611)*10^-6</f>
        <v>2.4663709524999997E-2</v>
      </c>
    </row>
    <row r="6" spans="1:12" x14ac:dyDescent="0.3">
      <c r="A6">
        <v>1</v>
      </c>
      <c r="B6">
        <f t="shared" si="0"/>
        <v>1.7453292519943295E-2</v>
      </c>
      <c r="C6">
        <f t="shared" si="1"/>
        <v>6.7066666666666663E-2</v>
      </c>
      <c r="D6">
        <f t="shared" si="1"/>
        <v>2.8966666666666665E-2</v>
      </c>
      <c r="E6">
        <f t="shared" si="1"/>
        <v>8.6666666666666663E-4</v>
      </c>
      <c r="F6">
        <f>C6/(1+2/'Données géométriques'!$B$6)</f>
        <v>5.1641333333333331E-2</v>
      </c>
      <c r="G6">
        <f>F6^2/(PI()*'Données géométriques'!$B$6)</f>
        <v>1.267804053995055E-4</v>
      </c>
      <c r="H6">
        <f t="shared" si="2"/>
        <v>2.909344707206617E-2</v>
      </c>
      <c r="I6">
        <f t="shared" ref="I6:I44" si="4">0.25-E6/(C6*COS(B6)+D6*SIN(B6))</f>
        <v>0.23717227445460065</v>
      </c>
      <c r="J6">
        <f>XCP_3D('Données géométriques'!$B$9,'Données géométriques'!$B$10,'Données géométriques'!$B$11,'Données géométriques'!$B$12,I6)</f>
        <v>-0.27010050974662903</v>
      </c>
      <c r="K6">
        <f>ZCP_3D('Données géométriques'!$B$9,'Données géométriques'!$B$10,'Données géométriques'!$B$11)</f>
        <v>-0.37564783319086603</v>
      </c>
      <c r="L6">
        <f t="shared" si="3"/>
        <v>2.4711766199999999E-2</v>
      </c>
    </row>
    <row r="7" spans="1:12" x14ac:dyDescent="0.3">
      <c r="A7">
        <v>1.5</v>
      </c>
      <c r="B7">
        <f t="shared" si="0"/>
        <v>2.6179938779914941E-2</v>
      </c>
      <c r="C7">
        <v>0.10059999999999999</v>
      </c>
      <c r="D7">
        <v>2.955E-2</v>
      </c>
      <c r="E7">
        <v>1.2999999999999999E-3</v>
      </c>
      <c r="F7">
        <f>C7/(1+2/'Données géométriques'!$B$6)</f>
        <v>7.7462000000000003E-2</v>
      </c>
      <c r="G7">
        <f>F7^2/(PI()*'Données géométriques'!$B$6)</f>
        <v>2.8525591214888745E-4</v>
      </c>
      <c r="H7">
        <f t="shared" si="2"/>
        <v>2.9835255912148886E-2</v>
      </c>
      <c r="I7">
        <f t="shared" si="4"/>
        <v>0.23717177705251619</v>
      </c>
      <c r="J7">
        <f>XCP_3D('Données géométriques'!$B$9,'Données géométriques'!$B$10,'Données géométriques'!$B$11,'Données géométriques'!$B$12,I7)</f>
        <v>-0.27010038566310618</v>
      </c>
      <c r="K7">
        <f>ZCP_3D('Données géométriques'!$B$9,'Données géométriques'!$B$10,'Données géométriques'!$B$11)</f>
        <v>-0.37564783319086603</v>
      </c>
      <c r="L7">
        <f t="shared" si="3"/>
        <v>2.4750517175E-2</v>
      </c>
    </row>
    <row r="8" spans="1:12" x14ac:dyDescent="0.3">
      <c r="A8">
        <v>2</v>
      </c>
      <c r="B8">
        <f t="shared" si="0"/>
        <v>3.4906585039886591E-2</v>
      </c>
      <c r="C8">
        <v>0.1946</v>
      </c>
      <c r="D8">
        <v>3.0380000000000001E-2</v>
      </c>
      <c r="E8">
        <v>-7.7000000000000002E-3</v>
      </c>
      <c r="F8">
        <f>C8/(1+2/'Données géométriques'!$B$6)</f>
        <v>0.149842</v>
      </c>
      <c r="G8">
        <f>F8^2/(PI()*'Données géométriques'!$B$6)</f>
        <v>1.0673930352390786E-3</v>
      </c>
      <c r="H8">
        <f t="shared" si="2"/>
        <v>3.144739303523908E-2</v>
      </c>
      <c r="I8">
        <f t="shared" si="4"/>
        <v>0.28937778967409877</v>
      </c>
      <c r="J8">
        <f>XCP_3D('Données géométriques'!$B$9,'Données géométriques'!$B$10,'Données géométriques'!$B$11,'Données géométriques'!$B$12,I8)</f>
        <v>-0.28312386549513291</v>
      </c>
      <c r="K8">
        <f>ZCP_3D('Données géométriques'!$B$9,'Données géométriques'!$B$10,'Données géométriques'!$B$11)</f>
        <v>-0.37564783319086603</v>
      </c>
      <c r="L8">
        <f t="shared" si="3"/>
        <v>2.47753096E-2</v>
      </c>
    </row>
    <row r="9" spans="1:12" x14ac:dyDescent="0.3">
      <c r="A9">
        <v>2.5</v>
      </c>
      <c r="B9">
        <f t="shared" si="0"/>
        <v>4.3633231299858237E-2</v>
      </c>
      <c r="C9">
        <v>0.28920000000000001</v>
      </c>
      <c r="D9">
        <v>3.09E-2</v>
      </c>
      <c r="E9">
        <v>-1.5100000000000001E-2</v>
      </c>
      <c r="F9">
        <f>C9/(1+2/'Données géométriques'!$B$6)</f>
        <v>0.22268400000000002</v>
      </c>
      <c r="G9">
        <f>F9^2/(PI()*'Données géométriques'!$B$6)</f>
        <v>2.3574108067566891E-3</v>
      </c>
      <c r="H9">
        <f t="shared" si="2"/>
        <v>3.325741080675669E-2</v>
      </c>
      <c r="I9">
        <f t="shared" si="4"/>
        <v>0.30202006938736486</v>
      </c>
      <c r="J9">
        <f>XCP_3D('Données géométriques'!$B$9,'Données géométriques'!$B$10,'Données géométriques'!$B$11,'Données géométriques'!$B$12,I9)</f>
        <v>-0.2862776492569768</v>
      </c>
      <c r="K9">
        <f>ZCP_3D('Données géométriques'!$B$9,'Données géométriques'!$B$10,'Données géométriques'!$B$11)</f>
        <v>-0.37564783319086603</v>
      </c>
      <c r="L9">
        <f t="shared" si="3"/>
        <v>2.4781490624999996E-2</v>
      </c>
    </row>
    <row r="10" spans="1:12" x14ac:dyDescent="0.3">
      <c r="A10">
        <v>3</v>
      </c>
      <c r="B10">
        <f t="shared" si="0"/>
        <v>5.2359877559829883E-2</v>
      </c>
      <c r="C10">
        <v>0.36130000000000001</v>
      </c>
      <c r="D10">
        <v>3.1269999999999999E-2</v>
      </c>
      <c r="E10">
        <v>-1.72E-2</v>
      </c>
      <c r="F10">
        <f>C10/(1+2/'Données géométriques'!$B$6)</f>
        <v>0.27820100000000003</v>
      </c>
      <c r="G10">
        <f>F10^2/(PI()*'Données géométriques'!$B$6)</f>
        <v>3.6793797681859836E-3</v>
      </c>
      <c r="H10">
        <f t="shared" si="2"/>
        <v>3.4949379768185983E-2</v>
      </c>
      <c r="I10">
        <f t="shared" si="4"/>
        <v>0.29745594785130597</v>
      </c>
      <c r="J10">
        <f>XCP_3D('Données géométriques'!$B$9,'Données géométriques'!$B$10,'Données géométriques'!$B$11,'Données géométriques'!$B$12,I10)</f>
        <v>-0.28513906881784873</v>
      </c>
      <c r="K10">
        <f>ZCP_3D('Données géométriques'!$B$9,'Données géométriques'!$B$10,'Données géométriques'!$B$11)</f>
        <v>-0.37564783319086603</v>
      </c>
      <c r="L10">
        <f t="shared" si="3"/>
        <v>2.4764407400000001E-2</v>
      </c>
    </row>
    <row r="11" spans="1:12" x14ac:dyDescent="0.3">
      <c r="A11">
        <v>3.5</v>
      </c>
      <c r="B11">
        <f t="shared" si="0"/>
        <v>6.1086523819801536E-2</v>
      </c>
      <c r="C11">
        <v>0.42320000000000002</v>
      </c>
      <c r="D11">
        <v>3.1600000000000003E-2</v>
      </c>
      <c r="E11">
        <v>-1.6400000000000001E-2</v>
      </c>
      <c r="F11">
        <f>C11/(1+2/'Données géométriques'!$B$6)</f>
        <v>0.32586400000000004</v>
      </c>
      <c r="G11">
        <f>F11^2/(PI()*'Données géométriques'!$B$6)</f>
        <v>5.0481239615448826E-3</v>
      </c>
      <c r="H11">
        <f t="shared" si="2"/>
        <v>3.6648123961544883E-2</v>
      </c>
      <c r="I11">
        <f t="shared" si="4"/>
        <v>0.28864827374674712</v>
      </c>
      <c r="J11">
        <f>XCP_3D('Données géométriques'!$B$9,'Données géométriques'!$B$10,'Données géométriques'!$B$11,'Données géométriques'!$B$12,I11)</f>
        <v>-0.28294187810536825</v>
      </c>
      <c r="K11">
        <f>ZCP_3D('Données géométriques'!$B$9,'Données géométriques'!$B$10,'Données géométriques'!$B$11)</f>
        <v>-0.37564783319086603</v>
      </c>
      <c r="L11">
        <f t="shared" si="3"/>
        <v>2.4719407074999998E-2</v>
      </c>
    </row>
    <row r="12" spans="1:12" x14ac:dyDescent="0.3">
      <c r="A12">
        <v>4</v>
      </c>
      <c r="B12">
        <f t="shared" si="0"/>
        <v>6.9813170079773182E-2</v>
      </c>
      <c r="C12">
        <v>0.4753</v>
      </c>
      <c r="D12">
        <v>3.2009999999999997E-2</v>
      </c>
      <c r="E12">
        <v>-1.34E-2</v>
      </c>
      <c r="F12">
        <f>C12/(1+2/'Données géométriques'!$B$6)</f>
        <v>0.365981</v>
      </c>
      <c r="G12">
        <f>F12^2/(PI()*'Données géométriques'!$B$6)</f>
        <v>6.3675787014085706E-3</v>
      </c>
      <c r="H12">
        <f t="shared" si="2"/>
        <v>3.8377578701408566E-2</v>
      </c>
      <c r="I12">
        <f t="shared" si="4"/>
        <v>0.27812909419807436</v>
      </c>
      <c r="J12">
        <f>XCP_3D('Données géométriques'!$B$9,'Données géométriques'!$B$10,'Données géométriques'!$B$11,'Données géométriques'!$B$12,I12)</f>
        <v>-0.28031772973964914</v>
      </c>
      <c r="K12">
        <f>ZCP_3D('Données géométriques'!$B$9,'Données géométriques'!$B$10,'Données géométriques'!$B$11)</f>
        <v>-0.37564783319086603</v>
      </c>
      <c r="L12">
        <f t="shared" si="3"/>
        <v>2.4641836800000001E-2</v>
      </c>
    </row>
    <row r="13" spans="1:12" x14ac:dyDescent="0.3">
      <c r="A13">
        <v>4.5</v>
      </c>
      <c r="B13">
        <f t="shared" si="0"/>
        <v>7.8539816339744828E-2</v>
      </c>
      <c r="C13">
        <v>0.52059999999999995</v>
      </c>
      <c r="D13">
        <v>3.2599999999999997E-2</v>
      </c>
      <c r="E13">
        <v>-8.9999999999999993E-3</v>
      </c>
      <c r="F13">
        <f>C13/(1+2/'Données géométriques'!$B$6)</f>
        <v>0.40086199999999994</v>
      </c>
      <c r="G13">
        <f>F13^2/(PI()*'Données géométriques'!$B$6)</f>
        <v>7.6391848734994024E-3</v>
      </c>
      <c r="H13">
        <f t="shared" si="2"/>
        <v>4.0239184873499402E-2</v>
      </c>
      <c r="I13">
        <f t="shared" si="4"/>
        <v>0.26725615843443601</v>
      </c>
      <c r="J13">
        <f>XCP_3D('Données géométriques'!$B$9,'Données géométriques'!$B$10,'Données géométriques'!$B$11,'Données géométriques'!$B$12,I13)</f>
        <v>-0.2776053322106698</v>
      </c>
      <c r="K13">
        <f>ZCP_3D('Données géométriques'!$B$9,'Données géométriques'!$B$10,'Données géométriques'!$B$11)</f>
        <v>-0.37564783319086603</v>
      </c>
      <c r="L13">
        <f t="shared" si="3"/>
        <v>2.4527043724999999E-2</v>
      </c>
    </row>
    <row r="14" spans="1:12" x14ac:dyDescent="0.3">
      <c r="A14">
        <v>5</v>
      </c>
      <c r="B14">
        <f t="shared" si="0"/>
        <v>8.7266462599716474E-2</v>
      </c>
      <c r="C14">
        <v>0.56120000000000003</v>
      </c>
      <c r="D14">
        <v>3.3430000000000001E-2</v>
      </c>
      <c r="E14">
        <v>-4.1000000000000003E-3</v>
      </c>
      <c r="F14">
        <f>C14/(1+2/'Données géométriques'!$B$6)</f>
        <v>0.43212400000000001</v>
      </c>
      <c r="G14">
        <f>F14^2/(PI()*'Données géométriques'!$B$6)</f>
        <v>8.8771593860626202E-3</v>
      </c>
      <c r="H14">
        <f t="shared" si="2"/>
        <v>4.2307159386062623E-2</v>
      </c>
      <c r="I14">
        <f t="shared" si="4"/>
        <v>0.2572956582084942</v>
      </c>
      <c r="J14">
        <f>XCP_3D('Données géométriques'!$B$9,'Données géométriques'!$B$10,'Données géométriques'!$B$11,'Données géométriques'!$B$12,I14)</f>
        <v>-0.27512055378582184</v>
      </c>
      <c r="K14">
        <f>ZCP_3D('Données géométriques'!$B$9,'Données géométriques'!$B$10,'Données géométriques'!$B$11)</f>
        <v>-0.37564783319086603</v>
      </c>
      <c r="L14">
        <f t="shared" si="3"/>
        <v>2.4370375E-2</v>
      </c>
    </row>
    <row r="15" spans="1:12" x14ac:dyDescent="0.3">
      <c r="A15">
        <v>5.5</v>
      </c>
      <c r="B15">
        <f t="shared" si="0"/>
        <v>9.599310885968812E-2</v>
      </c>
      <c r="C15">
        <v>0.59660000000000002</v>
      </c>
      <c r="D15">
        <v>3.4729999999999997E-2</v>
      </c>
      <c r="E15">
        <v>8.0000000000000004E-4</v>
      </c>
      <c r="F15">
        <f>C15/(1+2/'Données géométriques'!$B$6)</f>
        <v>0.45938200000000001</v>
      </c>
      <c r="G15">
        <f>F15^2/(PI()*'Données géométriques'!$B$6)</f>
        <v>1.0032408116942129E-2</v>
      </c>
      <c r="H15">
        <f t="shared" si="2"/>
        <v>4.4762408116942126E-2</v>
      </c>
      <c r="I15">
        <f t="shared" si="4"/>
        <v>0.24866037510703903</v>
      </c>
      <c r="J15">
        <f>XCP_3D('Données géométriques'!$B$9,'Données géométriques'!$B$10,'Données géométriques'!$B$11,'Données géométriques'!$B$12,I15)</f>
        <v>-0.27296636828747983</v>
      </c>
      <c r="K15">
        <f>ZCP_3D('Données géométriques'!$B$9,'Données géométriques'!$B$10,'Données géométriques'!$B$11)</f>
        <v>-0.37564783319086603</v>
      </c>
      <c r="L15">
        <f t="shared" si="3"/>
        <v>2.4167177775E-2</v>
      </c>
    </row>
    <row r="16" spans="1:12" x14ac:dyDescent="0.3">
      <c r="A16">
        <v>6</v>
      </c>
      <c r="B16">
        <f t="shared" si="0"/>
        <v>0.10471975511965977</v>
      </c>
      <c r="C16">
        <v>0.63029999999999997</v>
      </c>
      <c r="D16">
        <v>3.6400000000000002E-2</v>
      </c>
      <c r="E16">
        <v>5.4000000000000003E-3</v>
      </c>
      <c r="F16">
        <f>C16/(1+2/'Données géométriques'!$B$6)</f>
        <v>0.48533099999999996</v>
      </c>
      <c r="G16">
        <f>F16^2/(PI()*'Données géométriques'!$B$6)</f>
        <v>1.1197815486772976E-2</v>
      </c>
      <c r="H16">
        <f t="shared" si="2"/>
        <v>4.7597815486772978E-2</v>
      </c>
      <c r="I16">
        <f t="shared" si="4"/>
        <v>0.24143743282544733</v>
      </c>
      <c r="J16">
        <f>XCP_3D('Données géométriques'!$B$9,'Données géométriques'!$B$10,'Données géométriques'!$B$11,'Données géométriques'!$B$12,I16)</f>
        <v>-0.27116450987293078</v>
      </c>
      <c r="K16">
        <f>ZCP_3D('Données géométriques'!$B$9,'Données géométriques'!$B$10,'Données géométriques'!$B$11)</f>
        <v>-0.37564783319086603</v>
      </c>
      <c r="L16">
        <f t="shared" si="3"/>
        <v>2.3912799200000001E-2</v>
      </c>
    </row>
    <row r="17" spans="1:12" x14ac:dyDescent="0.3">
      <c r="A17">
        <v>6.5</v>
      </c>
      <c r="B17">
        <f t="shared" si="0"/>
        <v>0.11344640137963143</v>
      </c>
      <c r="C17">
        <v>0.6623</v>
      </c>
      <c r="D17">
        <v>3.8589999999999999E-2</v>
      </c>
      <c r="E17">
        <v>9.4999999999999998E-3</v>
      </c>
      <c r="F17">
        <f>C17/(1+2/'Données géométriques'!$B$6)</f>
        <v>0.50997099999999995</v>
      </c>
      <c r="G17">
        <f>F17^2/(PI()*'Données géométriques'!$B$6)</f>
        <v>1.2363692722898653E-2</v>
      </c>
      <c r="H17">
        <f t="shared" si="2"/>
        <v>5.0953692722898652E-2</v>
      </c>
      <c r="I17">
        <f t="shared" si="4"/>
        <v>0.23565845401178614</v>
      </c>
      <c r="J17">
        <f>XCP_3D('Données géométriques'!$B$9,'Données géométriques'!$B$10,'Données géométriques'!$B$11,'Données géométriques'!$B$12,I17)</f>
        <v>-0.26972286722967936</v>
      </c>
      <c r="K17">
        <f>ZCP_3D('Données géométriques'!$B$9,'Données géométriques'!$B$10,'Données géométriques'!$B$11)</f>
        <v>-0.37564783319086603</v>
      </c>
      <c r="L17">
        <f t="shared" si="3"/>
        <v>2.3602586424999999E-2</v>
      </c>
    </row>
    <row r="18" spans="1:12" x14ac:dyDescent="0.3">
      <c r="A18">
        <v>7</v>
      </c>
      <c r="B18">
        <f t="shared" si="0"/>
        <v>0.12217304763960307</v>
      </c>
      <c r="C18">
        <v>0.69320000000000004</v>
      </c>
      <c r="D18">
        <v>4.1329999999999999E-2</v>
      </c>
      <c r="E18">
        <v>1.29E-2</v>
      </c>
      <c r="F18">
        <f>C18/(1+2/'Données géométriques'!$B$6)</f>
        <v>0.53376400000000002</v>
      </c>
      <c r="G18">
        <f>F18^2/(PI()*'Données géométriques'!$B$6)</f>
        <v>1.3544276182139289E-2</v>
      </c>
      <c r="H18">
        <f t="shared" si="2"/>
        <v>5.4874276182139289E-2</v>
      </c>
      <c r="I18">
        <f t="shared" si="4"/>
        <v>0.23138715750288416</v>
      </c>
      <c r="J18">
        <f>XCP_3D('Données géométriques'!$B$9,'Données géométriques'!$B$10,'Données géométriques'!$B$11,'Données géométriques'!$B$12,I18)</f>
        <v>-0.26865733586371332</v>
      </c>
      <c r="K18">
        <f>ZCP_3D('Données géométriques'!$B$9,'Données géométriques'!$B$10,'Données géométriques'!$B$11)</f>
        <v>-0.37564783319086603</v>
      </c>
      <c r="L18">
        <f t="shared" si="3"/>
        <v>2.3231886599999998E-2</v>
      </c>
    </row>
    <row r="19" spans="1:12" x14ac:dyDescent="0.3">
      <c r="A19">
        <v>7.5</v>
      </c>
      <c r="B19">
        <f t="shared" si="0"/>
        <v>0.1308996938995747</v>
      </c>
      <c r="C19">
        <v>0.72550000000000003</v>
      </c>
      <c r="D19">
        <v>4.462E-2</v>
      </c>
      <c r="E19">
        <v>1.5599999999999999E-2</v>
      </c>
      <c r="F19">
        <f>C19/(1+2/'Données géométriques'!$B$6)</f>
        <v>0.55863499999999999</v>
      </c>
      <c r="G19">
        <f>F19^2/(PI()*'Données géométriques'!$B$6)</f>
        <v>1.4835887327480932E-2</v>
      </c>
      <c r="H19">
        <f t="shared" si="2"/>
        <v>5.945588732748093E-2</v>
      </c>
      <c r="I19">
        <f t="shared" si="4"/>
        <v>0.22848624015901853</v>
      </c>
      <c r="J19">
        <f>XCP_3D('Données géométriques'!$B$9,'Données géométriques'!$B$10,'Données géométriques'!$B$11,'Données géométriques'!$B$12,I19)</f>
        <v>-0.26793366369215527</v>
      </c>
      <c r="K19">
        <f>ZCP_3D('Données géométriques'!$B$9,'Données géométriques'!$B$10,'Données géométriques'!$B$11)</f>
        <v>-0.37564783319086603</v>
      </c>
      <c r="L19">
        <f t="shared" si="3"/>
        <v>2.2796046875E-2</v>
      </c>
    </row>
    <row r="20" spans="1:12" x14ac:dyDescent="0.3">
      <c r="A20">
        <v>8</v>
      </c>
      <c r="B20">
        <f t="shared" si="0"/>
        <v>0.13962634015954636</v>
      </c>
      <c r="C20">
        <v>0.75490000000000002</v>
      </c>
      <c r="D20">
        <v>4.8649999999999999E-2</v>
      </c>
      <c r="E20">
        <v>1.78E-2</v>
      </c>
      <c r="F20">
        <f>C20/(1+2/'Données géométriques'!$B$6)</f>
        <v>0.58127300000000004</v>
      </c>
      <c r="G20">
        <f>F20^2/(PI()*'Données géométriques'!$B$6)</f>
        <v>1.6062662843267846E-2</v>
      </c>
      <c r="H20">
        <f t="shared" si="2"/>
        <v>6.4712662843267849E-2</v>
      </c>
      <c r="I20">
        <f t="shared" si="4"/>
        <v>0.22640271716127366</v>
      </c>
      <c r="J20">
        <f>XCP_3D('Données géométriques'!$B$9,'Données géométriques'!$B$10,'Données géométriques'!$B$11,'Données géométriques'!$B$12,I20)</f>
        <v>-0.26741390134337523</v>
      </c>
      <c r="K20">
        <f>ZCP_3D('Données géométriques'!$B$9,'Données géométriques'!$B$10,'Données géométriques'!$B$11)</f>
        <v>-0.37564783319086603</v>
      </c>
      <c r="L20">
        <f t="shared" si="3"/>
        <v>2.22904144E-2</v>
      </c>
    </row>
    <row r="21" spans="1:12" x14ac:dyDescent="0.3">
      <c r="A21">
        <v>8.5</v>
      </c>
      <c r="B21">
        <f t="shared" si="0"/>
        <v>0.14835298641951802</v>
      </c>
      <c r="C21">
        <v>0.78349999999999997</v>
      </c>
      <c r="D21">
        <v>5.289E-2</v>
      </c>
      <c r="E21">
        <v>0.02</v>
      </c>
      <c r="F21">
        <f>C21/(1+2/'Données géométriques'!$B$6)</f>
        <v>0.60329500000000003</v>
      </c>
      <c r="G21">
        <f>F21^2/(PI()*'Données géométriques'!$B$6)</f>
        <v>1.7302812213857991E-2</v>
      </c>
      <c r="H21">
        <f t="shared" si="2"/>
        <v>7.0192812213857994E-2</v>
      </c>
      <c r="I21">
        <f t="shared" si="4"/>
        <v>0.22444780325241531</v>
      </c>
      <c r="J21">
        <f>XCP_3D('Données géométriques'!$B$9,'Données géométriques'!$B$10,'Données géométriques'!$B$11,'Données géométriques'!$B$12,I21)</f>
        <v>-0.26692622223158707</v>
      </c>
      <c r="K21">
        <f>ZCP_3D('Données géométriques'!$B$9,'Données géométriques'!$B$10,'Données géométriques'!$B$11)</f>
        <v>-0.37564783319086603</v>
      </c>
      <c r="L21">
        <f t="shared" si="3"/>
        <v>2.1710336324999999E-2</v>
      </c>
    </row>
    <row r="22" spans="1:12" x14ac:dyDescent="0.3">
      <c r="A22">
        <v>9</v>
      </c>
      <c r="B22">
        <f t="shared" si="0"/>
        <v>0.15707963267948966</v>
      </c>
      <c r="C22">
        <v>0.80069999999999997</v>
      </c>
      <c r="D22">
        <v>5.8459999999999998E-2</v>
      </c>
      <c r="E22">
        <v>2.1899999999999999E-2</v>
      </c>
      <c r="F22">
        <f>C22/(1+2/'Données géométriques'!$B$6)</f>
        <v>0.61653899999999995</v>
      </c>
      <c r="G22">
        <f>F22^2/(PI()*'Données géométriques'!$B$6)</f>
        <v>1.8070840382386752E-2</v>
      </c>
      <c r="H22">
        <f t="shared" si="2"/>
        <v>7.653084038238675E-2</v>
      </c>
      <c r="I22">
        <f t="shared" si="4"/>
        <v>0.22262456244266729</v>
      </c>
      <c r="J22">
        <f>XCP_3D('Données géométriques'!$B$9,'Données géométriques'!$B$10,'Données géométriques'!$B$11,'Données géométriques'!$B$12,I22)</f>
        <v>-0.26647139071463399</v>
      </c>
      <c r="K22">
        <f>ZCP_3D('Données géométriques'!$B$9,'Données géométriques'!$B$10,'Données géométriques'!$B$11)</f>
        <v>-0.37564783319086603</v>
      </c>
      <c r="L22">
        <f t="shared" si="3"/>
        <v>2.10511598E-2</v>
      </c>
    </row>
    <row r="23" spans="1:12" x14ac:dyDescent="0.3">
      <c r="A23">
        <v>9.5</v>
      </c>
      <c r="B23">
        <f t="shared" si="0"/>
        <v>0.16580627893946129</v>
      </c>
      <c r="C23">
        <v>0.80130000000000001</v>
      </c>
      <c r="D23">
        <v>6.5530000000000005E-2</v>
      </c>
      <c r="E23">
        <v>2.35E-2</v>
      </c>
      <c r="F23">
        <f>C23/(1+2/'Données géométriques'!$B$6)</f>
        <v>0.61700100000000002</v>
      </c>
      <c r="G23">
        <f>F23^2/(PI()*'Données géométriques'!$B$6)</f>
        <v>1.8097933092799976E-2</v>
      </c>
      <c r="H23">
        <f t="shared" si="2"/>
        <v>8.3627933092799978E-2</v>
      </c>
      <c r="I23">
        <f t="shared" si="4"/>
        <v>0.22066629533396112</v>
      </c>
      <c r="J23">
        <f>XCP_3D('Données géométriques'!$B$9,'Données géométriques'!$B$10,'Données géométriques'!$B$11,'Données géométriques'!$B$12,I23)</f>
        <v>-0.26598287510282542</v>
      </c>
      <c r="K23">
        <f>ZCP_3D('Données géométriques'!$B$9,'Données géométriques'!$B$10,'Données géométriques'!$B$11)</f>
        <v>-0.37564783319086603</v>
      </c>
      <c r="L23">
        <f t="shared" si="3"/>
        <v>2.0308231975E-2</v>
      </c>
    </row>
    <row r="24" spans="1:12" x14ac:dyDescent="0.3">
      <c r="A24">
        <v>10</v>
      </c>
      <c r="B24">
        <f t="shared" si="0"/>
        <v>0.17453292519943295</v>
      </c>
      <c r="C24">
        <v>0.77980000000000005</v>
      </c>
      <c r="D24">
        <v>7.4510000000000007E-2</v>
      </c>
      <c r="E24">
        <v>2.3800000000000002E-2</v>
      </c>
      <c r="F24">
        <f>C24/(1+2/'Données géométriques'!$B$6)</f>
        <v>0.60044600000000004</v>
      </c>
      <c r="G24">
        <f>F24^2/(PI()*'Données géométriques'!$B$6)</f>
        <v>1.7139776501728116E-2</v>
      </c>
      <c r="H24">
        <f t="shared" si="2"/>
        <v>9.164977650172812E-2</v>
      </c>
      <c r="I24">
        <f t="shared" si="4"/>
        <v>0.2195220186143779</v>
      </c>
      <c r="J24">
        <f>XCP_3D('Données géométriques'!$B$9,'Données géométriques'!$B$10,'Données géométriques'!$B$11,'Données géométriques'!$B$12,I24)</f>
        <v>-0.2656974201517297</v>
      </c>
      <c r="K24">
        <f>ZCP_3D('Données géométriques'!$B$9,'Données géométriques'!$B$10,'Données géométriques'!$B$11)</f>
        <v>-0.37564783319086603</v>
      </c>
      <c r="L24">
        <f t="shared" si="3"/>
        <v>1.9476900000000002E-2</v>
      </c>
    </row>
    <row r="25" spans="1:12" x14ac:dyDescent="0.3">
      <c r="A25">
        <v>10.5</v>
      </c>
      <c r="B25">
        <f t="shared" si="0"/>
        <v>0.18325957145940461</v>
      </c>
      <c r="C25">
        <v>0.73060000000000003</v>
      </c>
      <c r="D25">
        <v>8.7669999999999998E-2</v>
      </c>
      <c r="E25">
        <v>1.9099999999999999E-2</v>
      </c>
      <c r="F25">
        <f>C25/(1+2/'Données géométriques'!$B$6)</f>
        <v>0.56256200000000001</v>
      </c>
      <c r="G25">
        <f>F25^2/(PI()*'Données géométriques'!$B$6)</f>
        <v>1.504520219194899E-2</v>
      </c>
      <c r="H25">
        <f t="shared" si="2"/>
        <v>0.10271520219194899</v>
      </c>
      <c r="I25">
        <f t="shared" si="4"/>
        <v>0.22399034268728357</v>
      </c>
      <c r="J25">
        <f>XCP_3D('Données géométriques'!$B$9,'Données géométriques'!$B$10,'Données géométriques'!$B$11,'Données géométriques'!$B$12,I25)</f>
        <v>-0.26681210264756211</v>
      </c>
      <c r="K25">
        <f>ZCP_3D('Données géométriques'!$B$9,'Données géométriques'!$B$10,'Données géométriques'!$B$11)</f>
        <v>-0.37564783319086603</v>
      </c>
      <c r="L25">
        <f t="shared" si="3"/>
        <v>1.8552511024999999E-2</v>
      </c>
    </row>
    <row r="26" spans="1:12" x14ac:dyDescent="0.3">
      <c r="A26">
        <v>11</v>
      </c>
      <c r="B26">
        <f t="shared" si="0"/>
        <v>0.19198621771937624</v>
      </c>
      <c r="C26">
        <v>0.69330000000000003</v>
      </c>
      <c r="D26">
        <v>0.10274999999999999</v>
      </c>
      <c r="E26">
        <v>1.06E-2</v>
      </c>
      <c r="F26">
        <f>C26/(1+2/'Données géométriques'!$B$6)</f>
        <v>0.53384100000000001</v>
      </c>
      <c r="G26">
        <f>F26^2/(PI()*'Données géométriques'!$B$6)</f>
        <v>1.3548184218238741E-2</v>
      </c>
      <c r="H26">
        <f t="shared" si="2"/>
        <v>0.11629818421823873</v>
      </c>
      <c r="I26">
        <f t="shared" si="4"/>
        <v>0.23486077087735896</v>
      </c>
      <c r="J26">
        <f>XCP_3D('Données géométriques'!$B$9,'Données géométriques'!$B$10,'Données géométriques'!$B$11,'Données géométriques'!$B$12,I26)</f>
        <v>-0.26952387462917371</v>
      </c>
      <c r="K26">
        <f>ZCP_3D('Données géométriques'!$B$9,'Données géométriques'!$B$10,'Données géométriques'!$B$11)</f>
        <v>-0.37564783319086603</v>
      </c>
      <c r="L26">
        <f t="shared" si="3"/>
        <v>1.7530412199999998E-2</v>
      </c>
    </row>
    <row r="27" spans="1:12" x14ac:dyDescent="0.3">
      <c r="A27">
        <v>11.5</v>
      </c>
      <c r="B27">
        <f t="shared" si="0"/>
        <v>0.20071286397934787</v>
      </c>
      <c r="C27">
        <v>0.69599999999999995</v>
      </c>
      <c r="D27">
        <v>0.11118</v>
      </c>
      <c r="E27">
        <v>8.3999999999999995E-3</v>
      </c>
      <c r="F27">
        <f>C27/(1+2/'Données géométriques'!$B$6)</f>
        <v>0.53591999999999995</v>
      </c>
      <c r="G27">
        <f>F27^2/(PI()*'Données géométriques'!$B$6)</f>
        <v>1.3653914281657509E-2</v>
      </c>
      <c r="H27">
        <f t="shared" si="2"/>
        <v>0.12483391428165751</v>
      </c>
      <c r="I27">
        <f t="shared" si="4"/>
        <v>0.23807145744619915</v>
      </c>
      <c r="J27">
        <f>XCP_3D('Données géométriques'!$B$9,'Données géométriques'!$B$10,'Données géométriques'!$B$11,'Données géométriques'!$B$12,I27)</f>
        <v>-0.27032482282798276</v>
      </c>
      <c r="K27">
        <f>ZCP_3D('Données géométriques'!$B$9,'Données géométriques'!$B$10,'Données géométriques'!$B$11)</f>
        <v>-0.37564783319086603</v>
      </c>
      <c r="L27">
        <f t="shared" si="3"/>
        <v>1.6405950674999999E-2</v>
      </c>
    </row>
    <row r="28" spans="1:12" x14ac:dyDescent="0.3">
      <c r="A28">
        <v>12</v>
      </c>
      <c r="B28">
        <f t="shared" si="0"/>
        <v>0.20943951023931953</v>
      </c>
      <c r="C28">
        <v>0.67269999999999996</v>
      </c>
      <c r="D28">
        <v>0.12501000000000001</v>
      </c>
      <c r="E28">
        <v>6.9999999999999999E-4</v>
      </c>
      <c r="F28">
        <f>C28/(1+2/'Données géométriques'!$B$6)</f>
        <v>0.51797899999999997</v>
      </c>
      <c r="G28">
        <f>F28^2/(PI()*'Données géométriques'!$B$6)</f>
        <v>1.2755031873311798E-2</v>
      </c>
      <c r="H28">
        <f t="shared" si="2"/>
        <v>0.13776503187331179</v>
      </c>
      <c r="I28">
        <f t="shared" si="4"/>
        <v>0.24897659461875826</v>
      </c>
      <c r="J28">
        <f>XCP_3D('Données géométriques'!$B$9,'Données géométriques'!$B$10,'Données géométriques'!$B$11,'Données géométriques'!$B$12,I28)</f>
        <v>-0.27304525342401059</v>
      </c>
      <c r="K28">
        <f>ZCP_3D('Données géométriques'!$B$9,'Données géométriques'!$B$10,'Données géométriques'!$B$11)</f>
        <v>-0.37564783319086603</v>
      </c>
      <c r="L28">
        <f t="shared" si="3"/>
        <v>1.5174473599999998E-2</v>
      </c>
    </row>
    <row r="29" spans="1:12" x14ac:dyDescent="0.3">
      <c r="A29">
        <v>12.5</v>
      </c>
      <c r="B29">
        <f t="shared" si="0"/>
        <v>0.21816615649929119</v>
      </c>
      <c r="C29">
        <v>0.66239999999999999</v>
      </c>
      <c r="D29">
        <v>0.13603000000000001</v>
      </c>
      <c r="E29">
        <v>-4.7000000000000002E-3</v>
      </c>
      <c r="F29">
        <f>C29/(1+2/'Données géométriques'!$B$6)</f>
        <v>0.51004799999999995</v>
      </c>
      <c r="G29">
        <f>F29^2/(PI()*'Données géométriques'!$B$6)</f>
        <v>1.2367426567414297E-2</v>
      </c>
      <c r="H29">
        <f t="shared" si="2"/>
        <v>0.14839742656741431</v>
      </c>
      <c r="I29">
        <f t="shared" si="4"/>
        <v>0.25695121534929116</v>
      </c>
      <c r="J29">
        <f>XCP_3D('Données géométriques'!$B$9,'Données géométriques'!$B$10,'Données géométriques'!$B$11,'Données géométriques'!$B$12,I29)</f>
        <v>-0.27503462796224598</v>
      </c>
      <c r="K29">
        <f>ZCP_3D('Données géométriques'!$B$9,'Données géométriques'!$B$10,'Données géométriques'!$B$11)</f>
        <v>-0.37564783319086603</v>
      </c>
      <c r="L29">
        <f t="shared" si="3"/>
        <v>1.3831328124999999E-2</v>
      </c>
    </row>
    <row r="30" spans="1:12" x14ac:dyDescent="0.3">
      <c r="A30">
        <v>13</v>
      </c>
      <c r="B30">
        <f t="shared" si="0"/>
        <v>0.22689280275926285</v>
      </c>
      <c r="C30">
        <v>0.6623</v>
      </c>
      <c r="D30">
        <v>0.14537</v>
      </c>
      <c r="E30">
        <v>-8.8000000000000005E-3</v>
      </c>
      <c r="F30">
        <f>C30/(1+2/'Données géométriques'!$B$6)</f>
        <v>0.50997099999999995</v>
      </c>
      <c r="G30">
        <f>F30^2/(PI()*'Données géométriques'!$B$6)</f>
        <v>1.2363692722898653E-2</v>
      </c>
      <c r="H30">
        <f t="shared" si="2"/>
        <v>0.15773369272289867</v>
      </c>
      <c r="I30">
        <f t="shared" si="4"/>
        <v>0.26297884511252467</v>
      </c>
      <c r="J30">
        <f>XCP_3D('Données géométriques'!$B$9,'Données géométriques'!$B$10,'Données géométriques'!$B$11,'Données géométriques'!$B$12,I30)</f>
        <v>-0.27653829987117795</v>
      </c>
      <c r="K30">
        <f>ZCP_3D('Données géométriques'!$B$9,'Données géométriques'!$B$10,'Données géométriques'!$B$11)</f>
        <v>-0.37564783319086603</v>
      </c>
      <c r="L30">
        <f t="shared" si="3"/>
        <v>1.23718614E-2</v>
      </c>
    </row>
    <row r="31" spans="1:12" x14ac:dyDescent="0.3">
      <c r="A31">
        <v>13.5</v>
      </c>
      <c r="B31">
        <f t="shared" si="0"/>
        <v>0.23561944901923448</v>
      </c>
      <c r="C31">
        <v>0.66969999999999996</v>
      </c>
      <c r="D31">
        <v>0.15379999999999999</v>
      </c>
      <c r="E31">
        <v>-1.18E-2</v>
      </c>
      <c r="F31">
        <f>C31/(1+2/'Données géométriques'!$B$6)</f>
        <v>0.51566899999999993</v>
      </c>
      <c r="G31">
        <f>F31^2/(PI()*'Données géométriques'!$B$6)</f>
        <v>1.2641519843166029E-2</v>
      </c>
      <c r="H31">
        <f t="shared" si="2"/>
        <v>0.16644151984316602</v>
      </c>
      <c r="I31">
        <f t="shared" si="4"/>
        <v>0.26717362747672491</v>
      </c>
      <c r="J31">
        <f>XCP_3D('Données géométriques'!$B$9,'Données géométriques'!$B$10,'Données géométriques'!$B$11,'Données géométriques'!$B$12,I31)</f>
        <v>-0.27758474377249354</v>
      </c>
      <c r="K31">
        <f>ZCP_3D('Données géométriques'!$B$9,'Données géométriques'!$B$10,'Données géométriques'!$B$11)</f>
        <v>-0.37564783319086603</v>
      </c>
      <c r="L31">
        <f t="shared" si="3"/>
        <v>1.0791420575E-2</v>
      </c>
    </row>
    <row r="32" spans="1:12" x14ac:dyDescent="0.3">
      <c r="A32">
        <v>14</v>
      </c>
      <c r="B32">
        <f t="shared" si="0"/>
        <v>0.24434609527920614</v>
      </c>
      <c r="C32">
        <v>0.67689999999999995</v>
      </c>
      <c r="D32">
        <v>0.16225000000000001</v>
      </c>
      <c r="E32">
        <v>-1.52E-2</v>
      </c>
      <c r="F32">
        <f>C32/(1+2/'Données géométriques'!$B$6)</f>
        <v>0.52121299999999993</v>
      </c>
      <c r="G32">
        <f>F32^2/(PI()*'Données géométriques'!$B$6)</f>
        <v>1.2914801070450213E-2</v>
      </c>
      <c r="H32">
        <f t="shared" si="2"/>
        <v>0.17516480107045021</v>
      </c>
      <c r="I32">
        <f t="shared" si="4"/>
        <v>0.27183766839480117</v>
      </c>
      <c r="J32">
        <f>XCP_3D('Données géométriques'!$B$9,'Données géométriques'!$B$10,'Données géométriques'!$B$11,'Données géométriques'!$B$12,I32)</f>
        <v>-0.27874825042205592</v>
      </c>
      <c r="K32">
        <f>ZCP_3D('Données géométriques'!$B$9,'Données géométriques'!$B$10,'Données géométriques'!$B$11)</f>
        <v>-0.37564783319086603</v>
      </c>
      <c r="L32">
        <f t="shared" si="3"/>
        <v>9.0853527999999965E-3</v>
      </c>
    </row>
    <row r="33" spans="1:12" x14ac:dyDescent="0.3">
      <c r="A33">
        <v>14.5</v>
      </c>
      <c r="B33">
        <f t="shared" si="0"/>
        <v>0.2530727415391778</v>
      </c>
      <c r="C33">
        <v>0.68089999999999995</v>
      </c>
      <c r="D33">
        <v>0.17113999999999999</v>
      </c>
      <c r="E33">
        <v>-1.9699999999999999E-2</v>
      </c>
      <c r="F33">
        <f>C33/(1+2/'Données géométriques'!$B$6)</f>
        <v>0.52429300000000001</v>
      </c>
      <c r="G33">
        <f>F33^2/(PI()*'Données géométriques'!$B$6)</f>
        <v>1.3067886722547876E-2</v>
      </c>
      <c r="H33">
        <f t="shared" si="2"/>
        <v>0.18420788672254787</v>
      </c>
      <c r="I33">
        <f t="shared" si="4"/>
        <v>0.27806020931477687</v>
      </c>
      <c r="J33">
        <f>XCP_3D('Données géométriques'!$B$9,'Données géométriques'!$B$10,'Données géométriques'!$B$11,'Données géométriques'!$B$12,I33)</f>
        <v>-0.28030054549509159</v>
      </c>
      <c r="K33">
        <f>ZCP_3D('Données géométriques'!$B$9,'Données géométriques'!$B$10,'Données géométriques'!$B$11)</f>
        <v>-0.37564783319086603</v>
      </c>
      <c r="L33">
        <f t="shared" si="3"/>
        <v>7.2490052249999971E-3</v>
      </c>
    </row>
    <row r="34" spans="1:12" x14ac:dyDescent="0.3">
      <c r="A34">
        <v>15</v>
      </c>
      <c r="B34">
        <f t="shared" si="0"/>
        <v>0.26179938779914941</v>
      </c>
      <c r="C34">
        <v>0.68679999999999997</v>
      </c>
      <c r="D34">
        <v>0.17937</v>
      </c>
      <c r="E34">
        <v>-2.4E-2</v>
      </c>
      <c r="F34">
        <f>C34/(1+2/'Données géométriques'!$B$6)</f>
        <v>0.52883599999999997</v>
      </c>
      <c r="G34">
        <f>F34^2/(PI()*'Données géométriques'!$B$6)</f>
        <v>1.329533442353594E-2</v>
      </c>
      <c r="H34">
        <f t="shared" si="2"/>
        <v>0.19266533442353595</v>
      </c>
      <c r="I34">
        <f t="shared" si="4"/>
        <v>0.28381128259818628</v>
      </c>
      <c r="J34">
        <f>XCP_3D('Données géométriques'!$B$9,'Données géométriques'!$B$10,'Données géométriques'!$B$11,'Données géométriques'!$B$12,I34)</f>
        <v>-0.28173522673500806</v>
      </c>
      <c r="K34">
        <f>ZCP_3D('Données géométriques'!$B$9,'Données géométriques'!$B$10,'Données géométriques'!$B$11)</f>
        <v>-0.37564783319086603</v>
      </c>
      <c r="L34">
        <f t="shared" si="3"/>
        <v>5.2777249999999987E-3</v>
      </c>
    </row>
    <row r="35" spans="1:12" x14ac:dyDescent="0.3">
      <c r="A35">
        <v>15.5</v>
      </c>
      <c r="B35">
        <f t="shared" si="0"/>
        <v>0.27052603405912107</v>
      </c>
      <c r="C35">
        <v>0.69450000000000001</v>
      </c>
      <c r="D35">
        <v>0.18704999999999999</v>
      </c>
      <c r="E35">
        <v>-2.81E-2</v>
      </c>
      <c r="F35">
        <f>C35/(1+2/'Données géométriques'!$B$6)</f>
        <v>0.53476500000000005</v>
      </c>
      <c r="G35">
        <f>F35^2/(PI()*'Données géométriques'!$B$6)</f>
        <v>1.3595124622123216E-2</v>
      </c>
      <c r="H35">
        <f t="shared" si="2"/>
        <v>0.20064512462212322</v>
      </c>
      <c r="I35">
        <f t="shared" si="4"/>
        <v>0.28906965350067798</v>
      </c>
      <c r="J35">
        <f>XCP_3D('Données géométriques'!$B$9,'Données géométriques'!$B$10,'Données géométriques'!$B$11,'Données géométriques'!$B$12,I35)</f>
        <v>-0.28304699685417417</v>
      </c>
      <c r="K35">
        <f>ZCP_3D('Données géométriques'!$B$9,'Données géométriques'!$B$10,'Données géométriques'!$B$11)</f>
        <v>-0.37564783319086603</v>
      </c>
      <c r="L35">
        <f t="shared" si="3"/>
        <v>3.1668592749999986E-3</v>
      </c>
    </row>
    <row r="36" spans="1:12" x14ac:dyDescent="0.3">
      <c r="A36">
        <v>16</v>
      </c>
      <c r="B36">
        <f t="shared" si="0"/>
        <v>0.27925268031909273</v>
      </c>
      <c r="C36">
        <v>0.70609999999999995</v>
      </c>
      <c r="D36">
        <v>0.19489999999999999</v>
      </c>
      <c r="E36">
        <v>-3.2000000000000001E-2</v>
      </c>
      <c r="F36">
        <f>C36/(1+2/'Données géométriques'!$B$6)</f>
        <v>0.54369699999999999</v>
      </c>
      <c r="G36">
        <f>F36^2/(PI()*'Données géométriques'!$B$6)</f>
        <v>1.4053066967498921E-2</v>
      </c>
      <c r="H36">
        <f t="shared" si="2"/>
        <v>0.20895306696749891</v>
      </c>
      <c r="I36">
        <f t="shared" si="4"/>
        <v>0.29368787934207857</v>
      </c>
      <c r="J36">
        <f>XCP_3D('Données géométriques'!$B$9,'Données géométriques'!$B$10,'Données géométriques'!$B$11,'Données géométriques'!$B$12,I36)</f>
        <v>-0.28419907432734232</v>
      </c>
      <c r="K36">
        <f>ZCP_3D('Données géométriques'!$B$9,'Données géométriques'!$B$10,'Données géométriques'!$B$11)</f>
        <v>-0.37564783319086603</v>
      </c>
      <c r="L36">
        <f t="shared" si="3"/>
        <v>9.1175519999999951E-4</v>
      </c>
    </row>
    <row r="37" spans="1:12" x14ac:dyDescent="0.3">
      <c r="A37">
        <v>16.5</v>
      </c>
      <c r="B37">
        <f t="shared" si="0"/>
        <v>0.28797932657906439</v>
      </c>
      <c r="C37">
        <v>0.71930000000000005</v>
      </c>
      <c r="D37">
        <v>0.20265</v>
      </c>
      <c r="E37">
        <v>-3.5799999999999998E-2</v>
      </c>
      <c r="F37">
        <f>C37/(1+2/'Données géométriques'!$B$6)</f>
        <v>0.55386100000000005</v>
      </c>
      <c r="G37">
        <f>F37^2/(PI()*'Données géométriques'!$B$6)</f>
        <v>1.4583400854706169E-2</v>
      </c>
      <c r="H37">
        <f t="shared" si="2"/>
        <v>0.21723340085470616</v>
      </c>
      <c r="I37">
        <f t="shared" si="4"/>
        <v>0.29790997774739902</v>
      </c>
      <c r="J37">
        <f>XCP_3D('Données géométriques'!$B$9,'Données géométriques'!$B$10,'Données géométriques'!$B$11,'Données géométriques'!$B$12,I37)</f>
        <v>-0.28525233257614246</v>
      </c>
      <c r="K37">
        <f>ZCP_3D('Données géométriques'!$B$9,'Données géométriques'!$B$10,'Données géométriques'!$B$11)</f>
        <v>-0.37564783319086603</v>
      </c>
      <c r="L37">
        <f t="shared" si="3"/>
        <v>-1.4922400750000014E-3</v>
      </c>
    </row>
    <row r="38" spans="1:12" x14ac:dyDescent="0.3">
      <c r="A38">
        <v>17</v>
      </c>
      <c r="B38">
        <f t="shared" si="0"/>
        <v>0.29670597283903605</v>
      </c>
      <c r="C38">
        <v>0.73660000000000003</v>
      </c>
      <c r="D38">
        <v>0.21090999999999999</v>
      </c>
      <c r="E38">
        <v>-3.9E-2</v>
      </c>
      <c r="F38">
        <f>C38/(1+2/'Données géométriques'!$B$6)</f>
        <v>0.56718200000000007</v>
      </c>
      <c r="G38">
        <f>F38^2/(PI()*'Données géométriques'!$B$6)</f>
        <v>1.52933321839482E-2</v>
      </c>
      <c r="H38">
        <f t="shared" si="2"/>
        <v>0.2262033321839482</v>
      </c>
      <c r="I38">
        <f t="shared" si="4"/>
        <v>0.3009086409536198</v>
      </c>
      <c r="J38">
        <f>XCP_3D('Données géométriques'!$B$9,'Données géométriques'!$B$10,'Données géométriques'!$B$11,'Données géométriques'!$B$12,I38)</f>
        <v>-0.28600038874492562</v>
      </c>
      <c r="K38">
        <f>ZCP_3D('Données géométriques'!$B$9,'Données géométriques'!$B$10,'Données géométriques'!$B$11)</f>
        <v>-0.37564783319086603</v>
      </c>
      <c r="L38">
        <f t="shared" si="3"/>
        <v>-4.0497794000000026E-3</v>
      </c>
    </row>
    <row r="39" spans="1:12" x14ac:dyDescent="0.3">
      <c r="A39">
        <v>17.5</v>
      </c>
      <c r="B39">
        <f t="shared" si="0"/>
        <v>0.30543261909900765</v>
      </c>
      <c r="C39">
        <v>0.75090000000000001</v>
      </c>
      <c r="D39">
        <v>0.22525000000000001</v>
      </c>
      <c r="E39">
        <v>-4.6800000000000001E-2</v>
      </c>
      <c r="F39">
        <f>C39/(1+2/'Données géométriques'!$B$6)</f>
        <v>0.57819300000000007</v>
      </c>
      <c r="G39">
        <f>F39^2/(PI()*'Données géométriques'!$B$6)</f>
        <v>1.589289087764062E-2</v>
      </c>
      <c r="H39">
        <f t="shared" si="2"/>
        <v>0.24114289087764063</v>
      </c>
      <c r="I39">
        <f t="shared" si="4"/>
        <v>0.30970301274744377</v>
      </c>
      <c r="J39">
        <f>XCP_3D('Données géométriques'!$B$9,'Données géométriques'!$B$10,'Données géométriques'!$B$11,'Données géométriques'!$B$12,I39)</f>
        <v>-0.28819426102018408</v>
      </c>
      <c r="K39">
        <f>ZCP_3D('Données géométriques'!$B$9,'Données géométriques'!$B$10,'Données géométriques'!$B$11)</f>
        <v>-0.37564783319086603</v>
      </c>
      <c r="L39">
        <f t="shared" si="3"/>
        <v>-6.7655156249999994E-3</v>
      </c>
    </row>
    <row r="40" spans="1:12" x14ac:dyDescent="0.3">
      <c r="A40">
        <v>18</v>
      </c>
      <c r="B40">
        <f t="shared" si="0"/>
        <v>0.31415926535897931</v>
      </c>
      <c r="C40">
        <v>0.76539999999999997</v>
      </c>
      <c r="D40">
        <v>0.23236000000000001</v>
      </c>
      <c r="E40">
        <v>-5.0700000000000002E-2</v>
      </c>
      <c r="F40">
        <f>C40/(1+2/'Données géométriques'!$B$6)</f>
        <v>0.58935799999999994</v>
      </c>
      <c r="G40">
        <f>F40^2/(PI()*'Données géométriques'!$B$6)</f>
        <v>1.6512605623368502E-2</v>
      </c>
      <c r="H40">
        <f t="shared" si="2"/>
        <v>0.24887260562336852</v>
      </c>
      <c r="I40">
        <f t="shared" si="4"/>
        <v>0.3133954572080444</v>
      </c>
      <c r="J40">
        <f>XCP_3D('Données géométriques'!$B$9,'Données géométriques'!$B$10,'Données géométriques'!$B$11,'Données géométriques'!$B$12,I40)</f>
        <v>-0.28911539009227183</v>
      </c>
      <c r="K40">
        <f>ZCP_3D('Données géométriques'!$B$9,'Données géométriques'!$B$10,'Données géométriques'!$B$11)</f>
        <v>-0.37564783319086603</v>
      </c>
      <c r="L40">
        <f t="shared" si="3"/>
        <v>-9.6441016000000015E-3</v>
      </c>
    </row>
    <row r="41" spans="1:12" x14ac:dyDescent="0.3">
      <c r="A41">
        <v>18.5</v>
      </c>
      <c r="B41">
        <f t="shared" si="0"/>
        <v>0.32288591161895097</v>
      </c>
      <c r="C41">
        <v>0.77510000000000001</v>
      </c>
      <c r="D41">
        <v>0.23705000000000001</v>
      </c>
      <c r="E41">
        <v>-5.5399999999999998E-2</v>
      </c>
      <c r="F41">
        <f>C41/(1+2/'Données géométriques'!$B$6)</f>
        <v>0.596827</v>
      </c>
      <c r="G41">
        <f>F41^2/(PI()*'Données géométriques'!$B$6)</f>
        <v>1.6933789880337034E-2</v>
      </c>
      <c r="H41">
        <f t="shared" si="2"/>
        <v>0.25398378988033704</v>
      </c>
      <c r="I41">
        <f t="shared" si="4"/>
        <v>0.31837288410124492</v>
      </c>
      <c r="J41">
        <f>XCP_3D('Données géométriques'!$B$9,'Données géométriques'!$B$10,'Données géométriques'!$B$11,'Données géométriques'!$B$12,I41)</f>
        <v>-0.29035707501521096</v>
      </c>
      <c r="K41">
        <f>ZCP_3D('Données géométriques'!$B$9,'Données géométriques'!$B$10,'Données géométriques'!$B$11)</f>
        <v>-0.37564783319086603</v>
      </c>
      <c r="L41">
        <f t="shared" si="3"/>
        <v>-1.2690190175000003E-2</v>
      </c>
    </row>
    <row r="42" spans="1:12" x14ac:dyDescent="0.3">
      <c r="A42">
        <v>19</v>
      </c>
      <c r="B42">
        <f t="shared" si="0"/>
        <v>0.33161255787892258</v>
      </c>
      <c r="C42">
        <v>0.78610000000000002</v>
      </c>
      <c r="D42">
        <v>0.24154999999999999</v>
      </c>
      <c r="E42">
        <v>-0.06</v>
      </c>
      <c r="F42">
        <f>C42/(1+2/'Données géométriques'!$B$6)</f>
        <v>0.60529699999999997</v>
      </c>
      <c r="G42">
        <f>F42^2/(PI()*'Données géométriques'!$B$6)</f>
        <v>1.7417839541664815E-2</v>
      </c>
      <c r="H42">
        <f t="shared" si="2"/>
        <v>0.2589678395416648</v>
      </c>
      <c r="I42">
        <f t="shared" si="4"/>
        <v>0.32300041461910967</v>
      </c>
      <c r="J42">
        <f>XCP_3D('Données géométriques'!$B$9,'Données géométriques'!$B$10,'Données géométriques'!$B$11,'Données géométriques'!$B$12,I42)</f>
        <v>-0.29151147366289759</v>
      </c>
      <c r="K42">
        <f>ZCP_3D('Données géométriques'!$B$9,'Données géométriques'!$B$10,'Données géométriques'!$B$11)</f>
        <v>-0.37564783319086603</v>
      </c>
      <c r="L42">
        <f t="shared" si="3"/>
        <v>-1.5908434200000002E-2</v>
      </c>
    </row>
    <row r="43" spans="1:12" x14ac:dyDescent="0.3">
      <c r="A43">
        <v>19.5</v>
      </c>
      <c r="B43">
        <f t="shared" si="0"/>
        <v>0.34033920413889424</v>
      </c>
      <c r="C43">
        <v>0.80349999999999999</v>
      </c>
      <c r="D43">
        <v>0.24820999999999999</v>
      </c>
      <c r="E43">
        <v>-6.3500000000000001E-2</v>
      </c>
      <c r="F43">
        <f>C43/(1+2/'Données géométriques'!$B$6)</f>
        <v>0.61869499999999999</v>
      </c>
      <c r="G43">
        <f>F43^2/(PI()*'Données géométriques'!$B$6)</f>
        <v>1.8197446658838767E-2</v>
      </c>
      <c r="H43">
        <f t="shared" si="2"/>
        <v>0.26640744665883875</v>
      </c>
      <c r="I43">
        <f t="shared" si="4"/>
        <v>0.32557124974527507</v>
      </c>
      <c r="J43">
        <f>XCP_3D('Données géométriques'!$B$9,'Données géométriques'!$B$10,'Données géométriques'!$B$11,'Données géométriques'!$B$12,I43)</f>
        <v>-0.29215280246269992</v>
      </c>
      <c r="K43">
        <f>ZCP_3D('Données géométriques'!$B$9,'Données géométriques'!$B$10,'Données géométriques'!$B$11)</f>
        <v>-0.37564783319086603</v>
      </c>
      <c r="L43">
        <f t="shared" si="3"/>
        <v>-1.9303486525E-2</v>
      </c>
    </row>
    <row r="44" spans="1:12" x14ac:dyDescent="0.3">
      <c r="A44">
        <v>20</v>
      </c>
      <c r="B44">
        <f t="shared" si="0"/>
        <v>0.3490658503988659</v>
      </c>
      <c r="C44">
        <v>0.82469999999999999</v>
      </c>
      <c r="D44">
        <v>0.25749</v>
      </c>
      <c r="E44">
        <v>-6.6400000000000001E-2</v>
      </c>
      <c r="F44">
        <f>C44/(1+2/'Données géométriques'!$B$6)</f>
        <v>0.635019</v>
      </c>
      <c r="G44">
        <f>F44^2/(PI()*'Données géométriques'!$B$6)</f>
        <v>1.9170378247696216E-2</v>
      </c>
      <c r="H44">
        <f t="shared" si="2"/>
        <v>0.27666037824769624</v>
      </c>
      <c r="I44">
        <f t="shared" si="4"/>
        <v>0.32693811594787525</v>
      </c>
      <c r="J44">
        <f>XCP_3D('Données géométriques'!$B$9,'Données géométriques'!$B$10,'Données géométriques'!$B$11,'Données géométriques'!$B$12,I44)</f>
        <v>-0.29249378530219794</v>
      </c>
      <c r="K44">
        <f>ZCP_3D('Données géométriques'!$B$9,'Données géométriques'!$B$10,'Données géométriques'!$B$11)</f>
        <v>-0.37564783319086603</v>
      </c>
      <c r="L44">
        <f t="shared" si="3"/>
        <v>-2.2879999999999998E-2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51CA4-7620-4268-9F96-F91EA7AFF5F6}">
  <sheetPr codeName="Feuil2"/>
  <dimension ref="A1:L42"/>
  <sheetViews>
    <sheetView workbookViewId="0">
      <selection activeCell="L4" sqref="L4"/>
    </sheetView>
  </sheetViews>
  <sheetFormatPr baseColWidth="10" defaultRowHeight="14.4" x14ac:dyDescent="0.3"/>
  <cols>
    <col min="10" max="10" width="14.5546875" bestFit="1" customWidth="1"/>
    <col min="11" max="11" width="14.44140625" bestFit="1" customWidth="1"/>
  </cols>
  <sheetData>
    <row r="1" spans="1:12" x14ac:dyDescent="0.3">
      <c r="A1">
        <v>0.5</v>
      </c>
      <c r="C1" s="2">
        <f>A1*'Données géométriques'!B2/'Données géométriques'!G2</f>
        <v>114200.59582919563</v>
      </c>
    </row>
    <row r="2" spans="1:1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27</v>
      </c>
      <c r="K2" t="s">
        <v>28</v>
      </c>
      <c r="L2" t="s">
        <v>12</v>
      </c>
    </row>
    <row r="3" spans="1:12" x14ac:dyDescent="0.3">
      <c r="A3" t="s">
        <v>9</v>
      </c>
      <c r="B3" t="s">
        <v>9</v>
      </c>
      <c r="C3" t="s">
        <v>10</v>
      </c>
      <c r="D3" t="s">
        <v>11</v>
      </c>
      <c r="E3" t="s">
        <v>10</v>
      </c>
      <c r="F3" t="s">
        <v>9</v>
      </c>
      <c r="G3" t="s">
        <v>10</v>
      </c>
      <c r="H3" t="s">
        <v>11</v>
      </c>
      <c r="I3" t="s">
        <v>11</v>
      </c>
      <c r="J3" t="s">
        <v>11</v>
      </c>
      <c r="K3" t="s">
        <v>11</v>
      </c>
      <c r="L3" t="s">
        <v>11</v>
      </c>
    </row>
    <row r="4" spans="1:12" x14ac:dyDescent="0.3">
      <c r="A4">
        <v>0</v>
      </c>
      <c r="B4">
        <f>A4*PI()/180</f>
        <v>0</v>
      </c>
      <c r="C4">
        <v>0</v>
      </c>
      <c r="D4">
        <v>1.2189999999999999E-2</v>
      </c>
      <c r="E4">
        <v>0</v>
      </c>
      <c r="F4">
        <f>C4/(1+2/'Données géométriques'!$B$6)</f>
        <v>0</v>
      </c>
      <c r="G4">
        <f>F4^2/(PI()*'Données géométriques'!$B$6)</f>
        <v>0</v>
      </c>
      <c r="H4">
        <f>D4+G4</f>
        <v>1.2189999999999999E-2</v>
      </c>
      <c r="I4">
        <v>0</v>
      </c>
      <c r="J4">
        <f>XCP_3D('Données géométriques'!$B$9,'Données géométriques'!$B$10,'Données géométriques'!$B$11,'Données géométriques'!$B$12,I4)</f>
        <v>-0.21093475128380432</v>
      </c>
      <c r="K4">
        <f>ZCP_3D('Données géométriques'!$B$9,'Données géométriques'!$B$10,'Données géométriques'!$B$11)</f>
        <v>-0.37564783319086603</v>
      </c>
      <c r="L4">
        <f>'0.1kts'!L4</f>
        <v>2.4610999999999997E-2</v>
      </c>
    </row>
    <row r="5" spans="1:12" x14ac:dyDescent="0.3">
      <c r="A5">
        <v>0.5</v>
      </c>
      <c r="B5">
        <f t="shared" ref="B5:B42" si="0">A5*PI()/180</f>
        <v>8.7266462599716477E-3</v>
      </c>
      <c r="C5">
        <v>6.3E-2</v>
      </c>
      <c r="D5">
        <v>1.2239999999999999E-2</v>
      </c>
      <c r="E5">
        <v>-1E-4</v>
      </c>
      <c r="F5">
        <f>C5/(1+2/'Données géométriques'!$B$6)</f>
        <v>4.8509999999999998E-2</v>
      </c>
      <c r="G5">
        <f>F5^2/(PI()*'Données géométriques'!$B$6)</f>
        <v>1.1187158513322983E-4</v>
      </c>
      <c r="H5">
        <f t="shared" ref="H5:H42" si="1">D5+G5</f>
        <v>1.2351871585133229E-2</v>
      </c>
      <c r="I5">
        <f>0.25-E5/(C5*COS(B5)+D5*SIN(B5))</f>
        <v>0.25158467520327704</v>
      </c>
      <c r="J5">
        <f>XCP_3D('Données géométriques'!$B$9,'Données géométriques'!$B$10,'Données géométriques'!$B$11,'Données géométriques'!$B$12,I5)</f>
        <v>-0.27369587359565822</v>
      </c>
      <c r="K5">
        <f>ZCP_3D('Données géométriques'!$B$9,'Données géométriques'!$B$10,'Données géométriques'!$B$11)</f>
        <v>-0.37564783319086603</v>
      </c>
      <c r="L5">
        <f>'0.1kts'!L5</f>
        <v>2.4663709524999997E-2</v>
      </c>
    </row>
    <row r="6" spans="1:12" x14ac:dyDescent="0.3">
      <c r="A6">
        <v>1</v>
      </c>
      <c r="B6">
        <f t="shared" si="0"/>
        <v>1.7453292519943295E-2</v>
      </c>
      <c r="C6">
        <v>0.12659999999999999</v>
      </c>
      <c r="D6">
        <v>1.2370000000000001E-2</v>
      </c>
      <c r="E6">
        <v>-5.0000000000000001E-4</v>
      </c>
      <c r="F6">
        <f>C6/(1+2/'Données géométriques'!$B$6)</f>
        <v>9.7481999999999999E-2</v>
      </c>
      <c r="G6">
        <f>F6^2/(PI()*'Données géométriques'!$B$6)</f>
        <v>4.5175826228721324E-4</v>
      </c>
      <c r="H6">
        <f t="shared" si="1"/>
        <v>1.2821758262287214E-2</v>
      </c>
      <c r="I6">
        <f t="shared" ref="I6:I42" si="2">0.25-E6/(C6*COS(B6)+D6*SIN(B6))</f>
        <v>0.25394332326226321</v>
      </c>
      <c r="J6">
        <f>XCP_3D('Données géométriques'!$B$9,'Données géométriques'!$B$10,'Données géométriques'!$B$11,'Données géométriques'!$B$12,I6)</f>
        <v>-0.27428426952716939</v>
      </c>
      <c r="K6">
        <f>ZCP_3D('Données géométriques'!$B$9,'Données géométriques'!$B$10,'Données géométriques'!$B$11)</f>
        <v>-0.37564783319086603</v>
      </c>
      <c r="L6">
        <f>'0.1kts'!L6</f>
        <v>2.4711766199999999E-2</v>
      </c>
    </row>
    <row r="7" spans="1:12" x14ac:dyDescent="0.3">
      <c r="A7">
        <v>1.5</v>
      </c>
      <c r="B7">
        <f t="shared" si="0"/>
        <v>2.6179938779914941E-2</v>
      </c>
      <c r="C7">
        <v>0.18890000000000001</v>
      </c>
      <c r="D7">
        <v>1.259E-2</v>
      </c>
      <c r="E7">
        <v>-8.9999999999999998E-4</v>
      </c>
      <c r="F7">
        <f>C7/(1+2/'Données géométriques'!$B$6)</f>
        <v>0.145453</v>
      </c>
      <c r="G7">
        <f>F7^2/(PI()*'Données géométriques'!$B$6)</f>
        <v>1.0057791043945373E-3</v>
      </c>
      <c r="H7">
        <f t="shared" si="1"/>
        <v>1.3595779104394537E-2</v>
      </c>
      <c r="I7">
        <f t="shared" si="2"/>
        <v>0.25475775528268768</v>
      </c>
      <c r="J7">
        <f>XCP_3D('Données géométriques'!$B$9,'Données géométriques'!$B$10,'Données géométriques'!$B$11,'Données géométriques'!$B$12,I7)</f>
        <v>-0.2744874403586488</v>
      </c>
      <c r="K7">
        <f>ZCP_3D('Données géométriques'!$B$9,'Données géométriques'!$B$10,'Données géométriques'!$B$11)</f>
        <v>-0.37564783319086603</v>
      </c>
      <c r="L7">
        <f>'0.1kts'!L7</f>
        <v>2.4750517175E-2</v>
      </c>
    </row>
    <row r="8" spans="1:12" x14ac:dyDescent="0.3">
      <c r="A8">
        <v>2</v>
      </c>
      <c r="B8">
        <f t="shared" si="0"/>
        <v>3.4906585039886591E-2</v>
      </c>
      <c r="C8">
        <v>0.25640000000000002</v>
      </c>
      <c r="D8">
        <v>1.29E-2</v>
      </c>
      <c r="E8">
        <v>-2.5999999999999999E-3</v>
      </c>
      <c r="F8">
        <f>C8/(1+2/'Données géométriques'!$B$6)</f>
        <v>0.19742800000000002</v>
      </c>
      <c r="G8">
        <f>F8^2/(PI()*'Données géométriques'!$B$6)</f>
        <v>1.8529970782011236E-3</v>
      </c>
      <c r="H8">
        <f t="shared" si="1"/>
        <v>1.4752997078201123E-2</v>
      </c>
      <c r="I8">
        <f t="shared" si="2"/>
        <v>0.26012879102339836</v>
      </c>
      <c r="J8">
        <f>XCP_3D('Données géométriques'!$B$9,'Données géométriques'!$B$10,'Données géométriques'!$B$11,'Données géométriques'!$B$12,I8)</f>
        <v>-0.27582731621075368</v>
      </c>
      <c r="K8">
        <f>ZCP_3D('Données géométriques'!$B$9,'Données géométriques'!$B$10,'Données géométriques'!$B$11)</f>
        <v>-0.37564783319086603</v>
      </c>
      <c r="L8">
        <f>'0.1kts'!L8</f>
        <v>2.47753096E-2</v>
      </c>
    </row>
    <row r="9" spans="1:12" x14ac:dyDescent="0.3">
      <c r="A9">
        <v>2.5</v>
      </c>
      <c r="B9">
        <f t="shared" si="0"/>
        <v>4.3633231299858237E-2</v>
      </c>
      <c r="C9">
        <v>0.3251</v>
      </c>
      <c r="D9">
        <v>1.3270000000000001E-2</v>
      </c>
      <c r="E9">
        <v>-4.8999999999999998E-3</v>
      </c>
      <c r="F9">
        <f>C9/(1+2/'Données géométriques'!$B$6)</f>
        <v>0.25032700000000002</v>
      </c>
      <c r="G9">
        <f>F9^2/(PI()*'Données géométriques'!$B$6)</f>
        <v>2.9790146010196311E-3</v>
      </c>
      <c r="H9">
        <f t="shared" si="1"/>
        <v>1.6249014601019632E-2</v>
      </c>
      <c r="I9">
        <f t="shared" si="2"/>
        <v>0.26505980558723652</v>
      </c>
      <c r="J9">
        <f>XCP_3D('Données géométriques'!$B$9,'Données géométriques'!$B$10,'Données géométriques'!$B$11,'Données géométriques'!$B$12,I9)</f>
        <v>-0.2770574229647188</v>
      </c>
      <c r="K9">
        <f>ZCP_3D('Données géométriques'!$B$9,'Données géométriques'!$B$10,'Données géométriques'!$B$11)</f>
        <v>-0.37564783319086603</v>
      </c>
      <c r="L9">
        <f>'0.1kts'!L9</f>
        <v>2.4781490624999996E-2</v>
      </c>
    </row>
    <row r="10" spans="1:12" x14ac:dyDescent="0.3">
      <c r="A10">
        <v>3</v>
      </c>
      <c r="B10">
        <f t="shared" si="0"/>
        <v>5.2359877559829883E-2</v>
      </c>
      <c r="C10">
        <v>0.39500000000000002</v>
      </c>
      <c r="D10">
        <v>1.371E-2</v>
      </c>
      <c r="E10">
        <v>-7.7999999999999996E-3</v>
      </c>
      <c r="F10">
        <f>C10/(1+2/'Données géométriques'!$B$6)</f>
        <v>0.30415000000000003</v>
      </c>
      <c r="G10">
        <f>F10^2/(PI()*'Données géométriques'!$B$6)</f>
        <v>4.3977737642761881E-3</v>
      </c>
      <c r="H10">
        <f t="shared" si="1"/>
        <v>1.8107773764276188E-2</v>
      </c>
      <c r="I10">
        <f t="shared" si="2"/>
        <v>0.26973803117240003</v>
      </c>
      <c r="J10">
        <f>XCP_3D('Données géométriques'!$B$9,'Données géométriques'!$B$10,'Données géométriques'!$B$11,'Données géométriques'!$B$12,I10)</f>
        <v>-0.27822446816696034</v>
      </c>
      <c r="K10">
        <f>ZCP_3D('Données géométriques'!$B$9,'Données géométriques'!$B$10,'Données géométriques'!$B$11)</f>
        <v>-0.37564783319086603</v>
      </c>
      <c r="L10">
        <f>'0.1kts'!L10</f>
        <v>2.4764407400000001E-2</v>
      </c>
    </row>
    <row r="11" spans="1:12" x14ac:dyDescent="0.3">
      <c r="A11">
        <v>3.5</v>
      </c>
      <c r="B11">
        <f t="shared" si="0"/>
        <v>6.1086523819801536E-2</v>
      </c>
      <c r="C11">
        <v>0.46629999999999999</v>
      </c>
      <c r="D11">
        <v>1.4239999999999999E-2</v>
      </c>
      <c r="E11">
        <v>-1.14E-2</v>
      </c>
      <c r="F11">
        <f>C11/(1+2/'Données géométriques'!$B$6)</f>
        <v>0.35905100000000001</v>
      </c>
      <c r="G11">
        <f>F11^2/(PI()*'Données géométriques'!$B$6)</f>
        <v>6.1287163781399787E-3</v>
      </c>
      <c r="H11">
        <f t="shared" si="1"/>
        <v>2.036871637813998E-2</v>
      </c>
      <c r="I11">
        <f t="shared" si="2"/>
        <v>0.27444780201513053</v>
      </c>
      <c r="J11">
        <f>XCP_3D('Données géométriques'!$B$9,'Données géométriques'!$B$10,'Données géométriques'!$B$11,'Données géométriques'!$B$12,I11)</f>
        <v>-0.27939938275061843</v>
      </c>
      <c r="K11">
        <f>ZCP_3D('Données géométriques'!$B$9,'Données géométriques'!$B$10,'Données géométriques'!$B$11)</f>
        <v>-0.37564783319086603</v>
      </c>
      <c r="L11">
        <f>'0.1kts'!L11</f>
        <v>2.4719407074999998E-2</v>
      </c>
    </row>
    <row r="12" spans="1:12" x14ac:dyDescent="0.3">
      <c r="A12">
        <v>4</v>
      </c>
      <c r="B12">
        <f t="shared" si="0"/>
        <v>6.9813170079773182E-2</v>
      </c>
      <c r="C12">
        <v>0.52010000000000001</v>
      </c>
      <c r="D12">
        <v>1.481E-2</v>
      </c>
      <c r="E12">
        <v>-1.15E-2</v>
      </c>
      <c r="F12">
        <f>C12/(1+2/'Données géométriques'!$B$6)</f>
        <v>0.40047700000000003</v>
      </c>
      <c r="G12">
        <f>F12^2/(PI()*'Données géométriques'!$B$6)</f>
        <v>7.6245181112610388E-3</v>
      </c>
      <c r="H12">
        <f t="shared" si="1"/>
        <v>2.2434518111261039E-2</v>
      </c>
      <c r="I12">
        <f t="shared" si="2"/>
        <v>0.27212107841436761</v>
      </c>
      <c r="J12">
        <f>XCP_3D('Données géométriques'!$B$9,'Données géométriques'!$B$10,'Données géométriques'!$B$11,'Données géométriques'!$B$12,I12)</f>
        <v>-0.27881895079714103</v>
      </c>
      <c r="K12">
        <f>ZCP_3D('Données géométriques'!$B$9,'Données géométriques'!$B$10,'Données géométriques'!$B$11)</f>
        <v>-0.37564783319086603</v>
      </c>
      <c r="L12">
        <f>'0.1kts'!L12</f>
        <v>2.4641836800000001E-2</v>
      </c>
    </row>
    <row r="13" spans="1:12" x14ac:dyDescent="0.3">
      <c r="A13">
        <v>4.5</v>
      </c>
      <c r="B13">
        <f t="shared" si="0"/>
        <v>7.8539816339744828E-2</v>
      </c>
      <c r="C13">
        <v>0.56169999999999998</v>
      </c>
      <c r="D13">
        <v>1.5469999999999999E-2</v>
      </c>
      <c r="E13">
        <v>-9.2999999999999992E-3</v>
      </c>
      <c r="F13">
        <f>C13/(1+2/'Données géométriques'!$B$6)</f>
        <v>0.43250899999999998</v>
      </c>
      <c r="G13">
        <f>F13^2/(PI()*'Données géométriques'!$B$6)</f>
        <v>8.8929846068923103E-3</v>
      </c>
      <c r="H13">
        <f t="shared" si="1"/>
        <v>2.4362984606892311E-2</v>
      </c>
      <c r="I13">
        <f t="shared" si="2"/>
        <v>0.26657215700454012</v>
      </c>
      <c r="J13">
        <f>XCP_3D('Données géométriques'!$B$9,'Données géométriques'!$B$10,'Données géométriques'!$B$11,'Données géométriques'!$B$12,I13)</f>
        <v>-0.27743469901384155</v>
      </c>
      <c r="K13">
        <f>ZCP_3D('Données géométriques'!$B$9,'Données géométriques'!$B$10,'Données géométriques'!$B$11)</f>
        <v>-0.37564783319086603</v>
      </c>
      <c r="L13">
        <f>'0.1kts'!L13</f>
        <v>2.4527043724999999E-2</v>
      </c>
    </row>
    <row r="14" spans="1:12" x14ac:dyDescent="0.3">
      <c r="A14">
        <v>5</v>
      </c>
      <c r="B14">
        <f t="shared" si="0"/>
        <v>8.7266462599716474E-2</v>
      </c>
      <c r="C14">
        <v>0.60270000000000001</v>
      </c>
      <c r="D14">
        <v>1.626E-2</v>
      </c>
      <c r="E14">
        <v>-6.8999999999999999E-3</v>
      </c>
      <c r="F14">
        <f>C14/(1+2/'Données géométriques'!$B$6)</f>
        <v>0.46407900000000002</v>
      </c>
      <c r="G14">
        <f>F14^2/(PI()*'Données géométriques'!$B$6)</f>
        <v>1.0238611773154457E-2</v>
      </c>
      <c r="H14">
        <f t="shared" si="1"/>
        <v>2.6498611773154455E-2</v>
      </c>
      <c r="I14">
        <f t="shared" si="2"/>
        <v>0.26146515173022827</v>
      </c>
      <c r="J14">
        <f>XCP_3D('Données géométriques'!$B$9,'Données géométriques'!$B$10,'Données géométriques'!$B$11,'Données géométriques'!$B$12,I14)</f>
        <v>-0.2761606890511536</v>
      </c>
      <c r="K14">
        <f>ZCP_3D('Données géométriques'!$B$9,'Données géométriques'!$B$10,'Données géométriques'!$B$11)</f>
        <v>-0.37564783319086603</v>
      </c>
      <c r="L14">
        <f>'0.1kts'!L14</f>
        <v>2.4370375E-2</v>
      </c>
    </row>
    <row r="15" spans="1:12" x14ac:dyDescent="0.3">
      <c r="A15">
        <v>5.5</v>
      </c>
      <c r="B15">
        <f t="shared" si="0"/>
        <v>9.599310885968812E-2</v>
      </c>
      <c r="C15">
        <v>0.64319999999999999</v>
      </c>
      <c r="D15">
        <v>1.7160000000000002E-2</v>
      </c>
      <c r="E15">
        <v>-4.4000000000000003E-3</v>
      </c>
      <c r="F15">
        <f>C15/(1+2/'Données géométriques'!$B$6)</f>
        <v>0.49526399999999998</v>
      </c>
      <c r="G15">
        <f>F15^2/(PI()*'Données géométriques'!$B$6)</f>
        <v>1.1660864915169669E-2</v>
      </c>
      <c r="H15">
        <f t="shared" si="1"/>
        <v>2.8820864915169671E-2</v>
      </c>
      <c r="I15">
        <f t="shared" si="2"/>
        <v>0.25685482594837405</v>
      </c>
      <c r="J15">
        <f>XCP_3D('Données géométriques'!$B$9,'Données géométriques'!$B$10,'Données géométriques'!$B$11,'Données géométriques'!$B$12,I15)</f>
        <v>-0.27501058235225034</v>
      </c>
      <c r="K15">
        <f>ZCP_3D('Données géométriques'!$B$9,'Données géométriques'!$B$10,'Données géométriques'!$B$11)</f>
        <v>-0.37564783319086603</v>
      </c>
      <c r="L15">
        <f>'0.1kts'!L15</f>
        <v>2.4167177775E-2</v>
      </c>
    </row>
    <row r="16" spans="1:12" x14ac:dyDescent="0.3">
      <c r="A16">
        <v>6</v>
      </c>
      <c r="B16">
        <f t="shared" si="0"/>
        <v>0.10471975511965977</v>
      </c>
      <c r="C16">
        <v>0.68310000000000004</v>
      </c>
      <c r="D16">
        <v>1.8180000000000002E-2</v>
      </c>
      <c r="E16">
        <v>-1.9E-3</v>
      </c>
      <c r="F16">
        <f>C16/(1+2/'Données géométriques'!$B$6)</f>
        <v>0.52598699999999998</v>
      </c>
      <c r="G16">
        <f>F16^2/(PI()*'Données géométriques'!$B$6)</f>
        <v>1.3152468292884936E-2</v>
      </c>
      <c r="H16">
        <f t="shared" si="1"/>
        <v>3.1332468292884941E-2</v>
      </c>
      <c r="I16">
        <f t="shared" si="2"/>
        <v>0.25278895711589289</v>
      </c>
      <c r="J16">
        <f>XCP_3D('Données géométriques'!$B$9,'Données géométriques'!$B$10,'Données géométriques'!$B$11,'Données géométriques'!$B$12,I16)</f>
        <v>-0.27399629763521438</v>
      </c>
      <c r="K16">
        <f>ZCP_3D('Données géométriques'!$B$9,'Données géométriques'!$B$10,'Données géométriques'!$B$11)</f>
        <v>-0.37564783319086603</v>
      </c>
      <c r="L16">
        <f>'0.1kts'!L16</f>
        <v>2.3912799200000001E-2</v>
      </c>
    </row>
    <row r="17" spans="1:12" x14ac:dyDescent="0.3">
      <c r="A17">
        <v>6.5</v>
      </c>
      <c r="B17">
        <f t="shared" si="0"/>
        <v>0.11344640137963143</v>
      </c>
      <c r="C17">
        <v>0.72260000000000002</v>
      </c>
      <c r="D17">
        <v>1.9269999999999999E-2</v>
      </c>
      <c r="E17">
        <v>6.9999999999999999E-4</v>
      </c>
      <c r="F17">
        <f>C17/(1+2/'Données géométriques'!$B$6)</f>
        <v>0.55640200000000006</v>
      </c>
      <c r="G17">
        <f>F17^2/(PI()*'Données géométriques'!$B$6)</f>
        <v>1.4717519072743934E-2</v>
      </c>
      <c r="H17">
        <f t="shared" si="1"/>
        <v>3.398751907274393E-2</v>
      </c>
      <c r="I17">
        <f t="shared" si="2"/>
        <v>0.24902796199091659</v>
      </c>
      <c r="J17">
        <f>XCP_3D('Données géométriques'!$B$9,'Données géométriques'!$B$10,'Données géométriques'!$B$11,'Données géométriques'!$B$12,I17)</f>
        <v>-0.27305806769389557</v>
      </c>
      <c r="K17">
        <f>ZCP_3D('Données géométriques'!$B$9,'Données géométriques'!$B$10,'Données géométriques'!$B$11)</f>
        <v>-0.37564783319086603</v>
      </c>
      <c r="L17">
        <f>'0.1kts'!L17</f>
        <v>2.3602586424999999E-2</v>
      </c>
    </row>
    <row r="18" spans="1:12" x14ac:dyDescent="0.3">
      <c r="A18">
        <v>7</v>
      </c>
      <c r="B18">
        <f t="shared" si="0"/>
        <v>0.12217304763960307</v>
      </c>
      <c r="C18">
        <v>0.76160000000000005</v>
      </c>
      <c r="D18">
        <v>2.0459999999999999E-2</v>
      </c>
      <c r="E18">
        <v>3.3999999999999998E-3</v>
      </c>
      <c r="F18">
        <f>C18/(1+2/'Données géométriques'!$B$6)</f>
        <v>0.58643200000000006</v>
      </c>
      <c r="G18">
        <f>F18^2/(PI()*'Données géométriques'!$B$6)</f>
        <v>1.6349051564438281E-2</v>
      </c>
      <c r="H18">
        <f t="shared" si="1"/>
        <v>3.6809051564438283E-2</v>
      </c>
      <c r="I18">
        <f t="shared" si="2"/>
        <v>0.24551697573790288</v>
      </c>
      <c r="J18">
        <f>XCP_3D('Données géométriques'!$B$9,'Données géométriques'!$B$10,'Données géométriques'!$B$11,'Données géométriques'!$B$12,I18)</f>
        <v>-0.2721822057699409</v>
      </c>
      <c r="K18">
        <f>ZCP_3D('Données géométriques'!$B$9,'Données géométriques'!$B$10,'Données géométriques'!$B$11)</f>
        <v>-0.37564783319086603</v>
      </c>
      <c r="L18">
        <f>'0.1kts'!L18</f>
        <v>2.3231886599999998E-2</v>
      </c>
    </row>
    <row r="19" spans="1:12" x14ac:dyDescent="0.3">
      <c r="A19">
        <v>7.5</v>
      </c>
      <c r="B19">
        <f t="shared" si="0"/>
        <v>0.1308996938995747</v>
      </c>
      <c r="C19">
        <v>0.80020000000000002</v>
      </c>
      <c r="D19">
        <v>2.1760000000000002E-2</v>
      </c>
      <c r="E19">
        <v>6.0000000000000001E-3</v>
      </c>
      <c r="F19">
        <f>C19/(1+2/'Données géométriques'!$B$6)</f>
        <v>0.61615399999999998</v>
      </c>
      <c r="G19">
        <f>F19^2/(PI()*'Données géométriques'!$B$6)</f>
        <v>1.8048278626196304E-2</v>
      </c>
      <c r="H19">
        <f t="shared" si="1"/>
        <v>3.9808278626196306E-2</v>
      </c>
      <c r="I19">
        <f t="shared" si="2"/>
        <v>0.24246415223607384</v>
      </c>
      <c r="J19">
        <f>XCP_3D('Données géométriques'!$B$9,'Données géométriques'!$B$10,'Données géométriques'!$B$11,'Données géométriques'!$B$12,I19)</f>
        <v>-0.27142063859960464</v>
      </c>
      <c r="K19">
        <f>ZCP_3D('Données géométriques'!$B$9,'Données géométriques'!$B$10,'Données géométriques'!$B$11)</f>
        <v>-0.37564783319086603</v>
      </c>
      <c r="L19">
        <f>'0.1kts'!L19</f>
        <v>2.2796046875E-2</v>
      </c>
    </row>
    <row r="20" spans="1:12" x14ac:dyDescent="0.3">
      <c r="A20">
        <v>8</v>
      </c>
      <c r="B20">
        <f t="shared" si="0"/>
        <v>0.13962634015954636</v>
      </c>
      <c r="C20">
        <v>0.83799999999999997</v>
      </c>
      <c r="D20">
        <v>2.3210000000000001E-2</v>
      </c>
      <c r="E20">
        <v>8.6999999999999994E-3</v>
      </c>
      <c r="F20">
        <f>C20/(1+2/'Données géométriques'!$B$6)</f>
        <v>0.64525999999999994</v>
      </c>
      <c r="G20">
        <f>F20^2/(PI()*'Données géométriques'!$B$6)</f>
        <v>1.9793688443008276E-2</v>
      </c>
      <c r="H20">
        <f t="shared" si="1"/>
        <v>4.3003688443008281E-2</v>
      </c>
      <c r="I20">
        <f t="shared" si="2"/>
        <v>0.23955676070699708</v>
      </c>
      <c r="J20">
        <f>XCP_3D('Données géométriques'!$B$9,'Données géométriques'!$B$10,'Données géométriques'!$B$11,'Données géométriques'!$B$12,I20)</f>
        <v>-0.27069535135698136</v>
      </c>
      <c r="K20">
        <f>ZCP_3D('Données géométriques'!$B$9,'Données géométriques'!$B$10,'Données géométriques'!$B$11)</f>
        <v>-0.37564783319086603</v>
      </c>
      <c r="L20">
        <f>'0.1kts'!L20</f>
        <v>2.22904144E-2</v>
      </c>
    </row>
    <row r="21" spans="1:12" x14ac:dyDescent="0.3">
      <c r="A21">
        <v>8.5</v>
      </c>
      <c r="B21">
        <f t="shared" si="0"/>
        <v>0.14835298641951802</v>
      </c>
      <c r="C21">
        <v>0.87460000000000004</v>
      </c>
      <c r="D21">
        <v>2.4830000000000001E-2</v>
      </c>
      <c r="E21">
        <v>1.1299999999999999E-2</v>
      </c>
      <c r="F21">
        <f>C21/(1+2/'Données géométriques'!$B$6)</f>
        <v>0.67344199999999999</v>
      </c>
      <c r="G21">
        <f>F21^2/(PI()*'Données géométriques'!$B$6)</f>
        <v>2.1560440956787469E-2</v>
      </c>
      <c r="H21">
        <f t="shared" si="1"/>
        <v>4.6390440956787474E-2</v>
      </c>
      <c r="I21">
        <f t="shared" si="2"/>
        <v>0.23699150875116426</v>
      </c>
      <c r="J21">
        <f>XCP_3D('Données géométriques'!$B$9,'Données géométriques'!$B$10,'Données géométriques'!$B$11,'Données géométriques'!$B$12,I21)</f>
        <v>-0.27005541535280503</v>
      </c>
      <c r="K21">
        <f>ZCP_3D('Données géométriques'!$B$9,'Données géométriques'!$B$10,'Données géométriques'!$B$11)</f>
        <v>-0.37564783319086603</v>
      </c>
      <c r="L21">
        <f>'0.1kts'!L21</f>
        <v>2.1710336324999999E-2</v>
      </c>
    </row>
    <row r="22" spans="1:12" x14ac:dyDescent="0.3">
      <c r="A22">
        <v>9</v>
      </c>
      <c r="B22">
        <f t="shared" si="0"/>
        <v>0.15707963267948966</v>
      </c>
      <c r="C22">
        <v>0.90959999999999996</v>
      </c>
      <c r="D22">
        <v>2.6579999999999999E-2</v>
      </c>
      <c r="E22">
        <v>1.4E-2</v>
      </c>
      <c r="F22">
        <f>C22/(1+2/'Données géométriques'!$B$6)</f>
        <v>0.70039200000000001</v>
      </c>
      <c r="G22">
        <f>F22^2/(PI()*'Données géométriques'!$B$6)</f>
        <v>2.3320593357093543E-2</v>
      </c>
      <c r="H22">
        <f t="shared" si="1"/>
        <v>4.9900593357093542E-2</v>
      </c>
      <c r="I22">
        <f t="shared" si="2"/>
        <v>0.23448855456048506</v>
      </c>
      <c r="J22">
        <f>XCP_3D('Données géométriques'!$B$9,'Données géométriques'!$B$10,'Données géométriques'!$B$11,'Données géométriques'!$B$12,I22)</f>
        <v>-0.26943102034951311</v>
      </c>
      <c r="K22">
        <f>ZCP_3D('Données géométriques'!$B$9,'Données géométriques'!$B$10,'Données géométriques'!$B$11)</f>
        <v>-0.37564783319086603</v>
      </c>
      <c r="L22">
        <f>'0.1kts'!L22</f>
        <v>2.10511598E-2</v>
      </c>
    </row>
    <row r="23" spans="1:12" x14ac:dyDescent="0.3">
      <c r="A23">
        <v>9.5</v>
      </c>
      <c r="B23">
        <f t="shared" si="0"/>
        <v>0.16580627893946129</v>
      </c>
      <c r="C23">
        <v>0.94430000000000003</v>
      </c>
      <c r="D23">
        <v>2.8510000000000001E-2</v>
      </c>
      <c r="E23">
        <v>1.66E-2</v>
      </c>
      <c r="F23">
        <f>C23/(1+2/'Données géométriques'!$B$6)</f>
        <v>0.72711100000000006</v>
      </c>
      <c r="G23">
        <f>F23^2/(PI()*'Données géométriques'!$B$6)</f>
        <v>2.5133829937905784E-2</v>
      </c>
      <c r="H23">
        <f t="shared" si="1"/>
        <v>5.3643829937905785E-2</v>
      </c>
      <c r="I23">
        <f t="shared" si="2"/>
        <v>0.23226599934163961</v>
      </c>
      <c r="J23">
        <f>XCP_3D('Données géométriques'!$B$9,'Données géométriques'!$B$10,'Données géométriques'!$B$11,'Données géométriques'!$B$12,I23)</f>
        <v>-0.26887657457565195</v>
      </c>
      <c r="K23">
        <f>ZCP_3D('Données géométriques'!$B$9,'Données géométriques'!$B$10,'Données géométriques'!$B$11)</f>
        <v>-0.37564783319086603</v>
      </c>
      <c r="L23">
        <f>'0.1kts'!L23</f>
        <v>2.0308231975E-2</v>
      </c>
    </row>
    <row r="24" spans="1:12" x14ac:dyDescent="0.3">
      <c r="A24">
        <v>10</v>
      </c>
      <c r="B24">
        <f t="shared" si="0"/>
        <v>0.17453292519943295</v>
      </c>
      <c r="C24">
        <v>0.97540000000000004</v>
      </c>
      <c r="D24">
        <v>3.066E-2</v>
      </c>
      <c r="E24">
        <v>1.9400000000000001E-2</v>
      </c>
      <c r="F24">
        <f>C24/(1+2/'Données géométriques'!$B$6)</f>
        <v>0.751058</v>
      </c>
      <c r="G24">
        <f>F24^2/(PI()*'Données géométriques'!$B$6)</f>
        <v>2.6816629718602714E-2</v>
      </c>
      <c r="H24">
        <f t="shared" si="1"/>
        <v>5.7476629718602713E-2</v>
      </c>
      <c r="I24">
        <f t="shared" si="2"/>
        <v>0.22991522018593955</v>
      </c>
      <c r="J24">
        <f>XCP_3D('Données géométriques'!$B$9,'Données géométriques'!$B$10,'Données géométriques'!$B$11,'Données géométriques'!$B$12,I24)</f>
        <v>-0.26829014164606307</v>
      </c>
      <c r="K24">
        <f>ZCP_3D('Données géométriques'!$B$9,'Données géométriques'!$B$10,'Données géométriques'!$B$11)</f>
        <v>-0.37564783319086603</v>
      </c>
      <c r="L24">
        <f>'0.1kts'!L24</f>
        <v>1.9476900000000002E-2</v>
      </c>
    </row>
    <row r="25" spans="1:12" x14ac:dyDescent="0.3">
      <c r="A25">
        <v>10.5</v>
      </c>
      <c r="B25">
        <f t="shared" si="0"/>
        <v>0.18325957145940461</v>
      </c>
      <c r="C25">
        <v>1.0043</v>
      </c>
      <c r="D25">
        <v>3.3059999999999999E-2</v>
      </c>
      <c r="E25">
        <v>2.2200000000000001E-2</v>
      </c>
      <c r="F25">
        <f>C25/(1+2/'Données géométriques'!$B$6)</f>
        <v>0.77331099999999997</v>
      </c>
      <c r="G25">
        <f>F25^2/(PI()*'Données géométriques'!$B$6)</f>
        <v>2.8429264114634603E-2</v>
      </c>
      <c r="H25">
        <f t="shared" si="1"/>
        <v>6.1489264114634602E-2</v>
      </c>
      <c r="I25">
        <f t="shared" si="2"/>
        <v>0.22765492707510468</v>
      </c>
      <c r="J25">
        <f>XCP_3D('Données géométriques'!$B$9,'Données géométriques'!$B$10,'Données géométriques'!$B$11,'Données géométriques'!$B$12,I25)</f>
        <v>-0.26772628165627987</v>
      </c>
      <c r="K25">
        <f>ZCP_3D('Données géométriques'!$B$9,'Données géométriques'!$B$10,'Données géométriques'!$B$11)</f>
        <v>-0.37564783319086603</v>
      </c>
      <c r="L25">
        <f>'0.1kts'!L25</f>
        <v>1.8552511024999999E-2</v>
      </c>
    </row>
    <row r="26" spans="1:12" x14ac:dyDescent="0.3">
      <c r="A26">
        <v>11</v>
      </c>
      <c r="B26">
        <f t="shared" si="0"/>
        <v>0.19198621771937624</v>
      </c>
      <c r="C26">
        <v>1.0278</v>
      </c>
      <c r="D26">
        <v>3.5659999999999997E-2</v>
      </c>
      <c r="E26">
        <v>2.53E-2</v>
      </c>
      <c r="F26">
        <f>C26/(1+2/'Données géométriques'!$B$6)</f>
        <v>0.79140600000000005</v>
      </c>
      <c r="G26">
        <f>F26^2/(PI()*'Données géométriques'!$B$6)</f>
        <v>2.9775284480345634E-2</v>
      </c>
      <c r="H26">
        <f t="shared" si="1"/>
        <v>6.5435284480345635E-2</v>
      </c>
      <c r="I26">
        <f t="shared" si="2"/>
        <v>0.22509157704574051</v>
      </c>
      <c r="J26">
        <f>XCP_3D('Données géométriques'!$B$9,'Données géométriques'!$B$10,'Données géométriques'!$B$11,'Données géométriques'!$B$12,I26)</f>
        <v>-0.26708682011280049</v>
      </c>
      <c r="K26">
        <f>ZCP_3D('Données géométriques'!$B$9,'Données géométriques'!$B$10,'Données géométriques'!$B$11)</f>
        <v>-0.37564783319086603</v>
      </c>
      <c r="L26">
        <f>'0.1kts'!L26</f>
        <v>1.7530412199999998E-2</v>
      </c>
    </row>
    <row r="27" spans="1:12" x14ac:dyDescent="0.3">
      <c r="A27">
        <v>11.5</v>
      </c>
      <c r="B27">
        <f t="shared" si="0"/>
        <v>0.20071286397934787</v>
      </c>
      <c r="C27">
        <v>1.0430999999999999</v>
      </c>
      <c r="D27">
        <v>3.8739999999999997E-2</v>
      </c>
      <c r="E27">
        <v>2.9100000000000001E-2</v>
      </c>
      <c r="F27">
        <f>C27/(1+2/'Données géométriques'!$B$6)</f>
        <v>0.80318699999999998</v>
      </c>
      <c r="G27">
        <f>F27^2/(PI()*'Données géométriques'!$B$6)</f>
        <v>3.0668362193744921E-2</v>
      </c>
      <c r="H27">
        <f t="shared" si="1"/>
        <v>6.940836219374491E-2</v>
      </c>
      <c r="I27">
        <f t="shared" si="2"/>
        <v>0.22174436245853338</v>
      </c>
      <c r="J27">
        <f>XCP_3D('Données géométriques'!$B$9,'Données géométriques'!$B$10,'Données géométriques'!$B$11,'Données géométriques'!$B$12,I27)</f>
        <v>-0.26625181319538166</v>
      </c>
      <c r="K27">
        <f>ZCP_3D('Données géométriques'!$B$9,'Données géométriques'!$B$10,'Données géométriques'!$B$11)</f>
        <v>-0.37564783319086603</v>
      </c>
      <c r="L27">
        <f>'0.1kts'!L27</f>
        <v>1.6405950674999999E-2</v>
      </c>
    </row>
    <row r="28" spans="1:12" x14ac:dyDescent="0.3">
      <c r="A28">
        <v>12</v>
      </c>
      <c r="B28">
        <f t="shared" si="0"/>
        <v>0.20943951023931953</v>
      </c>
      <c r="C28">
        <v>1.0528</v>
      </c>
      <c r="D28">
        <v>4.2119999999999998E-2</v>
      </c>
      <c r="E28">
        <v>3.2399999999999998E-2</v>
      </c>
      <c r="F28">
        <f>C28/(1+2/'Données géométriques'!$B$6)</f>
        <v>0.81065599999999993</v>
      </c>
      <c r="G28">
        <f>F28^2/(PI()*'Données géométriques'!$B$6)</f>
        <v>3.1241396977373829E-2</v>
      </c>
      <c r="H28">
        <f t="shared" si="1"/>
        <v>7.336139697737383E-2</v>
      </c>
      <c r="I28">
        <f t="shared" si="2"/>
        <v>0.21880268862613864</v>
      </c>
      <c r="J28">
        <f>XCP_3D('Données géométriques'!$B$9,'Données géométriques'!$B$10,'Données géométriques'!$B$11,'Données géométriques'!$B$12,I28)</f>
        <v>-0.26551797377909847</v>
      </c>
      <c r="K28">
        <f>ZCP_3D('Données géométriques'!$B$9,'Données géométriques'!$B$10,'Données géométriques'!$B$11)</f>
        <v>-0.37564783319086603</v>
      </c>
      <c r="L28">
        <f>'0.1kts'!L28</f>
        <v>1.5174473599999998E-2</v>
      </c>
    </row>
    <row r="29" spans="1:12" x14ac:dyDescent="0.3">
      <c r="A29">
        <v>12.5</v>
      </c>
      <c r="B29">
        <f t="shared" si="0"/>
        <v>0.21816615649929119</v>
      </c>
      <c r="C29">
        <v>1.0589</v>
      </c>
      <c r="D29">
        <v>4.6050000000000001E-2</v>
      </c>
      <c r="E29">
        <v>3.4500000000000003E-2</v>
      </c>
      <c r="F29">
        <f>C29/(1+2/'Données géométriques'!$B$6)</f>
        <v>0.81535299999999999</v>
      </c>
      <c r="G29">
        <f>F29^2/(PI()*'Données géométriques'!$B$6)</f>
        <v>3.1604475657290097E-2</v>
      </c>
      <c r="H29">
        <f t="shared" si="1"/>
        <v>7.7654475657290098E-2</v>
      </c>
      <c r="I29">
        <f t="shared" si="2"/>
        <v>0.21694664253348084</v>
      </c>
      <c r="J29">
        <f>XCP_3D('Données géométriques'!$B$9,'Données géométriques'!$B$10,'Données géométriques'!$B$11,'Données géométriques'!$B$12,I29)</f>
        <v>-0.26505495855075323</v>
      </c>
      <c r="K29">
        <f>ZCP_3D('Données géométriques'!$B$9,'Données géométriques'!$B$10,'Données géométriques'!$B$11)</f>
        <v>-0.37564783319086603</v>
      </c>
      <c r="L29">
        <f>'0.1kts'!L29</f>
        <v>1.3831328124999999E-2</v>
      </c>
    </row>
    <row r="30" spans="1:12" x14ac:dyDescent="0.3">
      <c r="A30">
        <v>13</v>
      </c>
      <c r="B30">
        <f t="shared" si="0"/>
        <v>0.22689280275926285</v>
      </c>
      <c r="C30">
        <v>1.0476000000000001</v>
      </c>
      <c r="D30">
        <v>5.2429999999999997E-2</v>
      </c>
      <c r="E30">
        <v>3.5200000000000002E-2</v>
      </c>
      <c r="F30">
        <f>C30/(1+2/'Données géométriques'!$B$6)</f>
        <v>0.80665200000000004</v>
      </c>
      <c r="G30">
        <f>F30^2/(PI()*'Données géométriques'!$B$6)</f>
        <v>3.0933543512382162E-2</v>
      </c>
      <c r="H30">
        <f t="shared" si="1"/>
        <v>8.3363543512382163E-2</v>
      </c>
      <c r="I30">
        <f t="shared" si="2"/>
        <v>0.21590945178889592</v>
      </c>
      <c r="J30">
        <f>XCP_3D('Données géométriques'!$B$9,'Données géométriques'!$B$10,'Données géométriques'!$B$11,'Données géométriques'!$B$12,I30)</f>
        <v>-0.26479621761142957</v>
      </c>
      <c r="K30">
        <f>ZCP_3D('Données géométriques'!$B$9,'Données géométriques'!$B$10,'Données géométriques'!$B$11)</f>
        <v>-0.37564783319086603</v>
      </c>
      <c r="L30">
        <f>'0.1kts'!L30</f>
        <v>1.23718614E-2</v>
      </c>
    </row>
    <row r="31" spans="1:12" x14ac:dyDescent="0.3">
      <c r="A31">
        <v>13.5</v>
      </c>
      <c r="B31">
        <f t="shared" si="0"/>
        <v>0.23561944901923448</v>
      </c>
      <c r="C31">
        <v>1.0274000000000001</v>
      </c>
      <c r="D31">
        <v>6.071E-2</v>
      </c>
      <c r="E31">
        <v>3.27E-2</v>
      </c>
      <c r="F31">
        <f>C31/(1+2/'Données géométriques'!$B$6)</f>
        <v>0.79109800000000008</v>
      </c>
      <c r="G31">
        <f>F31^2/(PI()*'Données géométriques'!$B$6)</f>
        <v>2.9752113053611862E-2</v>
      </c>
      <c r="H31">
        <f t="shared" si="1"/>
        <v>9.0462113053611862E-2</v>
      </c>
      <c r="I31">
        <f t="shared" si="2"/>
        <v>0.21772554910030537</v>
      </c>
      <c r="J31">
        <f>XCP_3D('Données géométriques'!$B$9,'Données géométriques'!$B$10,'Données géométriques'!$B$11,'Données géométriques'!$B$12,I31)</f>
        <v>-0.26524926708830687</v>
      </c>
      <c r="K31">
        <f>ZCP_3D('Données géométriques'!$B$9,'Données géométriques'!$B$10,'Données géométriques'!$B$11)</f>
        <v>-0.37564783319086603</v>
      </c>
      <c r="L31">
        <f>'0.1kts'!L31</f>
        <v>1.0791420575E-2</v>
      </c>
    </row>
    <row r="32" spans="1:12" x14ac:dyDescent="0.3">
      <c r="A32">
        <v>14</v>
      </c>
      <c r="B32">
        <f t="shared" si="0"/>
        <v>0.24434609527920614</v>
      </c>
      <c r="C32">
        <v>0.99470000000000003</v>
      </c>
      <c r="D32">
        <v>7.2249999999999995E-2</v>
      </c>
      <c r="E32">
        <v>2.6499999999999999E-2</v>
      </c>
      <c r="F32">
        <f>C32/(1+2/'Données géométriques'!$B$6)</f>
        <v>0.76591900000000002</v>
      </c>
      <c r="G32">
        <f>F32^2/(PI()*'Données géométriques'!$B$6)</f>
        <v>2.788835696740842E-2</v>
      </c>
      <c r="H32">
        <f t="shared" si="1"/>
        <v>0.10013835696740842</v>
      </c>
      <c r="I32">
        <f t="shared" si="2"/>
        <v>0.22303161349148076</v>
      </c>
      <c r="J32">
        <f>XCP_3D('Données géométriques'!$B$9,'Données géométriques'!$B$10,'Données géométriques'!$B$11,'Données géométriques'!$B$12,I32)</f>
        <v>-0.26657293497857176</v>
      </c>
      <c r="K32">
        <f>ZCP_3D('Données géométriques'!$B$9,'Données géométriques'!$B$10,'Données géométriques'!$B$11)</f>
        <v>-0.37564783319086603</v>
      </c>
      <c r="L32">
        <f>'0.1kts'!L32</f>
        <v>9.0853527999999965E-3</v>
      </c>
    </row>
    <row r="33" spans="1:12" x14ac:dyDescent="0.3">
      <c r="A33">
        <v>14.5</v>
      </c>
      <c r="B33">
        <f t="shared" si="0"/>
        <v>0.2530727415391778</v>
      </c>
      <c r="C33">
        <v>0.92300000000000004</v>
      </c>
      <c r="D33">
        <v>9.3420000000000003E-2</v>
      </c>
      <c r="E33">
        <v>1.2500000000000001E-2</v>
      </c>
      <c r="F33">
        <f>C33/(1+2/'Données géométriques'!$B$6)</f>
        <v>0.71071000000000006</v>
      </c>
      <c r="G33">
        <f>F33^2/(PI()*'Données géométriques'!$B$6)</f>
        <v>2.4012760809011689E-2</v>
      </c>
      <c r="H33">
        <f t="shared" si="1"/>
        <v>0.11743276080901169</v>
      </c>
      <c r="I33">
        <f t="shared" si="2"/>
        <v>0.23636845606190138</v>
      </c>
      <c r="J33">
        <f>XCP_3D('Données géométriques'!$B$9,'Données géométriques'!$B$10,'Données géométriques'!$B$11,'Données géométriques'!$B$12,I33)</f>
        <v>-0.26989998662486075</v>
      </c>
      <c r="K33">
        <f>ZCP_3D('Données géométriques'!$B$9,'Données géométriques'!$B$10,'Données géométriques'!$B$11)</f>
        <v>-0.37564783319086603</v>
      </c>
      <c r="L33">
        <f>'0.1kts'!L33</f>
        <v>7.2490052249999971E-3</v>
      </c>
    </row>
    <row r="34" spans="1:12" x14ac:dyDescent="0.3">
      <c r="A34">
        <v>15.5</v>
      </c>
      <c r="B34">
        <f t="shared" si="0"/>
        <v>0.27052603405912107</v>
      </c>
      <c r="C34">
        <v>0.73550000000000004</v>
      </c>
      <c r="D34">
        <v>0.16169</v>
      </c>
      <c r="E34">
        <v>-2.4199999999999999E-2</v>
      </c>
      <c r="F34">
        <f>C34/(1+2/'Données géométriques'!$B$6)</f>
        <v>0.56633500000000003</v>
      </c>
      <c r="G34">
        <f>F34^2/(PI()*'Données géométriques'!$B$6)</f>
        <v>1.5247689761040139E-2</v>
      </c>
      <c r="H34">
        <f t="shared" si="1"/>
        <v>0.17693768976104013</v>
      </c>
      <c r="I34">
        <f t="shared" si="2"/>
        <v>0.28218256412789366</v>
      </c>
      <c r="J34">
        <f>XCP_3D('Données géométriques'!$B$9,'Données géométriques'!$B$10,'Données géométriques'!$B$11,'Données géométriques'!$B$12,I34)</f>
        <v>-0.28132892138654814</v>
      </c>
      <c r="K34">
        <f>ZCP_3D('Données géométriques'!$B$9,'Données géométriques'!$B$10,'Données géométriques'!$B$11)</f>
        <v>-0.37564783319086603</v>
      </c>
      <c r="L34">
        <f>'0.1kts'!L34</f>
        <v>5.2777249999999987E-3</v>
      </c>
    </row>
    <row r="35" spans="1:12" x14ac:dyDescent="0.3">
      <c r="A35">
        <v>16</v>
      </c>
      <c r="B35">
        <f t="shared" si="0"/>
        <v>0.27925268031909273</v>
      </c>
      <c r="C35">
        <v>0.7409</v>
      </c>
      <c r="D35">
        <v>0.17069999999999999</v>
      </c>
      <c r="E35">
        <v>-2.8400000000000002E-2</v>
      </c>
      <c r="F35">
        <f>C35/(1+2/'Données géométriques'!$B$6)</f>
        <v>0.57049300000000003</v>
      </c>
      <c r="G35">
        <f>F35^2/(PI()*'Données géométriques'!$B$6)</f>
        <v>1.5472407051231568E-2</v>
      </c>
      <c r="H35">
        <f t="shared" si="1"/>
        <v>0.18617240705123156</v>
      </c>
      <c r="I35">
        <f t="shared" si="2"/>
        <v>0.28740532991742046</v>
      </c>
      <c r="J35">
        <f>XCP_3D('Données géométriques'!$B$9,'Données géométriques'!$B$10,'Données géométriques'!$B$11,'Données géométriques'!$B$12,I35)</f>
        <v>-0.28263180933970944</v>
      </c>
      <c r="K35">
        <f>ZCP_3D('Données géométriques'!$B$9,'Données géométriques'!$B$10,'Données géométriques'!$B$11)</f>
        <v>-0.37564783319086603</v>
      </c>
      <c r="L35">
        <f>'0.1kts'!L35</f>
        <v>3.1668592749999986E-3</v>
      </c>
    </row>
    <row r="36" spans="1:12" x14ac:dyDescent="0.3">
      <c r="A36">
        <v>16.5</v>
      </c>
      <c r="B36">
        <f t="shared" si="0"/>
        <v>0.28797932657906439</v>
      </c>
      <c r="C36">
        <v>0.7429</v>
      </c>
      <c r="D36">
        <v>0.18165999999999999</v>
      </c>
      <c r="E36">
        <v>-3.39E-2</v>
      </c>
      <c r="F36">
        <f>C36/(1+2/'Données géométriques'!$B$6)</f>
        <v>0.57203300000000001</v>
      </c>
      <c r="G36">
        <f>F36^2/(PI()*'Données géométriques'!$B$6)</f>
        <v>1.5556052835066633E-2</v>
      </c>
      <c r="H36">
        <f t="shared" si="1"/>
        <v>0.19721605283506663</v>
      </c>
      <c r="I36">
        <f t="shared" si="2"/>
        <v>0.29437745449931368</v>
      </c>
      <c r="J36">
        <f>XCP_3D('Données géométriques'!$B$9,'Données géométriques'!$B$10,'Données géométriques'!$B$11,'Données géométriques'!$B$12,I36)</f>
        <v>-0.28437109796412291</v>
      </c>
      <c r="K36">
        <f>ZCP_3D('Données géométriques'!$B$9,'Données géométriques'!$B$10,'Données géométriques'!$B$11)</f>
        <v>-0.37564783319086603</v>
      </c>
      <c r="L36">
        <f>'0.1kts'!L36</f>
        <v>9.1175519999999951E-4</v>
      </c>
    </row>
    <row r="37" spans="1:12" x14ac:dyDescent="0.3">
      <c r="A37">
        <v>17</v>
      </c>
      <c r="B37">
        <f t="shared" si="0"/>
        <v>0.29670597283903605</v>
      </c>
      <c r="C37">
        <v>0.74739999999999995</v>
      </c>
      <c r="D37">
        <v>0.19222</v>
      </c>
      <c r="E37">
        <v>-3.95E-2</v>
      </c>
      <c r="F37">
        <f>C37/(1+2/'Données géométriques'!$B$6)</f>
        <v>0.57549799999999995</v>
      </c>
      <c r="G37">
        <f>F37^2/(PI()*'Données géométriques'!$B$6)</f>
        <v>1.5745080299152857E-2</v>
      </c>
      <c r="H37">
        <f t="shared" si="1"/>
        <v>0.20796508029915287</v>
      </c>
      <c r="I37">
        <f t="shared" si="2"/>
        <v>0.30123602940825128</v>
      </c>
      <c r="J37">
        <f>XCP_3D('Données géométriques'!$B$9,'Données géométriques'!$B$10,'Données géométriques'!$B$11,'Données géométriques'!$B$12,I37)</f>
        <v>-0.28608206012188125</v>
      </c>
      <c r="K37">
        <f>ZCP_3D('Données géométriques'!$B$9,'Données géométriques'!$B$10,'Données géométriques'!$B$11)</f>
        <v>-0.37564783319086603</v>
      </c>
      <c r="L37">
        <f>'0.1kts'!L37</f>
        <v>-1.4922400750000014E-3</v>
      </c>
    </row>
    <row r="38" spans="1:12" x14ac:dyDescent="0.3">
      <c r="A38">
        <v>17.5</v>
      </c>
      <c r="B38">
        <f t="shared" si="0"/>
        <v>0.30543261909900765</v>
      </c>
      <c r="C38">
        <v>0.75639999999999996</v>
      </c>
      <c r="D38">
        <v>0.20125000000000001</v>
      </c>
      <c r="E38">
        <v>-4.4400000000000002E-2</v>
      </c>
      <c r="F38">
        <f>C38/(1+2/'Données géométriques'!$B$6)</f>
        <v>0.58242799999999995</v>
      </c>
      <c r="G38">
        <f>F38^2/(PI()*'Données géométriques'!$B$6)</f>
        <v>1.6126559867686532E-2</v>
      </c>
      <c r="H38">
        <f t="shared" si="1"/>
        <v>0.21737655986768656</v>
      </c>
      <c r="I38">
        <f t="shared" si="2"/>
        <v>0.306784134612617</v>
      </c>
      <c r="J38">
        <f>XCP_3D('Données géométriques'!$B$9,'Données géométriques'!$B$10,'Données géométriques'!$B$11,'Données géométriques'!$B$12,I38)</f>
        <v>-0.28746610829194152</v>
      </c>
      <c r="K38">
        <f>ZCP_3D('Données géométriques'!$B$9,'Données géométriques'!$B$10,'Données géométriques'!$B$11)</f>
        <v>-0.37564783319086603</v>
      </c>
      <c r="L38">
        <f>'0.1kts'!L38</f>
        <v>-4.0497794000000026E-3</v>
      </c>
    </row>
    <row r="39" spans="1:12" x14ac:dyDescent="0.3">
      <c r="A39">
        <v>18</v>
      </c>
      <c r="B39">
        <f t="shared" si="0"/>
        <v>0.31415926535897931</v>
      </c>
      <c r="C39">
        <v>0.76759999999999995</v>
      </c>
      <c r="D39">
        <v>0.20959</v>
      </c>
      <c r="E39">
        <v>-4.9000000000000002E-2</v>
      </c>
      <c r="F39">
        <f>C39/(1+2/'Données géométriques'!$B$6)</f>
        <v>0.59105199999999991</v>
      </c>
      <c r="G39">
        <f>F39^2/(PI()*'Données géométriques'!$B$6)</f>
        <v>1.6607666875074301E-2</v>
      </c>
      <c r="H39">
        <f t="shared" si="1"/>
        <v>0.22619766687507431</v>
      </c>
      <c r="I39">
        <f t="shared" si="2"/>
        <v>0.31165089622253211</v>
      </c>
      <c r="J39">
        <f>XCP_3D('Données géométriques'!$B$9,'Données géométriques'!$B$10,'Données géométriques'!$B$11,'Données géométriques'!$B$12,I39)</f>
        <v>-0.28868018629735198</v>
      </c>
      <c r="K39">
        <f>ZCP_3D('Données géométriques'!$B$9,'Données géométriques'!$B$10,'Données géométriques'!$B$11)</f>
        <v>-0.37564783319086603</v>
      </c>
      <c r="L39">
        <f>'0.1kts'!L39</f>
        <v>-6.7655156249999994E-3</v>
      </c>
    </row>
    <row r="40" spans="1:12" x14ac:dyDescent="0.3">
      <c r="A40">
        <v>18.5</v>
      </c>
      <c r="B40">
        <f t="shared" si="0"/>
        <v>0.32288591161895097</v>
      </c>
      <c r="C40">
        <v>0.7833</v>
      </c>
      <c r="D40">
        <v>0.21587999999999999</v>
      </c>
      <c r="E40">
        <v>-5.2600000000000001E-2</v>
      </c>
      <c r="F40">
        <f>C40/(1+2/'Données géométriques'!$B$6)</f>
        <v>0.60314100000000004</v>
      </c>
      <c r="G40">
        <f>F40^2/(PI()*'Données géométriques'!$B$6)</f>
        <v>1.7293979742223489E-2</v>
      </c>
      <c r="H40">
        <f t="shared" si="1"/>
        <v>0.23317397974222348</v>
      </c>
      <c r="I40">
        <f t="shared" si="2"/>
        <v>0.31483248672967085</v>
      </c>
      <c r="J40">
        <f>XCP_3D('Données géométriques'!$B$9,'Données géométriques'!$B$10,'Données géométriques'!$B$11,'Données géométriques'!$B$12,I40)</f>
        <v>-0.28947387609901865</v>
      </c>
      <c r="K40">
        <f>ZCP_3D('Données géométriques'!$B$9,'Données géométriques'!$B$10,'Données géométriques'!$B$11)</f>
        <v>-0.37564783319086603</v>
      </c>
      <c r="L40">
        <f>'0.1kts'!L40</f>
        <v>-9.6441016000000015E-3</v>
      </c>
    </row>
    <row r="41" spans="1:12" x14ac:dyDescent="0.3">
      <c r="A41">
        <v>19</v>
      </c>
      <c r="B41">
        <f t="shared" si="0"/>
        <v>0.33161255787892258</v>
      </c>
      <c r="C41">
        <v>0.79700000000000004</v>
      </c>
      <c r="D41">
        <v>0.22331000000000001</v>
      </c>
      <c r="E41">
        <v>-5.6899999999999999E-2</v>
      </c>
      <c r="F41">
        <f>C41/(1+2/'Données géométriques'!$B$6)</f>
        <v>0.61369000000000007</v>
      </c>
      <c r="G41">
        <f>F41^2/(PI()*'Données géométriques'!$B$6)</f>
        <v>1.7904217112848026E-2</v>
      </c>
      <c r="H41">
        <f t="shared" si="1"/>
        <v>0.24121421711284805</v>
      </c>
      <c r="I41">
        <f t="shared" si="2"/>
        <v>0.31886277775588739</v>
      </c>
      <c r="J41">
        <f>XCP_3D('Données géométriques'!$B$9,'Données géométriques'!$B$10,'Données géométriques'!$B$11,'Données géométriques'!$B$12,I41)</f>
        <v>-0.29047928546206581</v>
      </c>
      <c r="K41">
        <f>ZCP_3D('Données géométriques'!$B$9,'Données géométriques'!$B$10,'Données géométriques'!$B$11)</f>
        <v>-0.37564783319086603</v>
      </c>
      <c r="L41">
        <f>'0.1kts'!L41</f>
        <v>-1.2690190175000003E-2</v>
      </c>
    </row>
    <row r="42" spans="1:12" x14ac:dyDescent="0.3">
      <c r="A42">
        <v>19.5</v>
      </c>
      <c r="B42">
        <f t="shared" si="0"/>
        <v>0.34033920413889424</v>
      </c>
      <c r="C42">
        <v>0.81130000000000002</v>
      </c>
      <c r="D42">
        <v>0.23082</v>
      </c>
      <c r="E42">
        <v>-6.1199999999999997E-2</v>
      </c>
      <c r="F42">
        <f>C42/(1+2/'Données géométriques'!$B$6)</f>
        <v>0.62470100000000006</v>
      </c>
      <c r="G42">
        <f>F42^2/(PI()*'Données géométriques'!$B$6)</f>
        <v>1.8552466018438293E-2</v>
      </c>
      <c r="H42">
        <f t="shared" si="1"/>
        <v>0.24937246601843829</v>
      </c>
      <c r="I42">
        <f t="shared" si="2"/>
        <v>0.32270011571598722</v>
      </c>
      <c r="J42">
        <f>XCP_3D('Données géométriques'!$B$9,'Données géométriques'!$B$10,'Données géométriques'!$B$11,'Données géométriques'!$B$12,I42)</f>
        <v>-0.29143656013259567</v>
      </c>
      <c r="K42">
        <f>ZCP_3D('Données géométriques'!$B$9,'Données géométriques'!$B$10,'Données géométriques'!$B$11)</f>
        <v>-0.37564783319086603</v>
      </c>
      <c r="L42">
        <f>'0.1kts'!L42</f>
        <v>-1.5908434200000002E-2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F2A36-DBB2-426D-A76D-B788AAD0C0FB}">
  <sheetPr codeName="Feuil3"/>
  <dimension ref="A1:L44"/>
  <sheetViews>
    <sheetView workbookViewId="0">
      <selection activeCell="M4" sqref="M4"/>
    </sheetView>
  </sheetViews>
  <sheetFormatPr baseColWidth="10" defaultRowHeight="14.4" x14ac:dyDescent="0.3"/>
  <sheetData>
    <row r="1" spans="1:12" x14ac:dyDescent="0.3">
      <c r="A1">
        <v>1</v>
      </c>
      <c r="C1" s="2">
        <f>A1*'Données géométriques'!B2/'Données géométriques'!G2</f>
        <v>228401.19165839127</v>
      </c>
    </row>
    <row r="2" spans="1:1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27</v>
      </c>
      <c r="K2" t="s">
        <v>28</v>
      </c>
      <c r="L2" t="s">
        <v>12</v>
      </c>
    </row>
    <row r="3" spans="1:12" x14ac:dyDescent="0.3">
      <c r="A3" t="s">
        <v>9</v>
      </c>
      <c r="B3" t="s">
        <v>9</v>
      </c>
      <c r="C3" t="s">
        <v>10</v>
      </c>
      <c r="D3" t="s">
        <v>11</v>
      </c>
      <c r="E3" t="s">
        <v>10</v>
      </c>
      <c r="F3" t="s">
        <v>9</v>
      </c>
      <c r="G3" t="s">
        <v>10</v>
      </c>
      <c r="H3" t="s">
        <v>11</v>
      </c>
      <c r="I3" t="s">
        <v>11</v>
      </c>
      <c r="J3" t="s">
        <v>11</v>
      </c>
      <c r="K3" t="s">
        <v>11</v>
      </c>
      <c r="L3" t="s">
        <v>11</v>
      </c>
    </row>
    <row r="4" spans="1:12" x14ac:dyDescent="0.3">
      <c r="A4">
        <v>0</v>
      </c>
      <c r="B4">
        <f>A4*PI()/180</f>
        <v>0</v>
      </c>
      <c r="C4">
        <v>0</v>
      </c>
      <c r="D4">
        <v>8.8900000000000003E-3</v>
      </c>
      <c r="E4">
        <v>0</v>
      </c>
      <c r="F4">
        <f>C4/(1+2/'Données géométriques'!$B$6)</f>
        <v>0</v>
      </c>
      <c r="G4">
        <f>F4^2/(PI()*'Données géométriques'!$B$6)</f>
        <v>0</v>
      </c>
      <c r="H4">
        <f>D4+G4</f>
        <v>8.8900000000000003E-3</v>
      </c>
      <c r="I4">
        <v>0</v>
      </c>
      <c r="J4">
        <f>XCP_3D('Données géométriques'!$B$9,'Données géométriques'!$B$10,'Données géométriques'!$B$11,'Données géométriques'!$B$12,I4)</f>
        <v>-0.21093475128380432</v>
      </c>
      <c r="K4">
        <f>ZCP_3D('Données géométriques'!$B$9,'Données géométriques'!$B$10,'Données géométriques'!$B$11)</f>
        <v>-0.37564783319086603</v>
      </c>
      <c r="L4">
        <f>'0.1kts'!L4</f>
        <v>2.4610999999999997E-2</v>
      </c>
    </row>
    <row r="5" spans="1:12" x14ac:dyDescent="0.3">
      <c r="A5">
        <v>0.5</v>
      </c>
      <c r="B5">
        <f t="shared" ref="B5:B44" si="0">A5*PI()/180</f>
        <v>8.7266462599716477E-3</v>
      </c>
      <c r="C5">
        <v>5.1900000000000002E-2</v>
      </c>
      <c r="D5">
        <v>8.94E-3</v>
      </c>
      <c r="E5">
        <v>1.5E-3</v>
      </c>
      <c r="F5">
        <f>C5/(1+2/'Données géométriques'!$B$6)</f>
        <v>3.9962999999999999E-2</v>
      </c>
      <c r="G5">
        <f>F5^2/(PI()*'Données géométriques'!$B$6)</f>
        <v>7.5923008422957723E-5</v>
      </c>
      <c r="H5">
        <f>D5+G5</f>
        <v>9.0159230084229571E-3</v>
      </c>
      <c r="I5">
        <f>0.25-E5/(C5*COS(B5)+D5*SIN(B5))</f>
        <v>0.22114054807047454</v>
      </c>
      <c r="J5">
        <f>XCP_3D('Données géométriques'!$B$9,'Données géométriques'!$B$10,'Données géométriques'!$B$11,'Données géométriques'!$B$12,I5)</f>
        <v>-0.26610118371593494</v>
      </c>
      <c r="K5">
        <f>ZCP_3D('Données géométriques'!$B$9,'Données géométriques'!$B$10,'Données géométriques'!$B$11)</f>
        <v>-0.37564783319086603</v>
      </c>
      <c r="L5">
        <f>'0.1kts'!L5</f>
        <v>2.4663709524999997E-2</v>
      </c>
    </row>
    <row r="6" spans="1:12" x14ac:dyDescent="0.3">
      <c r="A6">
        <v>1</v>
      </c>
      <c r="B6">
        <f t="shared" si="0"/>
        <v>1.7453292519943295E-2</v>
      </c>
      <c r="C6">
        <v>0.1042</v>
      </c>
      <c r="D6">
        <v>9.0900000000000009E-3</v>
      </c>
      <c r="E6">
        <v>3.0000000000000001E-3</v>
      </c>
      <c r="F6">
        <f>C6/(1+2/'Données géométriques'!$B$6)</f>
        <v>8.0234E-2</v>
      </c>
      <c r="G6">
        <f>F6^2/(PI()*'Données géométriques'!$B$6)</f>
        <v>3.0603713721490594E-4</v>
      </c>
      <c r="H6">
        <f t="shared" ref="H6:H44" si="1">D6+G6</f>
        <v>9.3960371372149073E-3</v>
      </c>
      <c r="I6">
        <f t="shared" ref="I6:I44" si="2">0.25-E6/(C6*COS(B6)+D6*SIN(B6))</f>
        <v>0.22124860748411357</v>
      </c>
      <c r="J6">
        <f>XCP_3D('Données géométriques'!$B$9,'Données géométriques'!$B$10,'Données géométriques'!$B$11,'Données géométriques'!$B$12,I6)</f>
        <v>-0.26612814056484069</v>
      </c>
      <c r="K6">
        <f>ZCP_3D('Données géométriques'!$B$9,'Données géométriques'!$B$10,'Données géométriques'!$B$11)</f>
        <v>-0.37564783319086603</v>
      </c>
      <c r="L6">
        <f>'0.1kts'!L6</f>
        <v>2.4711766199999999E-2</v>
      </c>
    </row>
    <row r="7" spans="1:12" x14ac:dyDescent="0.3">
      <c r="A7">
        <v>1.5</v>
      </c>
      <c r="B7">
        <f t="shared" si="0"/>
        <v>2.6179938779914941E-2</v>
      </c>
      <c r="C7">
        <v>0.1575</v>
      </c>
      <c r="D7">
        <v>9.3399999999999993E-3</v>
      </c>
      <c r="E7">
        <v>4.1000000000000003E-3</v>
      </c>
      <c r="F7">
        <f>C7/(1+2/'Données géométriques'!$B$6)</f>
        <v>0.12127500000000001</v>
      </c>
      <c r="G7">
        <f>F7^2/(PI()*'Données géométriques'!$B$6)</f>
        <v>6.991974070826866E-4</v>
      </c>
      <c r="H7">
        <f t="shared" si="1"/>
        <v>1.0039197407082687E-2</v>
      </c>
      <c r="I7">
        <f t="shared" si="2"/>
        <v>0.22399970547311529</v>
      </c>
      <c r="J7">
        <f>XCP_3D('Données géométriques'!$B$9,'Données géométriques'!$B$10,'Données géométriques'!$B$11,'Données géométriques'!$B$12,I7)</f>
        <v>-0.26681443831823154</v>
      </c>
      <c r="K7">
        <f>ZCP_3D('Données géométriques'!$B$9,'Données géométriques'!$B$10,'Données géométriques'!$B$11)</f>
        <v>-0.37564783319086603</v>
      </c>
      <c r="L7">
        <f>'0.1kts'!L7</f>
        <v>2.4750517175E-2</v>
      </c>
    </row>
    <row r="8" spans="1:12" x14ac:dyDescent="0.3">
      <c r="A8">
        <v>2</v>
      </c>
      <c r="B8">
        <f t="shared" si="0"/>
        <v>3.4906585039886591E-2</v>
      </c>
      <c r="C8">
        <v>0.21299999999999999</v>
      </c>
      <c r="D8">
        <v>9.6699999999999998E-3</v>
      </c>
      <c r="E8">
        <v>4.7999999999999996E-3</v>
      </c>
      <c r="F8">
        <f>C8/(1+2/'Données géométriques'!$B$6)</f>
        <v>0.16400999999999999</v>
      </c>
      <c r="G8">
        <f>F8^2/(PI()*'Données géométriques'!$B$6)</f>
        <v>1.2787860785864209E-3</v>
      </c>
      <c r="H8">
        <f t="shared" si="1"/>
        <v>1.0948786078586421E-2</v>
      </c>
      <c r="I8">
        <f t="shared" si="2"/>
        <v>0.22748674436620261</v>
      </c>
      <c r="J8">
        <f>XCP_3D('Données géométriques'!$B$9,'Données géométriques'!$B$10,'Données géométriques'!$B$11,'Données géométriques'!$B$12,I8)</f>
        <v>-0.26768432625674798</v>
      </c>
      <c r="K8">
        <f>ZCP_3D('Données géométriques'!$B$9,'Données géométriques'!$B$10,'Données géométriques'!$B$11)</f>
        <v>-0.37564783319086603</v>
      </c>
      <c r="L8">
        <f>'0.1kts'!L8</f>
        <v>2.47753096E-2</v>
      </c>
    </row>
    <row r="9" spans="1:12" x14ac:dyDescent="0.3">
      <c r="A9">
        <v>2.5</v>
      </c>
      <c r="B9">
        <f t="shared" si="0"/>
        <v>4.3633231299858237E-2</v>
      </c>
      <c r="C9">
        <v>0.27200000000000002</v>
      </c>
      <c r="D9">
        <v>1.01E-2</v>
      </c>
      <c r="E9">
        <v>4.4999999999999997E-3</v>
      </c>
      <c r="F9">
        <f>C9/(1+2/'Données géométriques'!$B$6)</f>
        <v>0.20944000000000002</v>
      </c>
      <c r="G9">
        <f>F9^2/(PI()*'Données géométriques'!$B$6)</f>
        <v>2.0853382097497804E-3</v>
      </c>
      <c r="H9">
        <f t="shared" si="1"/>
        <v>1.218533820974978E-2</v>
      </c>
      <c r="I9">
        <f t="shared" si="2"/>
        <v>0.23346692499326899</v>
      </c>
      <c r="J9">
        <f>XCP_3D('Données géométriques'!$B$9,'Données géométriques'!$B$10,'Données géométriques'!$B$11,'Données géométriques'!$B$12,I9)</f>
        <v>-0.26917616135154915</v>
      </c>
      <c r="K9">
        <f>ZCP_3D('Données géométriques'!$B$9,'Données géométriques'!$B$10,'Données géométriques'!$B$11)</f>
        <v>-0.37564783319086603</v>
      </c>
      <c r="L9">
        <f>'0.1kts'!L9</f>
        <v>2.4781490624999996E-2</v>
      </c>
    </row>
    <row r="10" spans="1:12" x14ac:dyDescent="0.3">
      <c r="A10">
        <v>3</v>
      </c>
      <c r="B10">
        <f t="shared" si="0"/>
        <v>5.2359877559829883E-2</v>
      </c>
      <c r="C10">
        <v>0.33110000000000001</v>
      </c>
      <c r="D10">
        <v>1.0580000000000001E-2</v>
      </c>
      <c r="E10">
        <v>3.8999999999999998E-3</v>
      </c>
      <c r="F10">
        <f>C10/(1+2/'Données géométriques'!$B$6)</f>
        <v>0.25494699999999998</v>
      </c>
      <c r="G10">
        <f>F10^2/(PI()*'Données géométriques'!$B$6)</f>
        <v>3.089989860527454E-3</v>
      </c>
      <c r="H10">
        <f t="shared" si="1"/>
        <v>1.3669989860527455E-2</v>
      </c>
      <c r="I10">
        <f t="shared" si="2"/>
        <v>0.23822463602344593</v>
      </c>
      <c r="J10">
        <f>XCP_3D('Données géométriques'!$B$9,'Données géométriques'!$B$10,'Données géométriques'!$B$11,'Données géométriques'!$B$12,I10)</f>
        <v>-0.27036303524856964</v>
      </c>
      <c r="K10">
        <f>ZCP_3D('Données géométriques'!$B$9,'Données géométriques'!$B$10,'Données géométriques'!$B$11)</f>
        <v>-0.37564783319086603</v>
      </c>
      <c r="L10">
        <f>'0.1kts'!L10</f>
        <v>2.4764407400000001E-2</v>
      </c>
    </row>
    <row r="11" spans="1:12" x14ac:dyDescent="0.3">
      <c r="A11">
        <v>3.5</v>
      </c>
      <c r="B11">
        <f t="shared" si="0"/>
        <v>6.1086523819801536E-2</v>
      </c>
      <c r="C11">
        <v>0.39429999999999998</v>
      </c>
      <c r="D11">
        <v>1.1140000000000001E-2</v>
      </c>
      <c r="E11">
        <v>2.3E-3</v>
      </c>
      <c r="F11">
        <f>C11/(1+2/'Données géométriques'!$B$6)</f>
        <v>0.30361099999999996</v>
      </c>
      <c r="G11">
        <f>F11^2/(PI()*'Données géométriques'!$B$6)</f>
        <v>4.3822005293298622E-3</v>
      </c>
      <c r="H11">
        <f t="shared" si="1"/>
        <v>1.5522200529329863E-2</v>
      </c>
      <c r="I11">
        <f t="shared" si="2"/>
        <v>0.24416605880008732</v>
      </c>
      <c r="J11">
        <f>XCP_3D('Données géométriques'!$B$9,'Données géométriques'!$B$10,'Données géométriques'!$B$11,'Données géométriques'!$B$12,I11)</f>
        <v>-0.27184520168533771</v>
      </c>
      <c r="K11">
        <f>ZCP_3D('Données géométriques'!$B$9,'Données géométriques'!$B$10,'Données géométriques'!$B$11)</f>
        <v>-0.37564783319086603</v>
      </c>
      <c r="L11">
        <f>'0.1kts'!L11</f>
        <v>2.4719407074999998E-2</v>
      </c>
    </row>
    <row r="12" spans="1:12" x14ac:dyDescent="0.3">
      <c r="A12">
        <v>4</v>
      </c>
      <c r="B12">
        <f t="shared" si="0"/>
        <v>6.9813170079773182E-2</v>
      </c>
      <c r="C12">
        <v>0.45850000000000002</v>
      </c>
      <c r="D12">
        <v>1.1769999999999999E-2</v>
      </c>
      <c r="E12">
        <v>2.9999999999999997E-4</v>
      </c>
      <c r="F12">
        <f>C12/(1+2/'Données géométriques'!$B$6)</f>
        <v>0.353045</v>
      </c>
      <c r="G12">
        <f>F12^2/(PI()*'Données géométriques'!$B$6)</f>
        <v>5.9253959026893746E-3</v>
      </c>
      <c r="H12">
        <f t="shared" si="1"/>
        <v>1.7695395902689374E-2</v>
      </c>
      <c r="I12">
        <f t="shared" si="2"/>
        <v>0.24934527000788745</v>
      </c>
      <c r="J12">
        <f>XCP_3D('Données géométriques'!$B$9,'Données géométriques'!$B$10,'Données géométriques'!$B$11,'Données géométriques'!$B$12,I12)</f>
        <v>-0.27313722437244792</v>
      </c>
      <c r="K12">
        <f>ZCP_3D('Données géométriques'!$B$9,'Données géométriques'!$B$10,'Données géométriques'!$B$11)</f>
        <v>-0.37564783319086603</v>
      </c>
      <c r="L12">
        <f>'0.1kts'!L12</f>
        <v>2.4641836800000001E-2</v>
      </c>
    </row>
    <row r="13" spans="1:12" x14ac:dyDescent="0.3">
      <c r="A13">
        <v>4.5</v>
      </c>
      <c r="B13">
        <f t="shared" si="0"/>
        <v>7.8539816339744828E-2</v>
      </c>
      <c r="C13">
        <v>0.52459999999999996</v>
      </c>
      <c r="D13">
        <v>1.2489999999999999E-2</v>
      </c>
      <c r="E13">
        <v>-2.3999999999999998E-3</v>
      </c>
      <c r="F13">
        <f>C13/(1+2/'Données géométriques'!$B$6)</f>
        <v>0.40394199999999997</v>
      </c>
      <c r="G13">
        <f>F13^2/(PI()*'Données géométriques'!$B$6)</f>
        <v>7.7570263255339229E-3</v>
      </c>
      <c r="H13">
        <f t="shared" si="1"/>
        <v>2.0247026325533921E-2</v>
      </c>
      <c r="I13">
        <f t="shared" si="2"/>
        <v>0.25458047796102373</v>
      </c>
      <c r="J13">
        <f>XCP_3D('Données géométriques'!$B$9,'Données géométriques'!$B$10,'Données géométriques'!$B$11,'Données géométriques'!$B$12,I13)</f>
        <v>-0.27444321618776418</v>
      </c>
      <c r="K13">
        <f>ZCP_3D('Données géométriques'!$B$9,'Données géométriques'!$B$10,'Données géométriques'!$B$11)</f>
        <v>-0.37564783319086603</v>
      </c>
      <c r="L13">
        <f>'0.1kts'!L13</f>
        <v>2.4527043724999999E-2</v>
      </c>
    </row>
    <row r="14" spans="1:12" x14ac:dyDescent="0.3">
      <c r="A14">
        <v>5</v>
      </c>
      <c r="B14">
        <f t="shared" si="0"/>
        <v>8.7266462599716474E-2</v>
      </c>
      <c r="C14">
        <v>0.59209999999999996</v>
      </c>
      <c r="D14">
        <v>1.325E-2</v>
      </c>
      <c r="E14">
        <v>-5.4000000000000003E-3</v>
      </c>
      <c r="F14">
        <f>C14/(1+2/'Données géométriques'!$B$6)</f>
        <v>0.45591699999999996</v>
      </c>
      <c r="G14">
        <f>F14^2/(PI()*'Données géométriques'!$B$6)</f>
        <v>9.8816351540760607E-3</v>
      </c>
      <c r="H14">
        <f t="shared" si="1"/>
        <v>2.3131635154076062E-2</v>
      </c>
      <c r="I14">
        <f t="shared" si="2"/>
        <v>0.25913702964271168</v>
      </c>
      <c r="J14">
        <f>XCP_3D('Données géométriques'!$B$9,'Données géométriques'!$B$10,'Données géométriques'!$B$11,'Données géométriques'!$B$12,I14)</f>
        <v>-0.27557990822667117</v>
      </c>
      <c r="K14">
        <f>ZCP_3D('Données géométriques'!$B$9,'Données géométriques'!$B$10,'Données géométriques'!$B$11)</f>
        <v>-0.37564783319086603</v>
      </c>
      <c r="L14">
        <f>'0.1kts'!L14</f>
        <v>2.4370375E-2</v>
      </c>
    </row>
    <row r="15" spans="1:12" x14ac:dyDescent="0.3">
      <c r="A15">
        <v>5.5</v>
      </c>
      <c r="B15">
        <f t="shared" si="0"/>
        <v>9.599310885968812E-2</v>
      </c>
      <c r="C15">
        <v>0.65620000000000001</v>
      </c>
      <c r="D15">
        <v>1.4030000000000001E-2</v>
      </c>
      <c r="E15">
        <v>-7.7999999999999996E-3</v>
      </c>
      <c r="F15">
        <f>C15/(1+2/'Données géométriques'!$B$6)</f>
        <v>0.505274</v>
      </c>
      <c r="G15">
        <f>F15^2/(PI()*'Données géométriques'!$B$6)</f>
        <v>1.2136994214838995E-2</v>
      </c>
      <c r="H15">
        <f t="shared" si="1"/>
        <v>2.6166994214838996E-2</v>
      </c>
      <c r="I15">
        <f t="shared" si="2"/>
        <v>0.26191706272024839</v>
      </c>
      <c r="J15">
        <f>XCP_3D('Données géométriques'!$B$9,'Données géométriques'!$B$10,'Données géométriques'!$B$11,'Données géométriques'!$B$12,I15)</f>
        <v>-0.27627342422032058</v>
      </c>
      <c r="K15">
        <f>ZCP_3D('Données géométriques'!$B$9,'Données géométriques'!$B$10,'Données géométriques'!$B$11)</f>
        <v>-0.37564783319086603</v>
      </c>
      <c r="L15">
        <f>'0.1kts'!L15</f>
        <v>2.4167177775E-2</v>
      </c>
    </row>
    <row r="16" spans="1:12" x14ac:dyDescent="0.3">
      <c r="A16">
        <v>6</v>
      </c>
      <c r="B16">
        <f t="shared" si="0"/>
        <v>0.10471975511965977</v>
      </c>
      <c r="C16">
        <v>0.69769999999999999</v>
      </c>
      <c r="D16">
        <v>1.4760000000000001E-2</v>
      </c>
      <c r="E16">
        <v>-5.4000000000000003E-3</v>
      </c>
      <c r="F16">
        <f>C16/(1+2/'Données géométriques'!$B$6)</f>
        <v>0.53722899999999996</v>
      </c>
      <c r="G16">
        <f>F16^2/(PI()*'Données géométriques'!$B$6)</f>
        <v>1.3720695896154945E-2</v>
      </c>
      <c r="H16">
        <f t="shared" si="1"/>
        <v>2.8480695896154946E-2</v>
      </c>
      <c r="I16">
        <f t="shared" si="2"/>
        <v>0.25776508304037482</v>
      </c>
      <c r="J16">
        <f>XCP_3D('Données géométriques'!$B$9,'Données géométriques'!$B$10,'Données géométriques'!$B$11,'Données géométriques'!$B$12,I16)</f>
        <v>-0.27523765801431216</v>
      </c>
      <c r="K16">
        <f>ZCP_3D('Données géométriques'!$B$9,'Données géométriques'!$B$10,'Données géométriques'!$B$11)</f>
        <v>-0.37564783319086603</v>
      </c>
      <c r="L16">
        <f>'0.1kts'!L16</f>
        <v>2.3912799200000001E-2</v>
      </c>
    </row>
    <row r="17" spans="1:12" x14ac:dyDescent="0.3">
      <c r="A17">
        <v>6.5</v>
      </c>
      <c r="B17">
        <f t="shared" si="0"/>
        <v>0.11344640137963143</v>
      </c>
      <c r="C17">
        <v>0.73939999999999995</v>
      </c>
      <c r="D17">
        <v>1.549E-2</v>
      </c>
      <c r="E17">
        <v>-2.8999999999999998E-3</v>
      </c>
      <c r="F17">
        <f>C17/(1+2/'Données géométriques'!$B$6)</f>
        <v>0.56933800000000001</v>
      </c>
      <c r="G17">
        <f>F17^2/(PI()*'Données géométriques'!$B$6)</f>
        <v>1.5409820691642481E-2</v>
      </c>
      <c r="H17">
        <f t="shared" si="1"/>
        <v>3.0899820691642481E-2</v>
      </c>
      <c r="I17">
        <f t="shared" si="2"/>
        <v>0.25393807420213615</v>
      </c>
      <c r="J17">
        <f>XCP_3D('Données géométriques'!$B$9,'Données géométriques'!$B$10,'Données géométriques'!$B$11,'Données géométriques'!$B$12,I17)</f>
        <v>-0.27428296007974673</v>
      </c>
      <c r="K17">
        <f>ZCP_3D('Données géométriques'!$B$9,'Données géométriques'!$B$10,'Données géométriques'!$B$11)</f>
        <v>-0.37564783319086603</v>
      </c>
      <c r="L17">
        <f>'0.1kts'!L17</f>
        <v>2.3602586424999999E-2</v>
      </c>
    </row>
    <row r="18" spans="1:12" x14ac:dyDescent="0.3">
      <c r="A18">
        <v>7</v>
      </c>
      <c r="B18">
        <f t="shared" si="0"/>
        <v>0.12217304763960307</v>
      </c>
      <c r="C18">
        <v>0.78069999999999995</v>
      </c>
      <c r="D18">
        <v>1.6320000000000001E-2</v>
      </c>
      <c r="E18">
        <v>-5.0000000000000001E-4</v>
      </c>
      <c r="F18">
        <f>C18/(1+2/'Données géométriques'!$B$6)</f>
        <v>0.60113899999999998</v>
      </c>
      <c r="G18">
        <f>F18^2/(PI()*'Données géométriques'!$B$6)</f>
        <v>1.717936280753319E-2</v>
      </c>
      <c r="H18">
        <f t="shared" si="1"/>
        <v>3.3499362807533191E-2</v>
      </c>
      <c r="I18">
        <f t="shared" si="2"/>
        <v>0.25064360858397366</v>
      </c>
      <c r="J18">
        <f>XCP_3D('Données géométriques'!$B$9,'Données géométriques'!$B$10,'Données géométriques'!$B$11,'Données géométriques'!$B$12,I18)</f>
        <v>-0.27346111208981289</v>
      </c>
      <c r="K18">
        <f>ZCP_3D('Données géométriques'!$B$9,'Données géométriques'!$B$10,'Données géométriques'!$B$11)</f>
        <v>-0.37564783319086603</v>
      </c>
      <c r="L18">
        <f>'0.1kts'!L18</f>
        <v>2.3231886599999998E-2</v>
      </c>
    </row>
    <row r="19" spans="1:12" x14ac:dyDescent="0.3">
      <c r="A19">
        <v>7.5</v>
      </c>
      <c r="B19">
        <f t="shared" si="0"/>
        <v>0.1308996938995747</v>
      </c>
      <c r="C19">
        <v>0.82169999999999999</v>
      </c>
      <c r="D19">
        <v>1.72E-2</v>
      </c>
      <c r="E19">
        <v>2E-3</v>
      </c>
      <c r="F19">
        <f>C19/(1+2/'Données géométriques'!$B$6)</f>
        <v>0.63270899999999997</v>
      </c>
      <c r="G19">
        <f>F19^2/(PI()*'Données géométriques'!$B$6)</f>
        <v>1.9031160275085973E-2</v>
      </c>
      <c r="H19">
        <f t="shared" si="1"/>
        <v>3.6231160275085973E-2</v>
      </c>
      <c r="I19">
        <f t="shared" si="2"/>
        <v>0.24755176574988857</v>
      </c>
      <c r="J19">
        <f>XCP_3D('Données géométriques'!$B$9,'Données géométriques'!$B$10,'Données géométriques'!$B$11,'Données géométriques'!$B$12,I19)</f>
        <v>-0.27268981103134249</v>
      </c>
      <c r="K19">
        <f>ZCP_3D('Données géométriques'!$B$9,'Données géométriques'!$B$10,'Données géométriques'!$B$11)</f>
        <v>-0.37564783319086603</v>
      </c>
      <c r="L19">
        <f>'0.1kts'!L19</f>
        <v>2.2796046875E-2</v>
      </c>
    </row>
    <row r="20" spans="1:12" x14ac:dyDescent="0.3">
      <c r="A20">
        <v>8</v>
      </c>
      <c r="B20">
        <f t="shared" si="0"/>
        <v>0.13962634015954636</v>
      </c>
      <c r="C20">
        <v>0.86250000000000004</v>
      </c>
      <c r="D20">
        <v>1.8169999999999999E-2</v>
      </c>
      <c r="E20">
        <v>4.4999999999999997E-3</v>
      </c>
      <c r="F20">
        <f>C20/(1+2/'Données géométriques'!$B$6)</f>
        <v>0.66412500000000008</v>
      </c>
      <c r="G20">
        <f>F20^2/(PI()*'Données géométriques'!$B$6)</f>
        <v>2.0967994804237031E-2</v>
      </c>
      <c r="H20">
        <f t="shared" si="1"/>
        <v>3.9137994804237033E-2</v>
      </c>
      <c r="I20">
        <f t="shared" si="2"/>
        <v>0.24474688743602074</v>
      </c>
      <c r="J20">
        <f>XCP_3D('Données géométriques'!$B$9,'Données géométriques'!$B$10,'Données géométriques'!$B$11,'Données géométriques'!$B$12,I20)</f>
        <v>-0.27199009706512511</v>
      </c>
      <c r="K20">
        <f>ZCP_3D('Données géométriques'!$B$9,'Données géométriques'!$B$10,'Données géométriques'!$B$11)</f>
        <v>-0.37564783319086603</v>
      </c>
      <c r="L20">
        <f>'0.1kts'!L20</f>
        <v>2.22904144E-2</v>
      </c>
    </row>
    <row r="21" spans="1:12" x14ac:dyDescent="0.3">
      <c r="A21">
        <v>8.5</v>
      </c>
      <c r="B21">
        <f t="shared" si="0"/>
        <v>0.14835298641951802</v>
      </c>
      <c r="C21">
        <v>0.90290000000000004</v>
      </c>
      <c r="D21">
        <v>1.925E-2</v>
      </c>
      <c r="E21">
        <v>6.8999999999999999E-3</v>
      </c>
      <c r="F21">
        <f>C21/(1+2/'Données géométriques'!$B$6)</f>
        <v>0.69523299999999999</v>
      </c>
      <c r="G21">
        <f>F21^2/(PI()*'Données géométriques'!$B$6)</f>
        <v>2.2978305485599045E-2</v>
      </c>
      <c r="H21">
        <f t="shared" si="1"/>
        <v>4.2228305485599041E-2</v>
      </c>
      <c r="I21">
        <f t="shared" si="2"/>
        <v>0.24229762644917127</v>
      </c>
      <c r="J21">
        <f>XCP_3D('Données géométriques'!$B$9,'Données géométriques'!$B$10,'Données géométriques'!$B$11,'Données géométriques'!$B$12,I21)</f>
        <v>-0.27137909654116465</v>
      </c>
      <c r="K21">
        <f>ZCP_3D('Données géométriques'!$B$9,'Données géométriques'!$B$10,'Données géométriques'!$B$11)</f>
        <v>-0.37564783319086603</v>
      </c>
      <c r="L21">
        <f>'0.1kts'!L21</f>
        <v>2.1710336324999999E-2</v>
      </c>
    </row>
    <row r="22" spans="1:12" x14ac:dyDescent="0.3">
      <c r="A22">
        <v>9</v>
      </c>
      <c r="B22">
        <f t="shared" si="0"/>
        <v>0.15707963267948966</v>
      </c>
      <c r="C22">
        <v>0.94230000000000003</v>
      </c>
      <c r="D22">
        <v>2.0469999999999999E-2</v>
      </c>
      <c r="E22">
        <v>9.1999999999999998E-3</v>
      </c>
      <c r="F22">
        <f>C22/(1+2/'Données géométriques'!$B$6)</f>
        <v>0.72557100000000008</v>
      </c>
      <c r="G22">
        <f>F22^2/(PI()*'Données géométriques'!$B$6)</f>
        <v>2.5027477238227101E-2</v>
      </c>
      <c r="H22">
        <f t="shared" si="1"/>
        <v>4.5497477238227099E-2</v>
      </c>
      <c r="I22">
        <f t="shared" si="2"/>
        <v>0.24014884808756243</v>
      </c>
      <c r="J22">
        <f>XCP_3D('Données géométriques'!$B$9,'Données géométriques'!$B$10,'Données géométriques'!$B$11,'Données géométriques'!$B$12,I22)</f>
        <v>-0.27084305537941644</v>
      </c>
      <c r="K22">
        <f>ZCP_3D('Données géométriques'!$B$9,'Données géométriques'!$B$10,'Données géométriques'!$B$11)</f>
        <v>-0.37564783319086603</v>
      </c>
      <c r="L22">
        <f>'0.1kts'!L22</f>
        <v>2.10511598E-2</v>
      </c>
    </row>
    <row r="23" spans="1:12" x14ac:dyDescent="0.3">
      <c r="A23">
        <v>9.5</v>
      </c>
      <c r="B23">
        <f t="shared" si="0"/>
        <v>0.16580627893946129</v>
      </c>
      <c r="C23">
        <v>0.98180000000000001</v>
      </c>
      <c r="D23">
        <v>2.171E-2</v>
      </c>
      <c r="E23">
        <v>1.15E-2</v>
      </c>
      <c r="F23">
        <f>C23/(1+2/'Données géométriques'!$B$6)</f>
        <v>0.75598600000000005</v>
      </c>
      <c r="G23">
        <f>F23^2/(PI()*'Données géométriques'!$B$6)</f>
        <v>2.7169694073630596E-2</v>
      </c>
      <c r="H23">
        <f t="shared" si="1"/>
        <v>4.8879694073630596E-2</v>
      </c>
      <c r="I23">
        <f t="shared" si="2"/>
        <v>0.23816773079665074</v>
      </c>
      <c r="J23">
        <f>XCP_3D('Données géométriques'!$B$9,'Données géométriques'!$B$10,'Données géométriques'!$B$11,'Données géométriques'!$B$12,I23)</f>
        <v>-0.27034883948765631</v>
      </c>
      <c r="K23">
        <f>ZCP_3D('Données géométriques'!$B$9,'Données géométriques'!$B$10,'Données géométriques'!$B$11)</f>
        <v>-0.37564783319086603</v>
      </c>
      <c r="L23">
        <f>'0.1kts'!L23</f>
        <v>2.0308231975E-2</v>
      </c>
    </row>
    <row r="24" spans="1:12" x14ac:dyDescent="0.3">
      <c r="A24">
        <v>10</v>
      </c>
      <c r="B24">
        <f t="shared" si="0"/>
        <v>0.17453292519943295</v>
      </c>
      <c r="C24">
        <v>1.0184</v>
      </c>
      <c r="D24">
        <v>2.3179999999999999E-2</v>
      </c>
      <c r="E24">
        <v>1.4E-2</v>
      </c>
      <c r="F24">
        <f>C24/(1+2/'Données géométriques'!$B$6)</f>
        <v>0.78416799999999998</v>
      </c>
      <c r="G24">
        <f>F24^2/(PI()*'Données géométriques'!$B$6)</f>
        <v>2.9233140516501738E-2</v>
      </c>
      <c r="H24">
        <f t="shared" si="1"/>
        <v>5.2413140516501741E-2</v>
      </c>
      <c r="I24">
        <f t="shared" si="2"/>
        <v>0.23609667510716548</v>
      </c>
      <c r="J24">
        <f>XCP_3D('Données géométriques'!$B$9,'Données géométriques'!$B$10,'Données géométriques'!$B$11,'Données géométriques'!$B$12,I24)</f>
        <v>-0.26983218727369374</v>
      </c>
      <c r="K24">
        <f>ZCP_3D('Données géométriques'!$B$9,'Données géométriques'!$B$10,'Données géométriques'!$B$11)</f>
        <v>-0.37564783319086603</v>
      </c>
      <c r="L24">
        <f>'0.1kts'!L24</f>
        <v>1.9476900000000002E-2</v>
      </c>
    </row>
    <row r="25" spans="1:12" x14ac:dyDescent="0.3">
      <c r="A25">
        <v>10.5</v>
      </c>
      <c r="B25">
        <f t="shared" si="0"/>
        <v>0.18325957145940461</v>
      </c>
      <c r="C25">
        <v>1.0532999999999999</v>
      </c>
      <c r="D25">
        <v>2.4729999999999999E-2</v>
      </c>
      <c r="E25">
        <v>1.6500000000000001E-2</v>
      </c>
      <c r="F25">
        <f>C25/(1+2/'Données géométriques'!$B$6)</f>
        <v>0.8110409999999999</v>
      </c>
      <c r="G25">
        <f>F25^2/(PI()*'Données géométriques'!$B$6)</f>
        <v>3.1271078603154763E-2</v>
      </c>
      <c r="H25">
        <f t="shared" si="1"/>
        <v>5.6001078603154758E-2</v>
      </c>
      <c r="I25">
        <f t="shared" si="2"/>
        <v>0.23413719429066407</v>
      </c>
      <c r="J25">
        <f>XCP_3D('Données géométriques'!$B$9,'Données géométriques'!$B$10,'Données géométriques'!$B$11,'Données géométriques'!$B$12,I25)</f>
        <v>-0.26934336888643468</v>
      </c>
      <c r="K25">
        <f>ZCP_3D('Données géométriques'!$B$9,'Données géométriques'!$B$10,'Données géométriques'!$B$11)</f>
        <v>-0.37564783319086603</v>
      </c>
      <c r="L25">
        <f>'0.1kts'!L25</f>
        <v>1.8552511024999999E-2</v>
      </c>
    </row>
    <row r="26" spans="1:12" x14ac:dyDescent="0.3">
      <c r="A26">
        <v>11</v>
      </c>
      <c r="B26">
        <f t="shared" si="0"/>
        <v>0.19198621771937624</v>
      </c>
      <c r="C26">
        <v>1.0837000000000001</v>
      </c>
      <c r="D26">
        <v>2.6519999999999998E-2</v>
      </c>
      <c r="E26">
        <v>1.9400000000000001E-2</v>
      </c>
      <c r="F26">
        <f>C26/(1+2/'Données géométriques'!$B$6)</f>
        <v>0.83444900000000011</v>
      </c>
      <c r="G26">
        <f>F26^2/(PI()*'Données géométriques'!$B$6)</f>
        <v>3.3102198571374294E-2</v>
      </c>
      <c r="H26">
        <f t="shared" si="1"/>
        <v>5.9622198571374296E-2</v>
      </c>
      <c r="I26">
        <f t="shared" si="2"/>
        <v>0.23184964526690555</v>
      </c>
      <c r="J26">
        <f>XCP_3D('Données géométriques'!$B$9,'Données géométriques'!$B$10,'Données géométriques'!$B$11,'Données géométriques'!$B$12,I26)</f>
        <v>-0.26877270954894394</v>
      </c>
      <c r="K26">
        <f>ZCP_3D('Données géométriques'!$B$9,'Données géométriques'!$B$10,'Données géométriques'!$B$11)</f>
        <v>-0.37564783319086603</v>
      </c>
      <c r="L26">
        <f>'0.1kts'!L26</f>
        <v>1.7530412199999998E-2</v>
      </c>
    </row>
    <row r="27" spans="1:12" x14ac:dyDescent="0.3">
      <c r="A27">
        <v>11.5</v>
      </c>
      <c r="B27">
        <f t="shared" si="0"/>
        <v>0.20071286397934787</v>
      </c>
      <c r="C27">
        <v>1.1104000000000001</v>
      </c>
      <c r="D27">
        <v>2.8410000000000001E-2</v>
      </c>
      <c r="E27">
        <v>2.2700000000000001E-2</v>
      </c>
      <c r="F27">
        <f>C27/(1+2/'Données géométriques'!$B$6)</f>
        <v>0.8550080000000001</v>
      </c>
      <c r="G27">
        <f>F27^2/(PI()*'Données géométriques'!$B$6)</f>
        <v>3.475342401353098E-2</v>
      </c>
      <c r="H27">
        <f t="shared" si="1"/>
        <v>6.3163424013530978E-2</v>
      </c>
      <c r="I27">
        <f t="shared" si="2"/>
        <v>0.22924613998941759</v>
      </c>
      <c r="J27">
        <f>XCP_3D('Données géométriques'!$B$9,'Données géométriques'!$B$10,'Données géométriques'!$B$11,'Données géométriques'!$B$12,I27)</f>
        <v>-0.26812323074810668</v>
      </c>
      <c r="K27">
        <f>ZCP_3D('Données géométriques'!$B$9,'Données géométriques'!$B$10,'Données géométriques'!$B$11)</f>
        <v>-0.37564783319086603</v>
      </c>
      <c r="L27">
        <f>'0.1kts'!L27</f>
        <v>1.6405950674999999E-2</v>
      </c>
    </row>
    <row r="28" spans="1:12" x14ac:dyDescent="0.3">
      <c r="A28">
        <v>12</v>
      </c>
      <c r="B28">
        <f t="shared" si="0"/>
        <v>0.20943951023931953</v>
      </c>
      <c r="C28">
        <v>1.129</v>
      </c>
      <c r="D28">
        <v>3.056E-2</v>
      </c>
      <c r="E28">
        <v>2.6599999999999999E-2</v>
      </c>
      <c r="F28">
        <f>C28/(1+2/'Données géométriques'!$B$6)</f>
        <v>0.86933000000000005</v>
      </c>
      <c r="G28">
        <f>F28^2/(PI()*'Données géométriques'!$B$6)</f>
        <v>3.5927465141296355E-2</v>
      </c>
      <c r="H28">
        <f t="shared" si="1"/>
        <v>6.6487465141296359E-2</v>
      </c>
      <c r="I28">
        <f t="shared" si="2"/>
        <v>0.22605075991017279</v>
      </c>
      <c r="J28">
        <f>XCP_3D('Données géométriques'!$B$9,'Données géométriques'!$B$10,'Données géométriques'!$B$11,'Données géométriques'!$B$12,I28)</f>
        <v>-0.26732610095542586</v>
      </c>
      <c r="K28">
        <f>ZCP_3D('Données géométriques'!$B$9,'Données géométriques'!$B$10,'Données géométriques'!$B$11)</f>
        <v>-0.37564783319086603</v>
      </c>
      <c r="L28">
        <f>'0.1kts'!L28</f>
        <v>1.5174473599999998E-2</v>
      </c>
    </row>
    <row r="29" spans="1:12" x14ac:dyDescent="0.3">
      <c r="A29">
        <v>12.5</v>
      </c>
      <c r="B29">
        <f t="shared" si="0"/>
        <v>0.21816615649929119</v>
      </c>
      <c r="C29">
        <v>1.1418999999999999</v>
      </c>
      <c r="D29">
        <v>3.3340000000000002E-2</v>
      </c>
      <c r="E29">
        <v>2.9899999999999999E-2</v>
      </c>
      <c r="F29">
        <f>C29/(1+2/'Données géométriques'!$B$6)</f>
        <v>0.87926299999999991</v>
      </c>
      <c r="G29">
        <f>F29^2/(PI()*'Données géométriques'!$B$6)</f>
        <v>3.6753172991273612E-2</v>
      </c>
      <c r="H29">
        <f t="shared" si="1"/>
        <v>7.0093172991273614E-2</v>
      </c>
      <c r="I29">
        <f t="shared" si="2"/>
        <v>0.22335231070086026</v>
      </c>
      <c r="J29">
        <f>XCP_3D('Données géométriques'!$B$9,'Données géométriques'!$B$10,'Données géométriques'!$B$11,'Données géométriques'!$B$12,I29)</f>
        <v>-0.2666529371359645</v>
      </c>
      <c r="K29">
        <f>ZCP_3D('Données géométriques'!$B$9,'Données géométriques'!$B$10,'Données géométriques'!$B$11)</f>
        <v>-0.37564783319086603</v>
      </c>
      <c r="L29">
        <f>'0.1kts'!L29</f>
        <v>1.3831328124999999E-2</v>
      </c>
    </row>
    <row r="30" spans="1:12" x14ac:dyDescent="0.3">
      <c r="A30">
        <v>13</v>
      </c>
      <c r="B30">
        <f t="shared" si="0"/>
        <v>0.22689280275926285</v>
      </c>
      <c r="C30">
        <v>1.1529</v>
      </c>
      <c r="D30">
        <v>3.6720000000000003E-2</v>
      </c>
      <c r="E30">
        <v>3.2199999999999999E-2</v>
      </c>
      <c r="F30">
        <f>C30/(1+2/'Données géométriques'!$B$6)</f>
        <v>0.88773299999999999</v>
      </c>
      <c r="G30">
        <f>F30^2/(PI()*'Données géométriques'!$B$6)</f>
        <v>3.7464675145267343E-2</v>
      </c>
      <c r="H30">
        <f t="shared" si="1"/>
        <v>7.4184675145267345E-2</v>
      </c>
      <c r="I30">
        <f t="shared" si="2"/>
        <v>0.22154500337687838</v>
      </c>
      <c r="J30">
        <f>XCP_3D('Données géométriques'!$B$9,'Données géométriques'!$B$10,'Données géométriques'!$B$11,'Données géométriques'!$B$12,I30)</f>
        <v>-0.26620208043762289</v>
      </c>
      <c r="K30">
        <f>ZCP_3D('Données géométriques'!$B$9,'Données géométriques'!$B$10,'Données géométriques'!$B$11)</f>
        <v>-0.37564783319086603</v>
      </c>
      <c r="L30">
        <f>'0.1kts'!L30</f>
        <v>1.23718614E-2</v>
      </c>
    </row>
    <row r="31" spans="1:12" x14ac:dyDescent="0.3">
      <c r="A31">
        <v>13.5</v>
      </c>
      <c r="B31">
        <f t="shared" si="0"/>
        <v>0.23561944901923448</v>
      </c>
      <c r="C31">
        <v>1.1594</v>
      </c>
      <c r="D31">
        <v>4.0910000000000002E-2</v>
      </c>
      <c r="E31">
        <v>3.3099999999999997E-2</v>
      </c>
      <c r="F31">
        <f>C31/(1+2/'Données géométriques'!$B$6)</f>
        <v>0.89273800000000003</v>
      </c>
      <c r="G31">
        <f>F31^2/(PI()*'Données géométriques'!$B$6)</f>
        <v>3.7888314432486594E-2</v>
      </c>
      <c r="H31">
        <f t="shared" si="1"/>
        <v>7.8798314432486596E-2</v>
      </c>
      <c r="I31">
        <f t="shared" si="2"/>
        <v>0.2208861500088394</v>
      </c>
      <c r="J31">
        <f>XCP_3D('Données géométriques'!$B$9,'Données géométriques'!$B$10,'Données géométriques'!$B$11,'Données géométriques'!$B$12,I31)</f>
        <v>-0.26603772075719384</v>
      </c>
      <c r="K31">
        <f>ZCP_3D('Données géométriques'!$B$9,'Données géométriques'!$B$10,'Données géométriques'!$B$11)</f>
        <v>-0.37564783319086603</v>
      </c>
      <c r="L31">
        <f>'0.1kts'!L31</f>
        <v>1.0791420575E-2</v>
      </c>
    </row>
    <row r="32" spans="1:12" x14ac:dyDescent="0.3">
      <c r="A32">
        <v>14</v>
      </c>
      <c r="B32">
        <f t="shared" si="0"/>
        <v>0.24434609527920614</v>
      </c>
      <c r="C32">
        <v>1.161</v>
      </c>
      <c r="D32">
        <v>4.6179999999999999E-2</v>
      </c>
      <c r="E32">
        <v>3.2500000000000001E-2</v>
      </c>
      <c r="F32">
        <f>C32/(1+2/'Données géométriques'!$B$6)</f>
        <v>0.89397000000000004</v>
      </c>
      <c r="G32">
        <f>F32^2/(PI()*'Données géométriques'!$B$6)</f>
        <v>3.7992960167389352E-2</v>
      </c>
      <c r="H32">
        <f t="shared" si="1"/>
        <v>8.4172960167389343E-2</v>
      </c>
      <c r="I32">
        <f t="shared" si="2"/>
        <v>0.22143322477029542</v>
      </c>
      <c r="J32">
        <f>XCP_3D('Données géométriques'!$B$9,'Données géométriques'!$B$10,'Données géométriques'!$B$11,'Données géométriques'!$B$12,I32)</f>
        <v>-0.26617419578688217</v>
      </c>
      <c r="K32">
        <f>ZCP_3D('Données géométriques'!$B$9,'Données géométriques'!$B$10,'Données géométriques'!$B$11)</f>
        <v>-0.37564783319086603</v>
      </c>
      <c r="L32">
        <f>'0.1kts'!L32</f>
        <v>9.0853527999999965E-3</v>
      </c>
    </row>
    <row r="33" spans="1:12" x14ac:dyDescent="0.3">
      <c r="A33">
        <v>14.5</v>
      </c>
      <c r="B33">
        <f t="shared" si="0"/>
        <v>0.2530727415391778</v>
      </c>
      <c r="C33">
        <v>1.1566000000000001</v>
      </c>
      <c r="D33">
        <v>5.287E-2</v>
      </c>
      <c r="E33">
        <v>3.0099999999999998E-2</v>
      </c>
      <c r="F33">
        <f>C33/(1+2/'Données géométriques'!$B$6)</f>
        <v>0.8905820000000001</v>
      </c>
      <c r="G33">
        <f>F33^2/(PI()*'Données géométriques'!$B$6)</f>
        <v>3.7705531652120768E-2</v>
      </c>
      <c r="H33">
        <f t="shared" si="1"/>
        <v>9.0575531652120761E-2</v>
      </c>
      <c r="I33">
        <f t="shared" si="2"/>
        <v>0.22343329596594064</v>
      </c>
      <c r="J33">
        <f>XCP_3D('Données géométriques'!$B$9,'Données géométriques'!$B$10,'Données géométriques'!$B$11,'Données géométriques'!$B$12,I33)</f>
        <v>-0.26667313998068576</v>
      </c>
      <c r="K33">
        <f>ZCP_3D('Données géométriques'!$B$9,'Données géométriques'!$B$10,'Données géométriques'!$B$11)</f>
        <v>-0.37564783319086603</v>
      </c>
      <c r="L33">
        <f>'0.1kts'!L33</f>
        <v>7.2490052249999971E-3</v>
      </c>
    </row>
    <row r="34" spans="1:12" x14ac:dyDescent="0.3">
      <c r="A34">
        <v>15</v>
      </c>
      <c r="B34">
        <f t="shared" si="0"/>
        <v>0.26179938779914941</v>
      </c>
      <c r="C34">
        <v>1.1444000000000001</v>
      </c>
      <c r="D34">
        <v>6.1280000000000001E-2</v>
      </c>
      <c r="E34">
        <v>2.6200000000000001E-2</v>
      </c>
      <c r="F34">
        <f>C34/(1+2/'Données géométriques'!$B$6)</f>
        <v>0.88118800000000008</v>
      </c>
      <c r="G34">
        <f>F34^2/(PI()*'Données géométriques'!$B$6)</f>
        <v>3.6914279066538241E-2</v>
      </c>
      <c r="H34">
        <f t="shared" si="1"/>
        <v>9.8194279066538243E-2</v>
      </c>
      <c r="I34">
        <f t="shared" si="2"/>
        <v>0.22663355417386558</v>
      </c>
      <c r="J34">
        <f>XCP_3D('Données géométriques'!$B$9,'Données géométriques'!$B$10,'Données géométriques'!$B$11,'Données géométriques'!$B$12,I34)</f>
        <v>-0.26747148668703613</v>
      </c>
      <c r="K34">
        <f>ZCP_3D('Données géométriques'!$B$9,'Données géométriques'!$B$10,'Données géométriques'!$B$11)</f>
        <v>-0.37564783319086603</v>
      </c>
      <c r="L34">
        <f>'0.1kts'!L34</f>
        <v>5.2777249999999987E-3</v>
      </c>
    </row>
    <row r="35" spans="1:12" x14ac:dyDescent="0.3">
      <c r="A35">
        <v>15.5</v>
      </c>
      <c r="B35">
        <f t="shared" si="0"/>
        <v>0.27052603405912107</v>
      </c>
      <c r="C35">
        <v>1.1218999999999999</v>
      </c>
      <c r="D35">
        <v>7.2040000000000007E-2</v>
      </c>
      <c r="E35">
        <v>2.07E-2</v>
      </c>
      <c r="F35">
        <f>C35/(1+2/'Données géométriques'!$B$6)</f>
        <v>0.86386299999999994</v>
      </c>
      <c r="G35">
        <f>F35^2/(PI()*'Données géométriques'!$B$6)</f>
        <v>3.5477008242346397E-2</v>
      </c>
      <c r="H35">
        <f t="shared" si="1"/>
        <v>0.1075170082423464</v>
      </c>
      <c r="I35">
        <f t="shared" si="2"/>
        <v>0.23118778435744833</v>
      </c>
      <c r="J35">
        <f>XCP_3D('Données géométriques'!$B$9,'Données géométriques'!$B$10,'Données géométriques'!$B$11,'Données géométriques'!$B$12,I35)</f>
        <v>-0.2686075995975587</v>
      </c>
      <c r="K35">
        <f>ZCP_3D('Données géométriques'!$B$9,'Données géométriques'!$B$10,'Données géométriques'!$B$11)</f>
        <v>-0.37564783319086603</v>
      </c>
      <c r="L35">
        <f>'0.1kts'!L35</f>
        <v>3.1668592749999986E-3</v>
      </c>
    </row>
    <row r="36" spans="1:12" x14ac:dyDescent="0.3">
      <c r="A36">
        <v>16</v>
      </c>
      <c r="B36">
        <f t="shared" si="0"/>
        <v>0.27925268031909273</v>
      </c>
      <c r="C36">
        <v>1.0895999999999999</v>
      </c>
      <c r="D36">
        <v>8.5120000000000001E-2</v>
      </c>
      <c r="E36">
        <v>1.35E-2</v>
      </c>
      <c r="F36">
        <f>C36/(1+2/'Données géométriques'!$B$6)</f>
        <v>0.83899199999999996</v>
      </c>
      <c r="G36">
        <f>F36^2/(PI()*'Données géométriques'!$B$6)</f>
        <v>3.3463617075839711E-2</v>
      </c>
      <c r="H36">
        <f t="shared" si="1"/>
        <v>0.11858361707583971</v>
      </c>
      <c r="I36">
        <f t="shared" si="2"/>
        <v>0.23739322759034312</v>
      </c>
      <c r="J36">
        <f>XCP_3D('Données géométriques'!$B$9,'Données géométriques'!$B$10,'Données géométriques'!$B$11,'Données géométriques'!$B$12,I36)</f>
        <v>-0.27015562942657817</v>
      </c>
      <c r="K36">
        <f>ZCP_3D('Données géométriques'!$B$9,'Données géométriques'!$B$10,'Données géométriques'!$B$11)</f>
        <v>-0.37564783319086603</v>
      </c>
      <c r="L36">
        <f>'0.1kts'!L36</f>
        <v>9.1175519999999951E-4</v>
      </c>
    </row>
    <row r="37" spans="1:12" x14ac:dyDescent="0.3">
      <c r="A37">
        <v>16.5</v>
      </c>
      <c r="B37">
        <f t="shared" si="0"/>
        <v>0.28797932657906439</v>
      </c>
      <c r="C37">
        <v>1.0464</v>
      </c>
      <c r="D37">
        <v>0.10129000000000001</v>
      </c>
      <c r="E37">
        <v>4.3E-3</v>
      </c>
      <c r="F37">
        <f>C37/(1+2/'Données géométriques'!$B$6)</f>
        <v>0.805728</v>
      </c>
      <c r="G37">
        <f>F37^2/(PI()*'Données géométriques'!$B$6)</f>
        <v>3.0862716876170829E-2</v>
      </c>
      <c r="H37">
        <f t="shared" si="1"/>
        <v>0.13215271687617083</v>
      </c>
      <c r="I37">
        <f t="shared" si="2"/>
        <v>0.24583364373023087</v>
      </c>
      <c r="J37">
        <f>XCP_3D('Données géométriques'!$B$9,'Données géométriques'!$B$10,'Données géométriques'!$B$11,'Données géométriques'!$B$12,I37)</f>
        <v>-0.2722612027858875</v>
      </c>
      <c r="K37">
        <f>ZCP_3D('Données géométriques'!$B$9,'Données géométriques'!$B$10,'Données géométriques'!$B$11)</f>
        <v>-0.37564783319086603</v>
      </c>
      <c r="L37">
        <f>'0.1kts'!L37</f>
        <v>-1.4922400750000014E-3</v>
      </c>
    </row>
    <row r="38" spans="1:12" x14ac:dyDescent="0.3">
      <c r="A38">
        <v>17</v>
      </c>
      <c r="B38">
        <f t="shared" si="0"/>
        <v>0.29670597283903605</v>
      </c>
      <c r="C38">
        <v>0.98109999999999997</v>
      </c>
      <c r="D38">
        <v>0.12359000000000001</v>
      </c>
      <c r="E38">
        <v>-8.3999999999999995E-3</v>
      </c>
      <c r="F38">
        <f>C38/(1+2/'Données géométriques'!$B$6)</f>
        <v>0.75544699999999998</v>
      </c>
      <c r="G38">
        <f>F38^2/(PI()*'Données géométriques'!$B$6)</f>
        <v>2.7130965196301132E-2</v>
      </c>
      <c r="H38">
        <f t="shared" si="1"/>
        <v>0.15072096519630113</v>
      </c>
      <c r="I38">
        <f t="shared" si="2"/>
        <v>0.25862100095380125</v>
      </c>
      <c r="J38">
        <f>XCP_3D('Données géométriques'!$B$9,'Données géométriques'!$B$10,'Données géométriques'!$B$11,'Données géométriques'!$B$12,I38)</f>
        <v>-0.27545117805010316</v>
      </c>
      <c r="K38">
        <f>ZCP_3D('Données géométriques'!$B$9,'Données géométriques'!$B$10,'Données géométriques'!$B$11)</f>
        <v>-0.37564783319086603</v>
      </c>
      <c r="L38">
        <f>'0.1kts'!L38</f>
        <v>-4.0497794000000026E-3</v>
      </c>
    </row>
    <row r="39" spans="1:12" x14ac:dyDescent="0.3">
      <c r="A39">
        <v>17.5</v>
      </c>
      <c r="B39">
        <f t="shared" si="0"/>
        <v>0.30543261909900765</v>
      </c>
      <c r="C39">
        <v>0.7853</v>
      </c>
      <c r="D39">
        <v>0.18894</v>
      </c>
      <c r="E39">
        <v>-4.1500000000000002E-2</v>
      </c>
      <c r="F39">
        <f>C39/(1+2/'Données géométriques'!$B$6)</f>
        <v>0.60468100000000002</v>
      </c>
      <c r="G39">
        <f>F39^2/(PI()*'Données géométriques'!$B$6)</f>
        <v>1.7382405929394048E-2</v>
      </c>
      <c r="H39">
        <f t="shared" si="1"/>
        <v>0.20632240592939405</v>
      </c>
      <c r="I39">
        <f t="shared" si="2"/>
        <v>0.30150357711353781</v>
      </c>
      <c r="J39">
        <f>XCP_3D('Données géométriques'!$B$9,'Données géométriques'!$B$10,'Données géométriques'!$B$11,'Données géométriques'!$B$12,I39)</f>
        <v>-0.28614880343302329</v>
      </c>
      <c r="K39">
        <f>ZCP_3D('Données géométriques'!$B$9,'Données géométriques'!$B$10,'Données géométriques'!$B$11)</f>
        <v>-0.37564783319086603</v>
      </c>
      <c r="L39">
        <f>'0.1kts'!L39</f>
        <v>-6.7655156249999994E-3</v>
      </c>
    </row>
    <row r="40" spans="1:12" x14ac:dyDescent="0.3">
      <c r="A40">
        <v>18</v>
      </c>
      <c r="B40">
        <f t="shared" si="0"/>
        <v>0.31415926535897931</v>
      </c>
      <c r="C40">
        <v>0.78539999999999999</v>
      </c>
      <c r="D40">
        <v>0.20152999999999999</v>
      </c>
      <c r="E40">
        <v>-4.7800000000000002E-2</v>
      </c>
      <c r="F40">
        <f>C40/(1+2/'Données géométriques'!$B$6)</f>
        <v>0.60475800000000002</v>
      </c>
      <c r="G40">
        <f>F40^2/(PI()*'Données géométriques'!$B$6)</f>
        <v>1.7386833157884064E-2</v>
      </c>
      <c r="H40">
        <f t="shared" si="1"/>
        <v>0.21891683315788404</v>
      </c>
      <c r="I40">
        <f t="shared" si="2"/>
        <v>0.30906806051321389</v>
      </c>
      <c r="J40">
        <f>XCP_3D('Données géométriques'!$B$9,'Données géométriques'!$B$10,'Données géométriques'!$B$11,'Données géométriques'!$B$12,I40)</f>
        <v>-0.2880358637934734</v>
      </c>
      <c r="K40">
        <f>ZCP_3D('Données géométriques'!$B$9,'Données géométriques'!$B$10,'Données géométriques'!$B$11)</f>
        <v>-0.37564783319086603</v>
      </c>
      <c r="L40">
        <f>'0.1kts'!L40</f>
        <v>-9.6441016000000015E-3</v>
      </c>
    </row>
    <row r="41" spans="1:12" x14ac:dyDescent="0.3">
      <c r="A41">
        <v>18.5</v>
      </c>
      <c r="B41">
        <f t="shared" si="0"/>
        <v>0.32288591161895097</v>
      </c>
      <c r="C41">
        <v>0.79300000000000004</v>
      </c>
      <c r="D41">
        <v>0.21151</v>
      </c>
      <c r="E41">
        <v>-5.3100000000000001E-2</v>
      </c>
      <c r="F41">
        <f>C41/(1+2/'Données géométriques'!$B$6)</f>
        <v>0.61060999999999999</v>
      </c>
      <c r="G41">
        <f>F41^2/(PI()*'Données géométriques'!$B$6)</f>
        <v>1.7724951987766809E-2</v>
      </c>
      <c r="H41">
        <f t="shared" si="1"/>
        <v>0.22923495198776681</v>
      </c>
      <c r="I41">
        <f t="shared" si="2"/>
        <v>0.31482457710151401</v>
      </c>
      <c r="J41">
        <f>XCP_3D('Données géométriques'!$B$9,'Données géométriques'!$B$10,'Données géométriques'!$B$11,'Données géométriques'!$B$12,I41)</f>
        <v>-0.28947190293773761</v>
      </c>
      <c r="K41">
        <f>ZCP_3D('Données géométriques'!$B$9,'Données géométriques'!$B$10,'Données géométriques'!$B$11)</f>
        <v>-0.37564783319086603</v>
      </c>
      <c r="L41">
        <f>'0.1kts'!L41</f>
        <v>-1.2690190175000003E-2</v>
      </c>
    </row>
    <row r="42" spans="1:12" x14ac:dyDescent="0.3">
      <c r="A42">
        <v>19</v>
      </c>
      <c r="B42">
        <f t="shared" si="0"/>
        <v>0.33161255787892258</v>
      </c>
      <c r="C42">
        <v>0.80449999999999999</v>
      </c>
      <c r="D42">
        <v>0.21992</v>
      </c>
      <c r="E42">
        <v>-5.79E-2</v>
      </c>
      <c r="F42">
        <f>C42/(1+2/'Données géométriques'!$B$6)</f>
        <v>0.61946500000000004</v>
      </c>
      <c r="G42">
        <f>F42^2/(PI()*'Données géométriques'!$B$6)</f>
        <v>1.8242770294236665E-2</v>
      </c>
      <c r="H42">
        <f t="shared" si="1"/>
        <v>0.23816277029423666</v>
      </c>
      <c r="I42">
        <f t="shared" si="2"/>
        <v>0.3195688832145222</v>
      </c>
      <c r="J42">
        <f>XCP_3D('Données géométriques'!$B$9,'Données géométriques'!$B$10,'Données géométriques'!$B$11,'Données géométriques'!$B$12,I42)</f>
        <v>-0.29065543280100381</v>
      </c>
      <c r="K42">
        <f>ZCP_3D('Données géométriques'!$B$9,'Données géométriques'!$B$10,'Données géométriques'!$B$11)</f>
        <v>-0.37564783319086603</v>
      </c>
      <c r="L42">
        <f>'0.1kts'!L42</f>
        <v>-1.5908434200000002E-2</v>
      </c>
    </row>
    <row r="43" spans="1:12" x14ac:dyDescent="0.3">
      <c r="A43">
        <v>19.5</v>
      </c>
      <c r="B43">
        <f t="shared" si="0"/>
        <v>0.34033920413889424</v>
      </c>
      <c r="C43">
        <v>0.82089999999999996</v>
      </c>
      <c r="D43">
        <v>0.22555</v>
      </c>
      <c r="E43">
        <v>-6.1600000000000002E-2</v>
      </c>
      <c r="F43">
        <f>C43/(1+2/'Données géométriques'!$B$6)</f>
        <v>0.63209300000000002</v>
      </c>
      <c r="G43">
        <f>F43^2/(PI()*'Données géométriques'!$B$6)</f>
        <v>1.8994121168864793E-2</v>
      </c>
      <c r="H43">
        <f t="shared" si="1"/>
        <v>0.24454412116886479</v>
      </c>
      <c r="I43">
        <f t="shared" si="2"/>
        <v>0.32254701548015274</v>
      </c>
      <c r="J43">
        <f>XCP_3D('Données géométriques'!$B$9,'Données géométriques'!$B$10,'Données géométriques'!$B$11,'Données géométriques'!$B$12,I43)</f>
        <v>-0.29139836725531038</v>
      </c>
      <c r="K43">
        <f>ZCP_3D('Données géométriques'!$B$9,'Données géométriques'!$B$10,'Données géométriques'!$B$11)</f>
        <v>-0.37564783319086603</v>
      </c>
      <c r="L43">
        <f>'0.1kts'!L43</f>
        <v>-1.9303486525E-2</v>
      </c>
    </row>
    <row r="44" spans="1:12" x14ac:dyDescent="0.3">
      <c r="A44">
        <v>20</v>
      </c>
      <c r="B44">
        <f t="shared" si="0"/>
        <v>0.3490658503988659</v>
      </c>
      <c r="C44">
        <v>0.83179999999999998</v>
      </c>
      <c r="D44">
        <v>0.2349</v>
      </c>
      <c r="E44">
        <v>-6.7000000000000004E-2</v>
      </c>
      <c r="F44">
        <f>C44/(1+2/'Données géométriques'!$B$6)</f>
        <v>0.640486</v>
      </c>
      <c r="G44">
        <f>F44^2/(PI()*'Données géométriques'!$B$6)</f>
        <v>1.9501882025345418E-2</v>
      </c>
      <c r="H44">
        <f t="shared" si="1"/>
        <v>0.25440188202534542</v>
      </c>
      <c r="I44">
        <f t="shared" si="2"/>
        <v>0.32772830525240731</v>
      </c>
      <c r="J44">
        <f>XCP_3D('Données géométriques'!$B$9,'Données géométriques'!$B$10,'Données géométriques'!$B$11,'Données géométriques'!$B$12,I44)</f>
        <v>-0.29269090846779411</v>
      </c>
      <c r="K44">
        <f>ZCP_3D('Données géométriques'!$B$9,'Données géométriques'!$B$10,'Données géométriques'!$B$11)</f>
        <v>-0.37564783319086603</v>
      </c>
      <c r="L44">
        <f>'0.1kts'!L44</f>
        <v>-2.2879999999999998E-2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6ACC0-5A7A-44C3-9A09-A9422B43CF47}">
  <sheetPr codeName="Feuil4"/>
  <dimension ref="A1:L41"/>
  <sheetViews>
    <sheetView workbookViewId="0">
      <selection activeCell="G21" sqref="G21"/>
    </sheetView>
  </sheetViews>
  <sheetFormatPr baseColWidth="10" defaultRowHeight="14.4" x14ac:dyDescent="0.3"/>
  <sheetData>
    <row r="1" spans="1:12" x14ac:dyDescent="0.3">
      <c r="A1">
        <v>1.5</v>
      </c>
      <c r="C1" s="2">
        <f>A1*'Données géométriques'!B2/'Données géométriques'!G2</f>
        <v>342601.7874875869</v>
      </c>
    </row>
    <row r="2" spans="1:1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27</v>
      </c>
      <c r="K2" t="s">
        <v>28</v>
      </c>
      <c r="L2" t="s">
        <v>12</v>
      </c>
    </row>
    <row r="3" spans="1:12" x14ac:dyDescent="0.3">
      <c r="A3" t="s">
        <v>9</v>
      </c>
      <c r="B3" t="s">
        <v>9</v>
      </c>
      <c r="C3" t="s">
        <v>10</v>
      </c>
      <c r="D3" t="s">
        <v>11</v>
      </c>
      <c r="E3" t="s">
        <v>10</v>
      </c>
      <c r="F3" t="s">
        <v>9</v>
      </c>
      <c r="G3" t="s">
        <v>10</v>
      </c>
      <c r="H3" t="s">
        <v>11</v>
      </c>
      <c r="I3" t="s">
        <v>10</v>
      </c>
      <c r="J3" t="s">
        <v>11</v>
      </c>
      <c r="K3" t="s">
        <v>11</v>
      </c>
      <c r="L3" t="s">
        <v>11</v>
      </c>
    </row>
    <row r="4" spans="1:12" x14ac:dyDescent="0.3">
      <c r="A4">
        <v>0</v>
      </c>
      <c r="B4">
        <f>A4*PI()/180</f>
        <v>0</v>
      </c>
      <c r="C4">
        <v>0</v>
      </c>
      <c r="D4">
        <v>8.0300000000000007E-3</v>
      </c>
      <c r="E4">
        <v>0</v>
      </c>
      <c r="F4">
        <f>C4/(1+2/'Données géométriques'!$B$6)</f>
        <v>0</v>
      </c>
      <c r="G4">
        <f>F4^2/(PI()*'Données géométriques'!$B$6)</f>
        <v>0</v>
      </c>
      <c r="H4">
        <f>D4+G4</f>
        <v>8.0300000000000007E-3</v>
      </c>
      <c r="I4">
        <v>0</v>
      </c>
      <c r="J4">
        <f>XCP_3D('Données géométriques'!$B$9,'Données géométriques'!$B$10,'Données géométriques'!$B$11,'Données géométriques'!$B$12,I4)</f>
        <v>-0.21093475128380432</v>
      </c>
      <c r="K4">
        <f>ZCP_3D('Données géométriques'!$B$9,'Données géométriques'!$B$10,'Données géométriques'!$B$11)</f>
        <v>-0.37564783319086603</v>
      </c>
      <c r="L4">
        <f>'0.1kts'!L4</f>
        <v>2.4610999999999997E-2</v>
      </c>
    </row>
    <row r="5" spans="1:12" x14ac:dyDescent="0.3">
      <c r="A5">
        <v>0.5</v>
      </c>
      <c r="B5">
        <f t="shared" ref="B5:B36" si="0">A5*PI()/180</f>
        <v>8.7266462599716477E-3</v>
      </c>
      <c r="C5">
        <v>5.2200000000000003E-2</v>
      </c>
      <c r="D5">
        <v>8.0599999999999995E-3</v>
      </c>
      <c r="E5">
        <v>1.1000000000000001E-3</v>
      </c>
      <c r="F5">
        <f>C5/(1+2/'Données géométriques'!$B$6)</f>
        <v>4.0194000000000001E-2</v>
      </c>
      <c r="G5">
        <f>F5^2/(PI()*'Données géométriques'!$B$6)</f>
        <v>7.6803267834323516E-5</v>
      </c>
      <c r="H5">
        <f>D5+G5</f>
        <v>8.1368032678343222E-3</v>
      </c>
      <c r="I5">
        <f>0.25-E5/(C5*COS(B5)+D5*SIN(B5))</f>
        <v>0.22895475872842136</v>
      </c>
      <c r="J5">
        <f>XCP_3D('Données géométriques'!$B$9,'Données géométriques'!$B$10,'Données géométriques'!$B$11,'Données géométriques'!$B$12,I5)</f>
        <v>-0.26805054184149396</v>
      </c>
      <c r="K5">
        <f>ZCP_3D('Données géométriques'!$B$9,'Données géométriques'!$B$10,'Données géométriques'!$B$11)</f>
        <v>-0.37564783319086603</v>
      </c>
      <c r="L5">
        <f>'0.1kts'!L5</f>
        <v>2.4663709524999997E-2</v>
      </c>
    </row>
    <row r="6" spans="1:12" x14ac:dyDescent="0.3">
      <c r="A6">
        <v>1</v>
      </c>
      <c r="B6">
        <f t="shared" si="0"/>
        <v>1.7453292519943295E-2</v>
      </c>
      <c r="C6">
        <v>0.1043</v>
      </c>
      <c r="D6">
        <v>8.1499999999999993E-3</v>
      </c>
      <c r="E6">
        <v>2.2000000000000001E-3</v>
      </c>
      <c r="F6">
        <f>C6/(1+2/'Données géométriques'!$B$6)</f>
        <v>8.0311000000000007E-2</v>
      </c>
      <c r="G6">
        <f>F6^2/(PI()*'Données géométriques'!$B$6)</f>
        <v>3.0662482241269586E-4</v>
      </c>
      <c r="H6">
        <f t="shared" ref="H6:H36" si="1">D6+G6</f>
        <v>8.4566248224126946E-3</v>
      </c>
      <c r="I6">
        <f t="shared" ref="I6:I36" si="2">0.25-E6/(C6*COS(B6)+D6*SIN(B6))</f>
        <v>0.22893252073043505</v>
      </c>
      <c r="J6">
        <f>XCP_3D('Données géométriques'!$B$9,'Données géométriques'!$B$10,'Données géométriques'!$B$11,'Données géométriques'!$B$12,I6)</f>
        <v>-0.26804499427898831</v>
      </c>
      <c r="K6">
        <f>ZCP_3D('Données géométriques'!$B$9,'Données géométriques'!$B$10,'Données géométriques'!$B$11)</f>
        <v>-0.37564783319086603</v>
      </c>
      <c r="L6">
        <f>'0.1kts'!L6</f>
        <v>2.4711766199999999E-2</v>
      </c>
    </row>
    <row r="7" spans="1:12" x14ac:dyDescent="0.3">
      <c r="A7">
        <v>1.5</v>
      </c>
      <c r="B7">
        <f t="shared" si="0"/>
        <v>2.6179938779914941E-2</v>
      </c>
      <c r="C7">
        <v>0.15640000000000001</v>
      </c>
      <c r="D7">
        <v>8.3000000000000001E-3</v>
      </c>
      <c r="E7">
        <v>3.3999999999999998E-3</v>
      </c>
      <c r="F7">
        <f>C7/(1+2/'Données géométriques'!$B$6)</f>
        <v>0.12042800000000001</v>
      </c>
      <c r="G7">
        <f>F7^2/(PI()*'Données géométriques'!$B$6)</f>
        <v>6.8946494559852113E-4</v>
      </c>
      <c r="H7">
        <f t="shared" si="1"/>
        <v>8.9894649455985205E-3</v>
      </c>
      <c r="I7">
        <f t="shared" si="2"/>
        <v>0.22828359601763465</v>
      </c>
      <c r="J7">
        <f>XCP_3D('Données géométriques'!$B$9,'Données géométriques'!$B$10,'Données géométriques'!$B$11,'Données géométriques'!$B$12,I7)</f>
        <v>-0.26788311143282989</v>
      </c>
      <c r="K7">
        <f>ZCP_3D('Données géométriques'!$B$9,'Données géométriques'!$B$10,'Données géométriques'!$B$11)</f>
        <v>-0.37564783319086603</v>
      </c>
      <c r="L7">
        <f>'0.1kts'!L7</f>
        <v>2.4750517175E-2</v>
      </c>
    </row>
    <row r="8" spans="1:12" x14ac:dyDescent="0.3">
      <c r="A8">
        <v>2</v>
      </c>
      <c r="B8">
        <f t="shared" si="0"/>
        <v>3.4906585039886591E-2</v>
      </c>
      <c r="C8">
        <v>0.20880000000000001</v>
      </c>
      <c r="D8">
        <v>8.5400000000000007E-3</v>
      </c>
      <c r="E8">
        <v>4.4999999999999997E-3</v>
      </c>
      <c r="F8">
        <f>C8/(1+2/'Données géométriques'!$B$6)</f>
        <v>0.160776</v>
      </c>
      <c r="G8">
        <f>F8^2/(PI()*'Données géométriques'!$B$6)</f>
        <v>1.2288522853491763E-3</v>
      </c>
      <c r="H8">
        <f t="shared" si="1"/>
        <v>9.7688522853491763E-3</v>
      </c>
      <c r="I8">
        <f t="shared" si="2"/>
        <v>0.22846589570803932</v>
      </c>
      <c r="J8">
        <f>XCP_3D('Données géométriques'!$B$9,'Données géométriques'!$B$10,'Données géométriques'!$B$11,'Données géométriques'!$B$12,I8)</f>
        <v>-0.26792858849997736</v>
      </c>
      <c r="K8">
        <f>ZCP_3D('Données géométriques'!$B$9,'Données géométriques'!$B$10,'Données géométriques'!$B$11)</f>
        <v>-0.37564783319086603</v>
      </c>
      <c r="L8">
        <f>'0.1kts'!L8</f>
        <v>2.47753096E-2</v>
      </c>
    </row>
    <row r="9" spans="1:12" x14ac:dyDescent="0.3">
      <c r="A9">
        <v>2.5</v>
      </c>
      <c r="B9">
        <f t="shared" si="0"/>
        <v>4.3633231299858237E-2</v>
      </c>
      <c r="C9">
        <v>0.2621</v>
      </c>
      <c r="D9">
        <v>8.8699999999999994E-3</v>
      </c>
      <c r="E9">
        <v>5.4000000000000003E-3</v>
      </c>
      <c r="F9">
        <f>C9/(1+2/'Données géométriques'!$B$6)</f>
        <v>0.201817</v>
      </c>
      <c r="G9">
        <f>F9^2/(PI()*'Données géométriques'!$B$6)</f>
        <v>1.936300398000066E-3</v>
      </c>
      <c r="H9">
        <f t="shared" si="1"/>
        <v>1.0806300398000065E-2</v>
      </c>
      <c r="I9">
        <f t="shared" si="2"/>
        <v>0.22940797491972756</v>
      </c>
      <c r="J9">
        <f>XCP_3D('Données géométriques'!$B$9,'Données géométriques'!$B$10,'Données géométriques'!$B$11,'Données géométriques'!$B$12,I9)</f>
        <v>-0.26816360261037248</v>
      </c>
      <c r="K9">
        <f>ZCP_3D('Données géométriques'!$B$9,'Données géométriques'!$B$10,'Données géométriques'!$B$11)</f>
        <v>-0.37564783319086603</v>
      </c>
      <c r="L9">
        <f>'0.1kts'!L9</f>
        <v>2.4781490624999996E-2</v>
      </c>
    </row>
    <row r="10" spans="1:12" x14ac:dyDescent="0.3">
      <c r="A10">
        <v>3</v>
      </c>
      <c r="B10">
        <f t="shared" si="0"/>
        <v>5.2359877559829883E-2</v>
      </c>
      <c r="C10">
        <v>0.31709999999999999</v>
      </c>
      <c r="D10">
        <v>9.2999999999999992E-3</v>
      </c>
      <c r="E10">
        <v>5.7999999999999996E-3</v>
      </c>
      <c r="F10">
        <f>C10/(1+2/'Données géométriques'!$B$6)</f>
        <v>0.244167</v>
      </c>
      <c r="G10">
        <f>F10^2/(PI()*'Données géométriques'!$B$6)</f>
        <v>2.8342044584697486E-3</v>
      </c>
      <c r="H10">
        <f t="shared" si="1"/>
        <v>1.2134204458469747E-2</v>
      </c>
      <c r="I10">
        <f t="shared" si="2"/>
        <v>0.23171224756795125</v>
      </c>
      <c r="J10">
        <f>XCP_3D('Données géométriques'!$B$9,'Données géométriques'!$B$10,'Données géométriques'!$B$11,'Données géométriques'!$B$12,I10)</f>
        <v>-0.2687384338770154</v>
      </c>
      <c r="K10">
        <f>ZCP_3D('Données géométriques'!$B$9,'Données géométriques'!$B$10,'Données géométriques'!$B$11)</f>
        <v>-0.37564783319086603</v>
      </c>
      <c r="L10">
        <f>'0.1kts'!L10</f>
        <v>2.4764407400000001E-2</v>
      </c>
    </row>
    <row r="11" spans="1:12" x14ac:dyDescent="0.3">
      <c r="A11">
        <v>3.5</v>
      </c>
      <c r="B11">
        <f t="shared" si="0"/>
        <v>6.1086523819801536E-2</v>
      </c>
      <c r="C11">
        <v>0.37519999999999998</v>
      </c>
      <c r="D11">
        <v>9.8099999999999993E-3</v>
      </c>
      <c r="E11">
        <v>5.4000000000000003E-3</v>
      </c>
      <c r="F11">
        <f>C11/(1+2/'Données géométriques'!$B$6)</f>
        <v>0.28890399999999999</v>
      </c>
      <c r="G11">
        <f>F11^2/(PI()*'Données géométriques'!$B$6)</f>
        <v>3.9679332003007906E-3</v>
      </c>
      <c r="H11">
        <f t="shared" si="1"/>
        <v>1.3777933200300789E-2</v>
      </c>
      <c r="I11">
        <f t="shared" si="2"/>
        <v>0.23560380299693826</v>
      </c>
      <c r="J11">
        <f>XCP_3D('Données géométriques'!$B$9,'Données géométriques'!$B$10,'Données géométriques'!$B$11,'Données géométriques'!$B$12,I11)</f>
        <v>-0.26970923381172723</v>
      </c>
      <c r="K11">
        <f>ZCP_3D('Données géométriques'!$B$9,'Données géométriques'!$B$10,'Données géométriques'!$B$11)</f>
        <v>-0.37564783319086603</v>
      </c>
      <c r="L11">
        <f>'0.1kts'!L11</f>
        <v>2.4719407074999998E-2</v>
      </c>
    </row>
    <row r="12" spans="1:12" x14ac:dyDescent="0.3">
      <c r="A12">
        <v>4</v>
      </c>
      <c r="B12">
        <f t="shared" si="0"/>
        <v>6.9813170079773182E-2</v>
      </c>
      <c r="C12">
        <v>0.43459999999999999</v>
      </c>
      <c r="D12">
        <v>1.04E-2</v>
      </c>
      <c r="E12">
        <v>4.4999999999999997E-3</v>
      </c>
      <c r="F12">
        <f>C12/(1+2/'Données géométriques'!$B$6)</f>
        <v>0.334642</v>
      </c>
      <c r="G12">
        <f>F12^2/(PI()*'Données géométriques'!$B$6)</f>
        <v>5.3237559296202257E-3</v>
      </c>
      <c r="H12">
        <f t="shared" si="1"/>
        <v>1.5723755929620227E-2</v>
      </c>
      <c r="I12">
        <f t="shared" si="2"/>
        <v>0.23963770667477211</v>
      </c>
      <c r="J12">
        <f>XCP_3D('Données géométriques'!$B$9,'Données géométriques'!$B$10,'Données géométriques'!$B$11,'Données géométriques'!$B$12,I12)</f>
        <v>-0.27071554439846834</v>
      </c>
      <c r="K12">
        <f>ZCP_3D('Données géométriques'!$B$9,'Données géométriques'!$B$10,'Données géométriques'!$B$11)</f>
        <v>-0.37564783319086603</v>
      </c>
      <c r="L12">
        <f>'0.1kts'!L12</f>
        <v>2.4641836800000001E-2</v>
      </c>
    </row>
    <row r="13" spans="1:12" x14ac:dyDescent="0.3">
      <c r="A13">
        <v>4.5</v>
      </c>
      <c r="B13">
        <f t="shared" si="0"/>
        <v>7.8539816339744828E-2</v>
      </c>
      <c r="C13">
        <v>0.49640000000000001</v>
      </c>
      <c r="D13">
        <v>1.1039999999999999E-2</v>
      </c>
      <c r="E13">
        <v>3.0000000000000001E-3</v>
      </c>
      <c r="F13">
        <f>C13/(1+2/'Données géométriques'!$B$6)</f>
        <v>0.38222800000000001</v>
      </c>
      <c r="G13">
        <f>F13^2/(PI()*'Données géométriques'!$B$6)</f>
        <v>6.9454795748478621E-3</v>
      </c>
      <c r="H13">
        <f t="shared" si="1"/>
        <v>1.7985479574847862E-2</v>
      </c>
      <c r="I13">
        <f t="shared" si="2"/>
        <v>0.24394839131081877</v>
      </c>
      <c r="J13">
        <f>XCP_3D('Données géométriques'!$B$9,'Données géométriques'!$B$10,'Données géométriques'!$B$11,'Données géométriques'!$B$12,I13)</f>
        <v>-0.27179090165332515</v>
      </c>
      <c r="K13">
        <f>ZCP_3D('Données géométriques'!$B$9,'Données géométriques'!$B$10,'Données géométriques'!$B$11)</f>
        <v>-0.37564783319086603</v>
      </c>
      <c r="L13">
        <f>'0.1kts'!L13</f>
        <v>2.4527043724999999E-2</v>
      </c>
    </row>
    <row r="14" spans="1:12" x14ac:dyDescent="0.3">
      <c r="A14">
        <v>5</v>
      </c>
      <c r="B14">
        <f t="shared" si="0"/>
        <v>8.7266462599716474E-2</v>
      </c>
      <c r="C14">
        <v>0.5605</v>
      </c>
      <c r="D14">
        <v>1.1730000000000001E-2</v>
      </c>
      <c r="E14">
        <v>8.9999999999999998E-4</v>
      </c>
      <c r="F14">
        <f>C14/(1+2/'Données géométriques'!$B$6)</f>
        <v>0.431585</v>
      </c>
      <c r="G14">
        <f>F14^2/(PI()*'Données géométriques'!$B$6)</f>
        <v>8.8550277534270028E-3</v>
      </c>
      <c r="H14">
        <f t="shared" si="1"/>
        <v>2.0585027753427004E-2</v>
      </c>
      <c r="I14">
        <f t="shared" si="2"/>
        <v>0.24839110305774142</v>
      </c>
      <c r="J14">
        <f>XCP_3D('Données géométriques'!$B$9,'Données géométriques'!$B$10,'Données géométriques'!$B$11,'Données géométriques'!$B$12,I14)</f>
        <v>-0.27289919481593405</v>
      </c>
      <c r="K14">
        <f>ZCP_3D('Données géométriques'!$B$9,'Données géométriques'!$B$10,'Données géométriques'!$B$11)</f>
        <v>-0.37564783319086603</v>
      </c>
      <c r="L14">
        <f>'0.1kts'!L14</f>
        <v>2.4370375E-2</v>
      </c>
    </row>
    <row r="15" spans="1:12" x14ac:dyDescent="0.3">
      <c r="A15">
        <v>5.5</v>
      </c>
      <c r="B15">
        <f t="shared" si="0"/>
        <v>9.599310885968812E-2</v>
      </c>
      <c r="C15">
        <v>0.62619999999999998</v>
      </c>
      <c r="D15">
        <v>1.242E-2</v>
      </c>
      <c r="E15">
        <v>-1.6000000000000001E-3</v>
      </c>
      <c r="F15">
        <f>C15/(1+2/'Données géométriques'!$B$6)</f>
        <v>0.48217399999999999</v>
      </c>
      <c r="G15">
        <f>F15^2/(PI()*'Données géométriques'!$B$6)</f>
        <v>1.1052609326140172E-2</v>
      </c>
      <c r="H15">
        <f t="shared" si="1"/>
        <v>2.3472609326140172E-2</v>
      </c>
      <c r="I15">
        <f t="shared" si="2"/>
        <v>0.25256201885583951</v>
      </c>
      <c r="J15">
        <f>XCP_3D('Données géométriques'!$B$9,'Données géométriques'!$B$10,'Données géométriques'!$B$11,'Données géométriques'!$B$12,I15)</f>
        <v>-0.27393968488690251</v>
      </c>
      <c r="K15">
        <f>ZCP_3D('Données géométriques'!$B$9,'Données géométriques'!$B$10,'Données géométriques'!$B$11)</f>
        <v>-0.37564783319086603</v>
      </c>
      <c r="L15">
        <f>'0.1kts'!L15</f>
        <v>2.4167177775E-2</v>
      </c>
    </row>
    <row r="16" spans="1:12" x14ac:dyDescent="0.3">
      <c r="A16">
        <v>6</v>
      </c>
      <c r="B16">
        <f t="shared" si="0"/>
        <v>0.10471975511965977</v>
      </c>
      <c r="C16">
        <v>0.69140000000000001</v>
      </c>
      <c r="D16">
        <v>1.3140000000000001E-2</v>
      </c>
      <c r="E16">
        <v>-4.1000000000000003E-3</v>
      </c>
      <c r="F16">
        <f>C16/(1+2/'Données géométriques'!$B$6)</f>
        <v>0.53237800000000002</v>
      </c>
      <c r="G16">
        <f>F16^2/(PI()*'Données géométriques'!$B$6)</f>
        <v>1.347402792963341E-2</v>
      </c>
      <c r="H16">
        <f t="shared" si="1"/>
        <v>2.661402792963341E-2</v>
      </c>
      <c r="I16">
        <f t="shared" si="2"/>
        <v>0.25595077453297749</v>
      </c>
      <c r="J16">
        <f>XCP_3D('Données géométriques'!$B$9,'Données géométriques'!$B$10,'Données géométriques'!$B$11,'Données géométriques'!$B$12,I16)</f>
        <v>-0.27478505477823673</v>
      </c>
      <c r="K16">
        <f>ZCP_3D('Données géométriques'!$B$9,'Données géométriques'!$B$10,'Données géométriques'!$B$11)</f>
        <v>-0.37564783319086603</v>
      </c>
      <c r="L16">
        <f>'0.1kts'!L16</f>
        <v>2.3912799200000001E-2</v>
      </c>
    </row>
    <row r="17" spans="1:12" x14ac:dyDescent="0.3">
      <c r="A17">
        <v>6.5</v>
      </c>
      <c r="B17">
        <f t="shared" si="0"/>
        <v>0.11344640137963143</v>
      </c>
      <c r="C17">
        <v>0.75009999999999999</v>
      </c>
      <c r="D17">
        <v>1.3860000000000001E-2</v>
      </c>
      <c r="E17">
        <v>-5.1999999999999998E-3</v>
      </c>
      <c r="F17">
        <f>C17/(1+2/'Données géométriques'!$B$6)</f>
        <v>0.57757700000000001</v>
      </c>
      <c r="G17">
        <f>F17^2/(PI()*'Données géométriques'!$B$6)</f>
        <v>1.5859044720062391E-2</v>
      </c>
      <c r="H17">
        <f t="shared" si="1"/>
        <v>2.9719044720062392E-2</v>
      </c>
      <c r="I17">
        <f t="shared" si="2"/>
        <v>0.25696260183247693</v>
      </c>
      <c r="J17">
        <f>XCP_3D('Données géométriques'!$B$9,'Données géométriques'!$B$10,'Données géométriques'!$B$11,'Données géométriques'!$B$12,I17)</f>
        <v>-0.27503746847096588</v>
      </c>
      <c r="K17">
        <f>ZCP_3D('Données géométriques'!$B$9,'Données géométriques'!$B$10,'Données géométriques'!$B$11)</f>
        <v>-0.37564783319086603</v>
      </c>
      <c r="L17">
        <f>'0.1kts'!L17</f>
        <v>2.3602586424999999E-2</v>
      </c>
    </row>
    <row r="18" spans="1:12" x14ac:dyDescent="0.3">
      <c r="A18">
        <v>7</v>
      </c>
      <c r="B18">
        <f t="shared" si="0"/>
        <v>0.12217304763960307</v>
      </c>
      <c r="C18">
        <v>0.79200000000000004</v>
      </c>
      <c r="D18">
        <v>1.4540000000000001E-2</v>
      </c>
      <c r="E18">
        <v>-2.8E-3</v>
      </c>
      <c r="F18">
        <f>C18/(1+2/'Données géométriques'!$B$6)</f>
        <v>0.60984000000000005</v>
      </c>
      <c r="G18">
        <f>F18^2/(PI()*'Données géométriques'!$B$6)</f>
        <v>1.7680276638198614E-2</v>
      </c>
      <c r="H18">
        <f t="shared" si="1"/>
        <v>3.2220276638198611E-2</v>
      </c>
      <c r="I18">
        <f t="shared" si="2"/>
        <v>0.25355389241354465</v>
      </c>
      <c r="J18">
        <f>XCP_3D('Données géométriques'!$B$9,'Données géométriques'!$B$10,'Données géométriques'!$B$11,'Données géométriques'!$B$12,I18)</f>
        <v>-0.2741871208550225</v>
      </c>
      <c r="K18">
        <f>ZCP_3D('Données géométriques'!$B$9,'Données géométriques'!$B$10,'Données géométriques'!$B$11)</f>
        <v>-0.37564783319086603</v>
      </c>
      <c r="L18">
        <f>'0.1kts'!L18</f>
        <v>2.3231886599999998E-2</v>
      </c>
    </row>
    <row r="19" spans="1:12" x14ac:dyDescent="0.3">
      <c r="A19">
        <v>7.5</v>
      </c>
      <c r="B19">
        <f t="shared" si="0"/>
        <v>0.1308996938995747</v>
      </c>
      <c r="C19">
        <v>0.83409999999999995</v>
      </c>
      <c r="D19">
        <v>1.5259999999999999E-2</v>
      </c>
      <c r="E19">
        <v>-2.9999999999999997E-4</v>
      </c>
      <c r="F19">
        <f>C19/(1+2/'Données géométriques'!$B$6)</f>
        <v>0.64225699999999997</v>
      </c>
      <c r="G19">
        <f>F19^2/(PI()*'Données géométriques'!$B$6)</f>
        <v>1.960987996171451E-2</v>
      </c>
      <c r="H19">
        <f t="shared" si="1"/>
        <v>3.4869879961714506E-2</v>
      </c>
      <c r="I19">
        <f t="shared" si="2"/>
        <v>0.25036190099853101</v>
      </c>
      <c r="J19">
        <f>XCP_3D('Données géométriques'!$B$9,'Données géométriques'!$B$10,'Données géométriques'!$B$11,'Données géométriques'!$B$12,I19)</f>
        <v>-0.27339083640942141</v>
      </c>
      <c r="K19">
        <f>ZCP_3D('Données géométriques'!$B$9,'Données géométriques'!$B$10,'Données géométriques'!$B$11)</f>
        <v>-0.37564783319086603</v>
      </c>
      <c r="L19">
        <f>'0.1kts'!L19</f>
        <v>2.2796046875E-2</v>
      </c>
    </row>
    <row r="20" spans="1:12" x14ac:dyDescent="0.3">
      <c r="A20">
        <v>8</v>
      </c>
      <c r="B20">
        <f t="shared" si="0"/>
        <v>0.13962634015954636</v>
      </c>
      <c r="C20">
        <v>0.876</v>
      </c>
      <c r="D20">
        <v>1.6039999999999999E-2</v>
      </c>
      <c r="E20">
        <v>2E-3</v>
      </c>
      <c r="F20">
        <f>C20/(1+2/'Données géométriques'!$B$6)</f>
        <v>0.67452000000000001</v>
      </c>
      <c r="G20">
        <f>F20^2/(PI()*'Données géométriques'!$B$6)</f>
        <v>2.1629521167346281E-2</v>
      </c>
      <c r="H20">
        <f t="shared" si="1"/>
        <v>3.766952116734628E-2</v>
      </c>
      <c r="I20">
        <f t="shared" si="2"/>
        <v>0.24770037538950393</v>
      </c>
      <c r="J20">
        <f>XCP_3D('Données géométriques'!$B$9,'Données géométriques'!$B$10,'Données géométriques'!$B$11,'Données géométriques'!$B$12,I20)</f>
        <v>-0.27272688367005299</v>
      </c>
      <c r="K20">
        <f>ZCP_3D('Données géométriques'!$B$9,'Données géométriques'!$B$10,'Données géométriques'!$B$11)</f>
        <v>-0.37564783319086603</v>
      </c>
      <c r="L20">
        <f>'0.1kts'!L20</f>
        <v>2.22904144E-2</v>
      </c>
    </row>
    <row r="21" spans="1:12" x14ac:dyDescent="0.3">
      <c r="A21">
        <v>8.5</v>
      </c>
      <c r="B21">
        <f t="shared" si="0"/>
        <v>0.14835298641951802</v>
      </c>
      <c r="C21">
        <v>0.91779999999999995</v>
      </c>
      <c r="D21">
        <v>1.6899999999999998E-2</v>
      </c>
      <c r="E21">
        <v>4.4000000000000003E-3</v>
      </c>
      <c r="F21">
        <f>C21/(1+2/'Données géométriques'!$B$6)</f>
        <v>0.70670599999999995</v>
      </c>
      <c r="G21">
        <f>F21^2/(PI()*'Données géométriques'!$B$6)</f>
        <v>2.3742956648681902E-2</v>
      </c>
      <c r="H21">
        <f t="shared" si="1"/>
        <v>4.0642956648681901E-2</v>
      </c>
      <c r="I21">
        <f t="shared" si="2"/>
        <v>0.24516598650170612</v>
      </c>
      <c r="J21">
        <f>XCP_3D('Données géométriques'!$B$9,'Données géométriques'!$B$10,'Données géométriques'!$B$11,'Données géométriques'!$B$12,I21)</f>
        <v>-0.27209464686610474</v>
      </c>
      <c r="K21">
        <f>ZCP_3D('Données géométriques'!$B$9,'Données géométriques'!$B$10,'Données géométriques'!$B$11)</f>
        <v>-0.37564783319086603</v>
      </c>
      <c r="L21">
        <f>'0.1kts'!L21</f>
        <v>2.1710336324999999E-2</v>
      </c>
    </row>
    <row r="22" spans="1:12" x14ac:dyDescent="0.3">
      <c r="A22">
        <v>9</v>
      </c>
      <c r="B22">
        <f t="shared" si="0"/>
        <v>0.15707963267948966</v>
      </c>
      <c r="C22">
        <v>0.95920000000000005</v>
      </c>
      <c r="D22">
        <v>1.788E-2</v>
      </c>
      <c r="E22">
        <v>6.6E-3</v>
      </c>
      <c r="F22">
        <f>C22/(1+2/'Données géométriques'!$B$6)</f>
        <v>0.73858400000000002</v>
      </c>
      <c r="G22">
        <f>F22^2/(PI()*'Données géométriques'!$B$6)</f>
        <v>2.5933255152893547E-2</v>
      </c>
      <c r="H22">
        <f t="shared" si="1"/>
        <v>4.3813255152893547E-2</v>
      </c>
      <c r="I22">
        <f t="shared" si="2"/>
        <v>0.24305400399467555</v>
      </c>
      <c r="J22">
        <f>XCP_3D('Données géométriques'!$B$9,'Données géométriques'!$B$10,'Données géométriques'!$B$11,'Données géométriques'!$B$12,I22)</f>
        <v>-0.27156778491659461</v>
      </c>
      <c r="K22">
        <f>ZCP_3D('Données géométriques'!$B$9,'Données géométriques'!$B$10,'Données géométriques'!$B$11)</f>
        <v>-0.37564783319086603</v>
      </c>
      <c r="L22">
        <f>'0.1kts'!L22</f>
        <v>2.10511598E-2</v>
      </c>
    </row>
    <row r="23" spans="1:12" x14ac:dyDescent="0.3">
      <c r="A23">
        <v>9.5</v>
      </c>
      <c r="B23">
        <f t="shared" si="0"/>
        <v>0.16580627893946129</v>
      </c>
      <c r="C23">
        <v>1.0009999999999999</v>
      </c>
      <c r="D23">
        <v>1.8890000000000001E-2</v>
      </c>
      <c r="E23">
        <v>8.6999999999999994E-3</v>
      </c>
      <c r="F23">
        <f>C23/(1+2/'Données géométriques'!$B$6)</f>
        <v>0.77076999999999996</v>
      </c>
      <c r="G23">
        <f>F23^2/(PI()*'Données géométriques'!$B$6)</f>
        <v>2.8242741288758238E-2</v>
      </c>
      <c r="H23">
        <f t="shared" si="1"/>
        <v>4.7132741288758238E-2</v>
      </c>
      <c r="I23">
        <f t="shared" si="2"/>
        <v>0.24121557851563802</v>
      </c>
      <c r="J23">
        <f>XCP_3D('Données géométriques'!$B$9,'Données géométriques'!$B$10,'Données géométriques'!$B$11,'Données géométriques'!$B$12,I23)</f>
        <v>-0.2711091653832014</v>
      </c>
      <c r="K23">
        <f>ZCP_3D('Données géométriques'!$B$9,'Données géométriques'!$B$10,'Données géométriques'!$B$11)</f>
        <v>-0.37564783319086603</v>
      </c>
      <c r="L23">
        <f>'0.1kts'!L23</f>
        <v>2.0308231975E-2</v>
      </c>
    </row>
    <row r="24" spans="1:12" x14ac:dyDescent="0.3">
      <c r="A24">
        <v>10</v>
      </c>
      <c r="B24">
        <f t="shared" si="0"/>
        <v>0.17453292519943295</v>
      </c>
      <c r="C24">
        <v>1.0408999999999999</v>
      </c>
      <c r="D24">
        <v>2.0070000000000001E-2</v>
      </c>
      <c r="E24">
        <v>1.09E-2</v>
      </c>
      <c r="F24">
        <f>C24/(1+2/'Données géométriques'!$B$6)</f>
        <v>0.80149300000000001</v>
      </c>
      <c r="G24">
        <f>F24^2/(PI()*'Données géométriques'!$B$6)</f>
        <v>3.0539133460180088E-2</v>
      </c>
      <c r="H24">
        <f t="shared" si="1"/>
        <v>5.0609133460180089E-2</v>
      </c>
      <c r="I24">
        <f t="shared" si="2"/>
        <v>0.2394027786067944</v>
      </c>
      <c r="J24">
        <f>XCP_3D('Données géométriques'!$B$9,'Données géométriques'!$B$10,'Données géométriques'!$B$11,'Données géométriques'!$B$12,I24)</f>
        <v>-0.27065693848697198</v>
      </c>
      <c r="K24">
        <f>ZCP_3D('Données géométriques'!$B$9,'Données géométriques'!$B$10,'Données géométriques'!$B$11)</f>
        <v>-0.37564783319086603</v>
      </c>
      <c r="L24">
        <f>'0.1kts'!L24</f>
        <v>1.9476900000000002E-2</v>
      </c>
    </row>
    <row r="25" spans="1:12" x14ac:dyDescent="0.3">
      <c r="A25">
        <v>10.5</v>
      </c>
      <c r="B25">
        <f t="shared" si="0"/>
        <v>0.18325957145940461</v>
      </c>
      <c r="C25">
        <v>1.0803</v>
      </c>
      <c r="D25">
        <v>2.1270000000000001E-2</v>
      </c>
      <c r="E25">
        <v>1.2999999999999999E-2</v>
      </c>
      <c r="F25">
        <f>C25/(1+2/'Données géométriques'!$B$6)</f>
        <v>0.83183099999999999</v>
      </c>
      <c r="G25">
        <f>F25^2/(PI()*'Données géométriques'!$B$6)</f>
        <v>3.289481475308851E-2</v>
      </c>
      <c r="H25">
        <f t="shared" si="1"/>
        <v>5.4164814753088514E-2</v>
      </c>
      <c r="I25">
        <f t="shared" si="2"/>
        <v>0.2378058666917825</v>
      </c>
      <c r="J25">
        <f>XCP_3D('Données géométriques'!$B$9,'Données géométriques'!$B$10,'Données géométriques'!$B$11,'Données géométriques'!$B$12,I25)</f>
        <v>-0.27025856770409967</v>
      </c>
      <c r="K25">
        <f>ZCP_3D('Données géométriques'!$B$9,'Données géométriques'!$B$10,'Données géométriques'!$B$11)</f>
        <v>-0.37564783319086603</v>
      </c>
      <c r="L25">
        <f>'0.1kts'!L25</f>
        <v>1.8552511024999999E-2</v>
      </c>
    </row>
    <row r="26" spans="1:12" x14ac:dyDescent="0.3">
      <c r="A26">
        <v>11</v>
      </c>
      <c r="B26">
        <f t="shared" si="0"/>
        <v>0.19198621771937624</v>
      </c>
      <c r="C26">
        <v>1.1155999999999999</v>
      </c>
      <c r="D26">
        <v>2.2749999999999999E-2</v>
      </c>
      <c r="E26">
        <v>1.55E-2</v>
      </c>
      <c r="F26">
        <f>C26/(1+2/'Données géométriques'!$B$6)</f>
        <v>0.859012</v>
      </c>
      <c r="G26">
        <f>F26^2/(PI()*'Données géométriques'!$B$6)</f>
        <v>3.5079686541178781E-2</v>
      </c>
      <c r="H26">
        <f t="shared" si="1"/>
        <v>5.7829686541178781E-2</v>
      </c>
      <c r="I26">
        <f t="shared" si="2"/>
        <v>0.23590196743595993</v>
      </c>
      <c r="J26">
        <f>XCP_3D('Données géométriques'!$B$9,'Données géométriques'!$B$10,'Données géométriques'!$B$11,'Données géométriques'!$B$12,I26)</f>
        <v>-0.2697836148717484</v>
      </c>
      <c r="K26">
        <f>ZCP_3D('Données géométriques'!$B$9,'Données géométriques'!$B$10,'Données géométriques'!$B$11)</f>
        <v>-0.37564783319086603</v>
      </c>
      <c r="L26">
        <f>'0.1kts'!L26</f>
        <v>1.7530412199999998E-2</v>
      </c>
    </row>
    <row r="27" spans="1:12" x14ac:dyDescent="0.3">
      <c r="A27">
        <v>11.5</v>
      </c>
      <c r="B27">
        <f t="shared" si="0"/>
        <v>0.20071286397934787</v>
      </c>
      <c r="C27">
        <v>1.1492</v>
      </c>
      <c r="D27">
        <v>2.4250000000000001E-2</v>
      </c>
      <c r="E27">
        <v>1.8200000000000001E-2</v>
      </c>
      <c r="F27">
        <f>C27/(1+2/'Données géométriques'!$B$6)</f>
        <v>0.884884</v>
      </c>
      <c r="G27">
        <f>F27^2/(PI()*'Données géométriques'!$B$6)</f>
        <v>3.7224590380414667E-2</v>
      </c>
      <c r="H27">
        <f t="shared" si="1"/>
        <v>6.1474590380414668E-2</v>
      </c>
      <c r="I27">
        <f t="shared" si="2"/>
        <v>0.23390753578414225</v>
      </c>
      <c r="J27">
        <f>XCP_3D('Données géométriques'!$B$9,'Données géométriques'!$B$10,'Données géométriques'!$B$11,'Données géométriques'!$B$12,I27)</f>
        <v>-0.26928607753668943</v>
      </c>
      <c r="K27">
        <f>ZCP_3D('Données géométriques'!$B$9,'Données géométriques'!$B$10,'Données géométriques'!$B$11)</f>
        <v>-0.37564783319086603</v>
      </c>
      <c r="L27">
        <f>'0.1kts'!L27</f>
        <v>1.6405950674999999E-2</v>
      </c>
    </row>
    <row r="28" spans="1:12" x14ac:dyDescent="0.3">
      <c r="A28">
        <v>12</v>
      </c>
      <c r="B28">
        <f t="shared" si="0"/>
        <v>0.20943951023931953</v>
      </c>
      <c r="C28">
        <v>1.1777</v>
      </c>
      <c r="D28">
        <v>2.588E-2</v>
      </c>
      <c r="E28">
        <v>2.1299999999999999E-2</v>
      </c>
      <c r="F28">
        <f>C28/(1+2/'Données géométriques'!$B$6)</f>
        <v>0.906829</v>
      </c>
      <c r="G28">
        <f>F28^2/(PI()*'Données géométriques'!$B$6)</f>
        <v>3.9093814052933093E-2</v>
      </c>
      <c r="H28">
        <f t="shared" si="1"/>
        <v>6.4973814052933093E-2</v>
      </c>
      <c r="I28">
        <f t="shared" si="2"/>
        <v>0.23159581057101714</v>
      </c>
      <c r="J28">
        <f>XCP_3D('Données géométriques'!$B$9,'Données géométriques'!$B$10,'Données géométriques'!$B$11,'Données géométriques'!$B$12,I28)</f>
        <v>-0.26870938712923303</v>
      </c>
      <c r="K28">
        <f>ZCP_3D('Données géométriques'!$B$9,'Données géométriques'!$B$10,'Données géométriques'!$B$11)</f>
        <v>-0.37564783319086603</v>
      </c>
      <c r="L28">
        <f>'0.1kts'!L28</f>
        <v>1.5174473599999998E-2</v>
      </c>
    </row>
    <row r="29" spans="1:12" x14ac:dyDescent="0.3">
      <c r="A29">
        <v>12.5</v>
      </c>
      <c r="B29">
        <f t="shared" si="0"/>
        <v>0.21816615649929119</v>
      </c>
      <c r="C29">
        <v>1.1964999999999999</v>
      </c>
      <c r="D29">
        <v>2.7910000000000001E-2</v>
      </c>
      <c r="E29">
        <v>2.53E-2</v>
      </c>
      <c r="F29">
        <f>C29/(1+2/'Données géométriques'!$B$6)</f>
        <v>0.92130499999999993</v>
      </c>
      <c r="G29">
        <f>F29^2/(PI()*'Données géométriques'!$B$6)</f>
        <v>4.035191023019645E-2</v>
      </c>
      <c r="H29">
        <f t="shared" si="1"/>
        <v>6.8261910230196454E-2</v>
      </c>
      <c r="I29">
        <f t="shared" si="2"/>
        <v>0.22845302977331139</v>
      </c>
      <c r="J29">
        <f>XCP_3D('Données géométriques'!$B$9,'Données géométriques'!$B$10,'Données géométriques'!$B$11,'Données géométriques'!$B$12,I29)</f>
        <v>-0.26792537892251372</v>
      </c>
      <c r="K29">
        <f>ZCP_3D('Données géométriques'!$B$9,'Données géométriques'!$B$10,'Données géométriques'!$B$11)</f>
        <v>-0.37564783319086603</v>
      </c>
      <c r="L29">
        <f>'0.1kts'!L29</f>
        <v>1.3831328124999999E-2</v>
      </c>
    </row>
    <row r="30" spans="1:12" x14ac:dyDescent="0.3">
      <c r="A30">
        <v>13</v>
      </c>
      <c r="B30">
        <f t="shared" si="0"/>
        <v>0.22689280275926285</v>
      </c>
      <c r="C30">
        <v>1.2136</v>
      </c>
      <c r="D30">
        <v>3.032E-2</v>
      </c>
      <c r="E30">
        <v>2.86E-2</v>
      </c>
      <c r="F30">
        <f>C30/(1+2/'Données géométriques'!$B$6)</f>
        <v>0.93447199999999997</v>
      </c>
      <c r="G30">
        <f>F30^2/(PI()*'Données géométriques'!$B$6)</f>
        <v>4.151354570395209E-2</v>
      </c>
      <c r="H30">
        <f t="shared" si="1"/>
        <v>7.183354570395209E-2</v>
      </c>
      <c r="I30">
        <f t="shared" si="2"/>
        <v>0.22595256486875395</v>
      </c>
      <c r="J30">
        <f>XCP_3D('Données géométriques'!$B$9,'Données géométriques'!$B$10,'Données géométriques'!$B$11,'Données géométriques'!$B$12,I30)</f>
        <v>-0.2673016049045438</v>
      </c>
      <c r="K30">
        <f>ZCP_3D('Données géométriques'!$B$9,'Données géométriques'!$B$10,'Données géométriques'!$B$11)</f>
        <v>-0.37564783319086603</v>
      </c>
      <c r="L30">
        <f>'0.1kts'!L30</f>
        <v>1.23718614E-2</v>
      </c>
    </row>
    <row r="31" spans="1:12" x14ac:dyDescent="0.3">
      <c r="A31">
        <v>13.5</v>
      </c>
      <c r="B31">
        <f t="shared" si="0"/>
        <v>0.23561944901923448</v>
      </c>
      <c r="C31">
        <v>1.2262999999999999</v>
      </c>
      <c r="D31">
        <v>3.3360000000000001E-2</v>
      </c>
      <c r="E31">
        <v>3.09E-2</v>
      </c>
      <c r="F31">
        <f>C31/(1+2/'Données géométriques'!$B$6)</f>
        <v>0.94425099999999995</v>
      </c>
      <c r="G31">
        <f>F31^2/(PI()*'Données géométriques'!$B$6)</f>
        <v>4.2386948224283509E-2</v>
      </c>
      <c r="H31">
        <f t="shared" si="1"/>
        <v>7.5746948224283517E-2</v>
      </c>
      <c r="I31">
        <f t="shared" si="2"/>
        <v>0.2242543975789284</v>
      </c>
      <c r="J31">
        <f>XCP_3D('Données géométriques'!$B$9,'Données géométriques'!$B$10,'Données géométriques'!$B$11,'Données géométriques'!$B$12,I31)</f>
        <v>-0.26687797463017848</v>
      </c>
      <c r="K31">
        <f>ZCP_3D('Données géométriques'!$B$9,'Données géométriques'!$B$10,'Données géométriques'!$B$11)</f>
        <v>-0.37564783319086603</v>
      </c>
      <c r="L31">
        <f>'0.1kts'!L31</f>
        <v>1.0791420575E-2</v>
      </c>
    </row>
    <row r="32" spans="1:12" x14ac:dyDescent="0.3">
      <c r="A32">
        <v>14</v>
      </c>
      <c r="B32">
        <f t="shared" si="0"/>
        <v>0.24434609527920614</v>
      </c>
      <c r="C32">
        <v>1.2346999999999999</v>
      </c>
      <c r="D32">
        <v>3.7249999999999998E-2</v>
      </c>
      <c r="E32">
        <v>3.2000000000000001E-2</v>
      </c>
      <c r="F32">
        <f>C32/(1+2/'Données géométriques'!$B$6)</f>
        <v>0.95071899999999998</v>
      </c>
      <c r="G32">
        <f>F32^2/(PI()*'Données géométriques'!$B$6)</f>
        <v>4.2969627528014469E-2</v>
      </c>
      <c r="H32">
        <f t="shared" si="1"/>
        <v>8.0219627528014467E-2</v>
      </c>
      <c r="I32">
        <f t="shared" si="2"/>
        <v>0.22348877140264811</v>
      </c>
      <c r="J32">
        <f>XCP_3D('Données géométriques'!$B$9,'Données géométriques'!$B$10,'Données géométriques'!$B$11,'Données géométriques'!$B$12,I32)</f>
        <v>-0.26668697906156497</v>
      </c>
      <c r="K32">
        <f>ZCP_3D('Données géométriques'!$B$9,'Données géométriques'!$B$10,'Données géométriques'!$B$11)</f>
        <v>-0.37564783319086603</v>
      </c>
      <c r="L32">
        <f>'0.1kts'!L32</f>
        <v>9.0853527999999965E-3</v>
      </c>
    </row>
    <row r="33" spans="1:12" x14ac:dyDescent="0.3">
      <c r="A33">
        <v>14.5</v>
      </c>
      <c r="B33">
        <f t="shared" si="0"/>
        <v>0.2530727415391778</v>
      </c>
      <c r="C33">
        <v>1.2372000000000001</v>
      </c>
      <c r="D33">
        <v>4.2380000000000001E-2</v>
      </c>
      <c r="E33">
        <v>3.1399999999999997E-2</v>
      </c>
      <c r="F33">
        <f>C33/(1+2/'Données géométriques'!$B$6)</f>
        <v>0.95264400000000005</v>
      </c>
      <c r="G33">
        <f>F33^2/(PI()*'Données géométriques'!$B$6)</f>
        <v>4.3143812065234703E-2</v>
      </c>
      <c r="H33">
        <f t="shared" si="1"/>
        <v>8.5523812065234711E-2</v>
      </c>
      <c r="I33">
        <f t="shared" si="2"/>
        <v>0.22401529911035492</v>
      </c>
      <c r="J33">
        <f>XCP_3D('Données géométriques'!$B$9,'Données géométriques'!$B$10,'Données géométriques'!$B$11,'Données géométriques'!$B$12,I33)</f>
        <v>-0.26681832835713337</v>
      </c>
      <c r="K33">
        <f>ZCP_3D('Données géométriques'!$B$9,'Données géométriques'!$B$10,'Données géométriques'!$B$11)</f>
        <v>-0.37564783319086603</v>
      </c>
      <c r="L33">
        <f>'0.1kts'!L33</f>
        <v>7.2490052249999971E-3</v>
      </c>
    </row>
    <row r="34" spans="1:12" x14ac:dyDescent="0.3">
      <c r="A34">
        <v>15</v>
      </c>
      <c r="B34">
        <f t="shared" si="0"/>
        <v>0.26179938779914941</v>
      </c>
      <c r="C34">
        <v>1.2305999999999999</v>
      </c>
      <c r="D34">
        <v>4.9410000000000003E-2</v>
      </c>
      <c r="E34">
        <v>2.9000000000000001E-2</v>
      </c>
      <c r="F34">
        <f>C34/(1+2/'Données géométriques'!$B$6)</f>
        <v>0.9475619999999999</v>
      </c>
      <c r="G34">
        <f>F34^2/(PI()*'Données géométriques'!$B$6)</f>
        <v>4.2684727609345101E-2</v>
      </c>
      <c r="H34">
        <f t="shared" si="1"/>
        <v>9.2094727609345103E-2</v>
      </c>
      <c r="I34">
        <f t="shared" si="2"/>
        <v>0.22586263148947031</v>
      </c>
      <c r="J34">
        <f>XCP_3D('Données géométriques'!$B$9,'Données géométriques'!$B$10,'Données géométriques'!$B$11,'Données géométriques'!$B$12,I34)</f>
        <v>-0.26727916983447242</v>
      </c>
      <c r="K34">
        <f>ZCP_3D('Données géométriques'!$B$9,'Données géométriques'!$B$10,'Données géométriques'!$B$11)</f>
        <v>-0.37564783319086603</v>
      </c>
      <c r="L34">
        <f>'0.1kts'!L34</f>
        <v>5.2777249999999987E-3</v>
      </c>
    </row>
    <row r="35" spans="1:12" x14ac:dyDescent="0.3">
      <c r="A35">
        <v>15.5</v>
      </c>
      <c r="B35">
        <f t="shared" si="0"/>
        <v>0.27052603405912107</v>
      </c>
      <c r="C35">
        <v>1.2195</v>
      </c>
      <c r="D35">
        <v>5.7829999999999999E-2</v>
      </c>
      <c r="E35">
        <v>2.5100000000000001E-2</v>
      </c>
      <c r="F35">
        <f>C35/(1+2/'Données géométriques'!$B$6)</f>
        <v>0.93901500000000004</v>
      </c>
      <c r="G35">
        <f>F35^2/(PI()*'Données géométriques'!$B$6)</f>
        <v>4.191816879474252E-2</v>
      </c>
      <c r="H35">
        <f t="shared" si="1"/>
        <v>9.974816879474252E-2</v>
      </c>
      <c r="I35">
        <f t="shared" si="2"/>
        <v>0.22891822319353622</v>
      </c>
      <c r="J35">
        <f>XCP_3D('Données géométriques'!$B$9,'Données géométriques'!$B$10,'Données géométriques'!$B$11,'Données géométriques'!$B$12,I35)</f>
        <v>-0.26804142756944438</v>
      </c>
      <c r="K35">
        <f>ZCP_3D('Données géométriques'!$B$9,'Données géométriques'!$B$10,'Données géométriques'!$B$11)</f>
        <v>-0.37564783319086603</v>
      </c>
      <c r="L35">
        <f>'0.1kts'!L35</f>
        <v>3.1668592749999986E-3</v>
      </c>
    </row>
    <row r="36" spans="1:12" x14ac:dyDescent="0.3">
      <c r="A36">
        <v>16</v>
      </c>
      <c r="B36">
        <f t="shared" si="0"/>
        <v>0.27925268031909273</v>
      </c>
      <c r="C36">
        <v>1.1984999999999999</v>
      </c>
      <c r="D36">
        <v>6.83E-2</v>
      </c>
      <c r="E36">
        <v>1.9800000000000002E-2</v>
      </c>
      <c r="F36">
        <f>C36/(1+2/'Données géométriques'!$B$6)</f>
        <v>0.92284499999999992</v>
      </c>
      <c r="G36">
        <f>F36^2/(PI()*'Données géométriques'!$B$6)</f>
        <v>4.048692280081579E-2</v>
      </c>
      <c r="H36">
        <f t="shared" si="1"/>
        <v>0.10878692280081578</v>
      </c>
      <c r="I36">
        <f t="shared" si="2"/>
        <v>0.23308990445119251</v>
      </c>
      <c r="J36">
        <f>XCP_3D('Données géométriques'!$B$9,'Données géométriques'!$B$10,'Données géométriques'!$B$11,'Données géométriques'!$B$12,I36)</f>
        <v>-0.26908210859441667</v>
      </c>
      <c r="K36">
        <f>ZCP_3D('Données géométriques'!$B$9,'Données géométriques'!$B$10,'Données géométriques'!$B$11)</f>
        <v>-0.37564783319086603</v>
      </c>
      <c r="L36">
        <f>'0.1kts'!L36</f>
        <v>9.1175519999999951E-4</v>
      </c>
    </row>
    <row r="37" spans="1:12" x14ac:dyDescent="0.3">
      <c r="A37">
        <v>16.5</v>
      </c>
      <c r="B37">
        <f>A37*PI()/180</f>
        <v>0.28797932657906439</v>
      </c>
      <c r="C37">
        <v>1.1680999999999999</v>
      </c>
      <c r="D37">
        <v>8.0750000000000002E-2</v>
      </c>
      <c r="E37">
        <v>1.32E-2</v>
      </c>
      <c r="F37">
        <f>C37/(1+2/'Données géométriques'!$B$6)</f>
        <v>0.89943699999999993</v>
      </c>
      <c r="G37">
        <f>F37^2/(PI()*'Données géométriques'!$B$6)</f>
        <v>3.8459066686268154E-2</v>
      </c>
      <c r="H37">
        <f>D37+G37</f>
        <v>0.11920906668626816</v>
      </c>
      <c r="I37">
        <f>0.25-E37/(C37*COS(B37)+D37*SIN(B37))</f>
        <v>0.23845075214431999</v>
      </c>
      <c r="J37">
        <f>XCP_3D('Données géométriques'!$B$9,'Données géométriques'!$B$10,'Données géométriques'!$B$11,'Données géométriques'!$B$12,I37)</f>
        <v>-0.27041944290339609</v>
      </c>
      <c r="K37">
        <f>ZCP_3D('Données géométriques'!$B$9,'Données géométriques'!$B$10,'Données géométriques'!$B$11)</f>
        <v>-0.37564783319086603</v>
      </c>
      <c r="L37">
        <f>'0.1kts'!L37</f>
        <v>-1.4922400750000014E-3</v>
      </c>
    </row>
    <row r="38" spans="1:12" x14ac:dyDescent="0.3">
      <c r="A38">
        <v>17</v>
      </c>
      <c r="B38">
        <f>A38*PI()/180</f>
        <v>0.29670597283903605</v>
      </c>
      <c r="C38">
        <v>1.1303000000000001</v>
      </c>
      <c r="D38">
        <v>9.5159999999999995E-2</v>
      </c>
      <c r="E38">
        <v>5.5999999999999999E-3</v>
      </c>
      <c r="F38">
        <f>C38/(1+2/'Données géométriques'!$B$6)</f>
        <v>0.87033100000000008</v>
      </c>
      <c r="G38">
        <f>F38^2/(PI()*'Données géométriques'!$B$6)</f>
        <v>3.6010250959885165E-2</v>
      </c>
      <c r="H38">
        <f>D38+G38</f>
        <v>0.13117025095988516</v>
      </c>
      <c r="I38">
        <f>0.25-E38/(C38*COS(B38)+D38*SIN(B38))</f>
        <v>0.24494919137752302</v>
      </c>
      <c r="J38">
        <f>XCP_3D('Données géométriques'!$B$9,'Données géométriques'!$B$10,'Données géométriques'!$B$11,'Données géométriques'!$B$12,I38)</f>
        <v>-0.27204056445709124</v>
      </c>
      <c r="K38">
        <f>ZCP_3D('Données géométriques'!$B$9,'Données géométriques'!$B$10,'Données géométriques'!$B$11)</f>
        <v>-0.37564783319086603</v>
      </c>
      <c r="L38">
        <f>'0.1kts'!L38</f>
        <v>-4.0497794000000026E-3</v>
      </c>
    </row>
    <row r="39" spans="1:12" x14ac:dyDescent="0.3">
      <c r="A39">
        <v>17.5</v>
      </c>
      <c r="B39">
        <f>A39*PI()/180</f>
        <v>0.30543261909900765</v>
      </c>
      <c r="C39">
        <v>1.0872999999999999</v>
      </c>
      <c r="D39">
        <v>0.11133</v>
      </c>
      <c r="E39">
        <v>-3.0999999999999999E-3</v>
      </c>
      <c r="F39">
        <f>C39/(1+2/'Données géométriques'!$B$6)</f>
        <v>0.83722099999999999</v>
      </c>
      <c r="G39">
        <f>F39^2/(PI()*'Données géométriques'!$B$6)</f>
        <v>3.3322491733573142E-2</v>
      </c>
      <c r="H39">
        <f>D39+G39</f>
        <v>0.14465249173357314</v>
      </c>
      <c r="I39">
        <f>0.25-E39/(C39*COS(B39)+D39*SIN(B39))</f>
        <v>0.25289596745882403</v>
      </c>
      <c r="J39">
        <f>XCP_3D('Données géométriques'!$B$9,'Données géométriques'!$B$10,'Données géométriques'!$B$11,'Données géométriques'!$B$12,I39)</f>
        <v>-0.27402299277956577</v>
      </c>
      <c r="K39">
        <f>ZCP_3D('Données géométriques'!$B$9,'Données géométriques'!$B$10,'Données géométriques'!$B$11)</f>
        <v>-0.37564783319086603</v>
      </c>
      <c r="L39">
        <f>'0.1kts'!L39</f>
        <v>-6.7655156249999994E-3</v>
      </c>
    </row>
    <row r="40" spans="1:12" x14ac:dyDescent="0.3">
      <c r="A40">
        <v>18</v>
      </c>
      <c r="B40">
        <f>A40*PI()/180</f>
        <v>0.31415926535897931</v>
      </c>
      <c r="C40">
        <v>1.0371999999999999</v>
      </c>
      <c r="D40">
        <v>0.12998000000000001</v>
      </c>
      <c r="E40">
        <v>-1.32E-2</v>
      </c>
      <c r="F40">
        <f>C40/(1+2/'Données géométriques'!$B$6)</f>
        <v>0.79864399999999991</v>
      </c>
      <c r="G40">
        <f>F40^2/(PI()*'Données géométriques'!$B$6)</f>
        <v>3.0322409534268804E-2</v>
      </c>
      <c r="H40">
        <f>D40+G40</f>
        <v>0.16030240953426883</v>
      </c>
      <c r="I40">
        <f>0.25-E40/(C40*COS(B40)+D40*SIN(B40))</f>
        <v>0.26285795464957612</v>
      </c>
      <c r="J40">
        <f>XCP_3D('Données géométriques'!$B$9,'Données géométriques'!$B$10,'Données géométriques'!$B$11,'Données géométriques'!$B$12,I40)</f>
        <v>-0.27650814214744002</v>
      </c>
      <c r="K40">
        <f>ZCP_3D('Données géométriques'!$B$9,'Données géométriques'!$B$10,'Données géométriques'!$B$11)</f>
        <v>-0.37564783319086603</v>
      </c>
      <c r="L40">
        <f>'0.1kts'!L40</f>
        <v>-9.6441016000000015E-3</v>
      </c>
    </row>
    <row r="41" spans="1:12" x14ac:dyDescent="0.3">
      <c r="A41">
        <v>20</v>
      </c>
      <c r="B41">
        <f>A41*PI()/180</f>
        <v>0.3490658503988659</v>
      </c>
      <c r="C41">
        <v>0.83789999999999998</v>
      </c>
      <c r="D41">
        <v>0.23218</v>
      </c>
      <c r="E41">
        <v>-6.6799999999999998E-2</v>
      </c>
      <c r="F41">
        <f>C41/(1+2/'Données géométriques'!$B$6)</f>
        <v>0.64518299999999995</v>
      </c>
      <c r="G41">
        <f>F41^2/(PI()*'Données géométriques'!$B$6)</f>
        <v>1.9788964694217023E-2</v>
      </c>
      <c r="H41">
        <f>D41+G41</f>
        <v>0.25196896469421703</v>
      </c>
      <c r="I41">
        <f>0.25-E41/(C41*COS(B41)+D41*SIN(B41))</f>
        <v>0.32706696212755898</v>
      </c>
      <c r="J41">
        <f>XCP_3D('Données géométriques'!$B$9,'Données géométriques'!$B$10,'Données géométriques'!$B$11,'Données géométriques'!$B$12,I41)</f>
        <v>-0.29252592768462515</v>
      </c>
      <c r="K41">
        <f>ZCP_3D('Données géométriques'!$B$9,'Données géométriques'!$B$10,'Données géométriques'!$B$11)</f>
        <v>-0.37564783319086603</v>
      </c>
      <c r="L41">
        <f>'0.1kts'!L41</f>
        <v>-1.2690190175000003E-2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F36F7-4354-4DC0-88B5-43DABD77F786}">
  <sheetPr codeName="Feuil5"/>
  <dimension ref="A1:L43"/>
  <sheetViews>
    <sheetView workbookViewId="0">
      <selection activeCell="M5" sqref="M5"/>
    </sheetView>
  </sheetViews>
  <sheetFormatPr baseColWidth="10" defaultRowHeight="14.4" x14ac:dyDescent="0.3"/>
  <sheetData>
    <row r="1" spans="1:12" ht="15.6" x14ac:dyDescent="0.3">
      <c r="A1" s="1">
        <v>2</v>
      </c>
      <c r="B1" s="1"/>
      <c r="C1" s="2">
        <f>A1*'Données géométriques'!B2/'Données géométriques'!G2</f>
        <v>456802.38331678254</v>
      </c>
    </row>
    <row r="2" spans="1:1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27</v>
      </c>
      <c r="K2" t="s">
        <v>28</v>
      </c>
      <c r="L2" t="s">
        <v>12</v>
      </c>
    </row>
    <row r="3" spans="1:12" x14ac:dyDescent="0.3">
      <c r="A3" t="s">
        <v>9</v>
      </c>
      <c r="B3" t="s">
        <v>9</v>
      </c>
      <c r="C3" t="s">
        <v>10</v>
      </c>
      <c r="D3" t="s">
        <v>11</v>
      </c>
      <c r="E3" t="s">
        <v>10</v>
      </c>
      <c r="F3" t="s">
        <v>9</v>
      </c>
      <c r="G3" t="s">
        <v>10</v>
      </c>
      <c r="H3" t="s">
        <v>11</v>
      </c>
      <c r="I3" t="s">
        <v>10</v>
      </c>
      <c r="J3" t="s">
        <v>11</v>
      </c>
      <c r="K3" t="s">
        <v>11</v>
      </c>
      <c r="L3" t="s">
        <v>11</v>
      </c>
    </row>
    <row r="4" spans="1:12" x14ac:dyDescent="0.3">
      <c r="A4">
        <v>0</v>
      </c>
      <c r="B4">
        <f>A4*PI()/180</f>
        <v>0</v>
      </c>
      <c r="C4">
        <v>0</v>
      </c>
      <c r="D4">
        <v>7.6299999999999996E-3</v>
      </c>
      <c r="E4">
        <v>0</v>
      </c>
      <c r="F4">
        <f>C4/(1+2/'Données géométriques'!$B$6)</f>
        <v>0</v>
      </c>
      <c r="G4">
        <f>F4^2/(PI()*'Données géométriques'!$B$6)</f>
        <v>0</v>
      </c>
      <c r="H4">
        <f>D4+G4</f>
        <v>7.6299999999999996E-3</v>
      </c>
      <c r="I4">
        <v>0</v>
      </c>
      <c r="J4">
        <f>XCP_3D('Données géométriques'!$B$9,'Données géométriques'!$B$10,'Données géométriques'!$B$11,'Données géométriques'!$B$12,I4)</f>
        <v>-0.21093475128380432</v>
      </c>
      <c r="K4">
        <f>ZCP_3D('Données géométriques'!$B$9,'Données géométriques'!$B$10,'Données géométriques'!$B$11)</f>
        <v>-0.37564783319086603</v>
      </c>
      <c r="L4">
        <f>'0.1kts'!L4</f>
        <v>2.4610999999999997E-2</v>
      </c>
    </row>
    <row r="5" spans="1:12" x14ac:dyDescent="0.3">
      <c r="A5">
        <v>0.5</v>
      </c>
      <c r="B5">
        <f t="shared" ref="B5:B43" si="0">A5*PI()/180</f>
        <v>8.7266462599716477E-3</v>
      </c>
      <c r="C5">
        <v>5.2999999999999999E-2</v>
      </c>
      <c r="D5">
        <v>7.6499999999999997E-3</v>
      </c>
      <c r="E5">
        <v>8.0000000000000004E-4</v>
      </c>
      <c r="F5">
        <f>C5/(1+2/'Données géométriques'!$B$6)</f>
        <v>4.0809999999999999E-2</v>
      </c>
      <c r="G5">
        <f>F5^2/(PI()*'Données géométriques'!$B$6)</f>
        <v>7.9175430244203234E-5</v>
      </c>
      <c r="H5">
        <f>D5+G5</f>
        <v>7.7291754302442027E-3</v>
      </c>
      <c r="I5">
        <f>0.25-E5/(C5*COS(B5)+D5*SIN(B5))</f>
        <v>0.23492407573801929</v>
      </c>
      <c r="J5">
        <f>XCP_3D('Données géométriques'!$B$9,'Données géométriques'!$B$10,'Données géométriques'!$B$11,'Données géométriques'!$B$12,I5)</f>
        <v>-0.26953966686333858</v>
      </c>
      <c r="K5">
        <f>ZCP_3D('Données géométriques'!$B$9,'Données géométriques'!$B$10,'Données géométriques'!$B$11)</f>
        <v>-0.37564783319086603</v>
      </c>
      <c r="L5">
        <f>'0.1kts'!L5</f>
        <v>2.4663709524999997E-2</v>
      </c>
    </row>
    <row r="6" spans="1:12" x14ac:dyDescent="0.3">
      <c r="A6">
        <v>1</v>
      </c>
      <c r="B6">
        <f t="shared" si="0"/>
        <v>1.7453292519943295E-2</v>
      </c>
      <c r="C6">
        <v>0.10580000000000001</v>
      </c>
      <c r="D6">
        <v>7.7099999999999998E-3</v>
      </c>
      <c r="E6">
        <v>1.6000000000000001E-3</v>
      </c>
      <c r="F6">
        <f>C6/(1+2/'Données géométriques'!$B$6)</f>
        <v>8.1466000000000011E-2</v>
      </c>
      <c r="G6">
        <f>F6^2/(PI()*'Données géométriques'!$B$6)</f>
        <v>3.1550774759655516E-4</v>
      </c>
      <c r="H6">
        <f t="shared" ref="H6:H43" si="1">D6+G6</f>
        <v>8.0255077475965553E-3</v>
      </c>
      <c r="I6">
        <f t="shared" ref="I6:I43" si="2">0.25-E6/(C6*COS(B6)+D6*SIN(B6))</f>
        <v>0.23489403793581959</v>
      </c>
      <c r="J6">
        <f>XCP_3D('Données géométriques'!$B$9,'Données géométriques'!$B$10,'Données géométriques'!$B$11,'Données géométriques'!$B$12,I6)</f>
        <v>-0.26953217353658321</v>
      </c>
      <c r="K6">
        <f>ZCP_3D('Données géométriques'!$B$9,'Données géométriques'!$B$10,'Données géométriques'!$B$11)</f>
        <v>-0.37564783319086603</v>
      </c>
      <c r="L6">
        <f>'0.1kts'!L6</f>
        <v>2.4711766199999999E-2</v>
      </c>
    </row>
    <row r="7" spans="1:12" x14ac:dyDescent="0.3">
      <c r="A7">
        <v>1.5</v>
      </c>
      <c r="B7">
        <f t="shared" si="0"/>
        <v>2.6179938779914941E-2</v>
      </c>
      <c r="C7">
        <v>0.15859999999999999</v>
      </c>
      <c r="D7">
        <v>7.8300000000000002E-3</v>
      </c>
      <c r="E7">
        <v>2.5000000000000001E-3</v>
      </c>
      <c r="F7">
        <f>C7/(1+2/'Données géométriques'!$B$6)</f>
        <v>0.12212199999999999</v>
      </c>
      <c r="G7">
        <f>F7^2/(PI()*'Données géométriques'!$B$6)</f>
        <v>7.0899807951067221E-4</v>
      </c>
      <c r="H7">
        <f t="shared" si="1"/>
        <v>8.5389980795106731E-3</v>
      </c>
      <c r="I7">
        <f t="shared" si="2"/>
        <v>0.23425202973466169</v>
      </c>
      <c r="J7">
        <f>XCP_3D('Données géométriques'!$B$9,'Données géométriques'!$B$10,'Données géométriques'!$B$11,'Données géométriques'!$B$12,I7)</f>
        <v>-0.26937201610566819</v>
      </c>
      <c r="K7">
        <f>ZCP_3D('Données géométriques'!$B$9,'Données géométriques'!$B$10,'Données géométriques'!$B$11)</f>
        <v>-0.37564783319086603</v>
      </c>
      <c r="L7">
        <f>'0.1kts'!L7</f>
        <v>2.4750517175E-2</v>
      </c>
    </row>
    <row r="8" spans="1:12" x14ac:dyDescent="0.3">
      <c r="A8">
        <v>2</v>
      </c>
      <c r="B8">
        <f t="shared" si="0"/>
        <v>3.4906585039886591E-2</v>
      </c>
      <c r="C8">
        <v>0.2112</v>
      </c>
      <c r="D8">
        <v>8.0199999999999994E-3</v>
      </c>
      <c r="E8">
        <v>3.3999999999999998E-3</v>
      </c>
      <c r="F8">
        <f>C8/(1+2/'Données géométriques'!$B$6)</f>
        <v>0.16262399999999999</v>
      </c>
      <c r="G8">
        <f>F8^2/(PI()*'Données géométriques'!$B$6)</f>
        <v>1.2572641164941233E-3</v>
      </c>
      <c r="H8">
        <f t="shared" si="1"/>
        <v>9.277264116494122E-3</v>
      </c>
      <c r="I8">
        <f t="shared" si="2"/>
        <v>0.23391303474626748</v>
      </c>
      <c r="J8">
        <f>XCP_3D('Données géométriques'!$B$9,'Données géométriques'!$B$10,'Données géométriques'!$B$11,'Données géométriques'!$B$12,I8)</f>
        <v>-0.26928744932546889</v>
      </c>
      <c r="K8">
        <f>ZCP_3D('Données géométriques'!$B$9,'Données géométriques'!$B$10,'Données géométriques'!$B$11)</f>
        <v>-0.37564783319086603</v>
      </c>
      <c r="L8">
        <f>'0.1kts'!L8</f>
        <v>2.47753096E-2</v>
      </c>
    </row>
    <row r="9" spans="1:12" x14ac:dyDescent="0.3">
      <c r="A9">
        <v>2.5</v>
      </c>
      <c r="B9">
        <f t="shared" si="0"/>
        <v>4.3633231299858237E-2</v>
      </c>
      <c r="C9">
        <v>0.26350000000000001</v>
      </c>
      <c r="D9">
        <v>8.2900000000000005E-3</v>
      </c>
      <c r="E9">
        <v>4.3E-3</v>
      </c>
      <c r="F9">
        <f>C9/(1+2/'Données géométriques'!$B$6)</f>
        <v>0.20289500000000002</v>
      </c>
      <c r="G9">
        <f>F9^2/(PI()*'Données géométriques'!$B$6)</f>
        <v>1.9570410347358783E-3</v>
      </c>
      <c r="H9">
        <f t="shared" si="1"/>
        <v>1.0247041034735879E-2</v>
      </c>
      <c r="I9">
        <f t="shared" si="2"/>
        <v>0.23368807416537618</v>
      </c>
      <c r="J9">
        <f>XCP_3D('Données géométriques'!$B$9,'Données géométriques'!$B$10,'Données géométriques'!$B$11,'Données géométriques'!$B$12,I9)</f>
        <v>-0.26923132993536103</v>
      </c>
      <c r="K9">
        <f>ZCP_3D('Données géométriques'!$B$9,'Données géométriques'!$B$10,'Données géométriques'!$B$11)</f>
        <v>-0.37564783319086603</v>
      </c>
      <c r="L9">
        <f>'0.1kts'!L9</f>
        <v>2.4781490624999996E-2</v>
      </c>
    </row>
    <row r="10" spans="1:12" x14ac:dyDescent="0.3">
      <c r="A10">
        <v>3</v>
      </c>
      <c r="B10">
        <f t="shared" si="0"/>
        <v>5.2359877559829883E-2</v>
      </c>
      <c r="C10">
        <v>0.31619999999999998</v>
      </c>
      <c r="D10">
        <v>8.6400000000000001E-3</v>
      </c>
      <c r="E10">
        <v>5.1999999999999998E-3</v>
      </c>
      <c r="F10">
        <f>C10/(1+2/'Données géométriques'!$B$6)</f>
        <v>0.243474</v>
      </c>
      <c r="G10">
        <f>F10^2/(PI()*'Données géométriques'!$B$6)</f>
        <v>2.8181390900196639E-3</v>
      </c>
      <c r="H10">
        <f t="shared" si="1"/>
        <v>1.1458139090019664E-2</v>
      </c>
      <c r="I10">
        <f t="shared" si="2"/>
        <v>0.23355569208182103</v>
      </c>
      <c r="J10">
        <f>XCP_3D('Données géométriques'!$B$9,'Données géométriques'!$B$10,'Données géométriques'!$B$11,'Données géométriques'!$B$12,I10)</f>
        <v>-0.26919830547498375</v>
      </c>
      <c r="K10">
        <f>ZCP_3D('Données géométriques'!$B$9,'Données géométriques'!$B$10,'Données géométriques'!$B$11)</f>
        <v>-0.37564783319086603</v>
      </c>
      <c r="L10">
        <f>'0.1kts'!L10</f>
        <v>2.4764407400000001E-2</v>
      </c>
    </row>
    <row r="11" spans="1:12" x14ac:dyDescent="0.3">
      <c r="A11">
        <v>3.5</v>
      </c>
      <c r="B11">
        <f t="shared" si="0"/>
        <v>6.1086523819801536E-2</v>
      </c>
      <c r="C11">
        <v>0.37</v>
      </c>
      <c r="D11">
        <v>9.0799999999999995E-3</v>
      </c>
      <c r="E11">
        <v>5.7999999999999996E-3</v>
      </c>
      <c r="F11">
        <f>C11/(1+2/'Données géométriques'!$B$6)</f>
        <v>0.28489999999999999</v>
      </c>
      <c r="G11">
        <f>F11^2/(PI()*'Données géométriques'!$B$6)</f>
        <v>3.8587100037135716E-3</v>
      </c>
      <c r="H11">
        <f t="shared" si="1"/>
        <v>1.293871000371357E-2</v>
      </c>
      <c r="I11">
        <f t="shared" si="2"/>
        <v>0.23431856865224035</v>
      </c>
      <c r="J11">
        <f>XCP_3D('Données géométriques'!$B$9,'Données géométriques'!$B$10,'Données géométriques'!$B$11,'Données géométriques'!$B$12,I11)</f>
        <v>-0.26938861511807444</v>
      </c>
      <c r="K11">
        <f>ZCP_3D('Données géométriques'!$B$9,'Données géométriques'!$B$10,'Données géométriques'!$B$11)</f>
        <v>-0.37564783319086603</v>
      </c>
      <c r="L11">
        <f>'0.1kts'!L11</f>
        <v>2.4719407074999998E-2</v>
      </c>
    </row>
    <row r="12" spans="1:12" x14ac:dyDescent="0.3">
      <c r="A12">
        <v>4</v>
      </c>
      <c r="B12">
        <f t="shared" si="0"/>
        <v>6.9813170079773182E-2</v>
      </c>
      <c r="C12">
        <v>0.42599999999999999</v>
      </c>
      <c r="D12">
        <v>9.5999999999999992E-3</v>
      </c>
      <c r="E12">
        <v>5.7999999999999996E-3</v>
      </c>
      <c r="F12">
        <f>C12/(1+2/'Données géométriques'!$B$6)</f>
        <v>0.32801999999999998</v>
      </c>
      <c r="G12">
        <f>F12^2/(PI()*'Données géométriques'!$B$6)</f>
        <v>5.1151443143456835E-3</v>
      </c>
      <c r="H12">
        <f t="shared" si="1"/>
        <v>1.4715144314345683E-2</v>
      </c>
      <c r="I12">
        <f t="shared" si="2"/>
        <v>0.2363732033432451</v>
      </c>
      <c r="J12">
        <f>XCP_3D('Données géométriques'!$B$9,'Données géométriques'!$B$10,'Données géométriques'!$B$11,'Données géométriques'!$B$12,I12)</f>
        <v>-0.26990117089693522</v>
      </c>
      <c r="K12">
        <f>ZCP_3D('Données géométriques'!$B$9,'Données géométriques'!$B$10,'Données géométriques'!$B$11)</f>
        <v>-0.37564783319086603</v>
      </c>
      <c r="L12">
        <f>'0.1kts'!L12</f>
        <v>2.4641836800000001E-2</v>
      </c>
    </row>
    <row r="13" spans="1:12" x14ac:dyDescent="0.3">
      <c r="A13">
        <v>4.5</v>
      </c>
      <c r="B13">
        <f t="shared" si="0"/>
        <v>7.8539816339744828E-2</v>
      </c>
      <c r="C13">
        <v>0.48409999999999997</v>
      </c>
      <c r="D13">
        <v>1.018E-2</v>
      </c>
      <c r="E13">
        <v>5.1999999999999998E-3</v>
      </c>
      <c r="F13">
        <f>C13/(1+2/'Données géométriques'!$B$6)</f>
        <v>0.37275700000000001</v>
      </c>
      <c r="G13">
        <f>F13^2/(PI()*'Données géométriques'!$B$6)</f>
        <v>6.6055480814126068E-3</v>
      </c>
      <c r="H13">
        <f t="shared" si="1"/>
        <v>1.6785548081412607E-2</v>
      </c>
      <c r="I13">
        <f t="shared" si="2"/>
        <v>0.23924300535667756</v>
      </c>
      <c r="J13">
        <f>XCP_3D('Données géométriques'!$B$9,'Données géométriques'!$B$10,'Données géométriques'!$B$11,'Données géométriques'!$B$12,I13)</f>
        <v>-0.27061708093807929</v>
      </c>
      <c r="K13">
        <f>ZCP_3D('Données géométriques'!$B$9,'Données géométriques'!$B$10,'Données géométriques'!$B$11)</f>
        <v>-0.37564783319086603</v>
      </c>
      <c r="L13">
        <f>'0.1kts'!L13</f>
        <v>2.4527043724999999E-2</v>
      </c>
    </row>
    <row r="14" spans="1:12" x14ac:dyDescent="0.3">
      <c r="A14">
        <v>5</v>
      </c>
      <c r="B14">
        <f t="shared" si="0"/>
        <v>8.7266462599716474E-2</v>
      </c>
      <c r="C14">
        <v>0.54469999999999996</v>
      </c>
      <c r="D14">
        <v>1.0800000000000001E-2</v>
      </c>
      <c r="E14">
        <v>4.0000000000000001E-3</v>
      </c>
      <c r="F14">
        <f>C14/(1+2/'Données géométriques'!$B$6)</f>
        <v>0.41941899999999999</v>
      </c>
      <c r="G14">
        <f>F14^2/(PI()*'Données géométriques'!$B$6)</f>
        <v>8.3628333671709985E-3</v>
      </c>
      <c r="H14">
        <f t="shared" si="1"/>
        <v>1.9162833367170999E-2</v>
      </c>
      <c r="I14">
        <f t="shared" si="2"/>
        <v>0.24264122231279056</v>
      </c>
      <c r="J14">
        <f>XCP_3D('Données géométriques'!$B$9,'Données géométriques'!$B$10,'Données géométriques'!$B$11,'Données géométriques'!$B$12,I14)</f>
        <v>-0.2714648110704973</v>
      </c>
      <c r="K14">
        <f>ZCP_3D('Données géométriques'!$B$9,'Données géométriques'!$B$10,'Données géométriques'!$B$11)</f>
        <v>-0.37564783319086603</v>
      </c>
      <c r="L14">
        <f>'0.1kts'!L14</f>
        <v>2.4370375E-2</v>
      </c>
    </row>
    <row r="15" spans="1:12" x14ac:dyDescent="0.3">
      <c r="A15">
        <v>5.5</v>
      </c>
      <c r="B15">
        <f t="shared" si="0"/>
        <v>9.599310885968812E-2</v>
      </c>
      <c r="C15">
        <v>0.60809999999999997</v>
      </c>
      <c r="D15">
        <v>1.1429999999999999E-2</v>
      </c>
      <c r="E15">
        <v>2.0999999999999999E-3</v>
      </c>
      <c r="F15">
        <f>C15/(1+2/'Données géométriques'!$B$6)</f>
        <v>0.46823699999999996</v>
      </c>
      <c r="G15">
        <f>F15^2/(PI()*'Données géométriques'!$B$6)</f>
        <v>1.0422903086459642E-2</v>
      </c>
      <c r="H15">
        <f t="shared" si="1"/>
        <v>2.1852903086459641E-2</v>
      </c>
      <c r="I15">
        <f t="shared" si="2"/>
        <v>0.24653691615734299</v>
      </c>
      <c r="J15">
        <f>XCP_3D('Données géométriques'!$B$9,'Données géométriques'!$B$10,'Données géométriques'!$B$11,'Données géométriques'!$B$12,I15)</f>
        <v>-0.27243664338766932</v>
      </c>
      <c r="K15">
        <f>ZCP_3D('Données géométriques'!$B$9,'Données géométriques'!$B$10,'Données géométriques'!$B$11)</f>
        <v>-0.37564783319086603</v>
      </c>
      <c r="L15">
        <f>'0.1kts'!L15</f>
        <v>2.4167177775E-2</v>
      </c>
    </row>
    <row r="16" spans="1:12" x14ac:dyDescent="0.3">
      <c r="A16">
        <v>6</v>
      </c>
      <c r="B16">
        <f t="shared" si="0"/>
        <v>0.10471975511965977</v>
      </c>
      <c r="C16">
        <v>0.67290000000000005</v>
      </c>
      <c r="D16">
        <v>1.209E-2</v>
      </c>
      <c r="E16">
        <v>-2.0000000000000001E-4</v>
      </c>
      <c r="F16">
        <f>C16/(1+2/'Données géométriques'!$B$6)</f>
        <v>0.51813300000000007</v>
      </c>
      <c r="G16">
        <f>F16^2/(PI()*'Données géométriques'!$B$6)</f>
        <v>1.2762617381246056E-2</v>
      </c>
      <c r="H16">
        <f t="shared" si="1"/>
        <v>2.4852617381246056E-2</v>
      </c>
      <c r="I16">
        <f t="shared" si="2"/>
        <v>0.25029829485747274</v>
      </c>
      <c r="J16">
        <f>XCP_3D('Données géométriques'!$B$9,'Données géométriques'!$B$10,'Données géométriques'!$B$11,'Données géométriques'!$B$12,I16)</f>
        <v>-0.27337496901688024</v>
      </c>
      <c r="K16">
        <f>ZCP_3D('Données géométriques'!$B$9,'Données géométriques'!$B$10,'Données géométriques'!$B$11)</f>
        <v>-0.37564783319086603</v>
      </c>
      <c r="L16">
        <f>'0.1kts'!L16</f>
        <v>2.3912799200000001E-2</v>
      </c>
    </row>
    <row r="17" spans="1:12" x14ac:dyDescent="0.3">
      <c r="A17">
        <v>6.5</v>
      </c>
      <c r="B17">
        <f t="shared" si="0"/>
        <v>0.11344640137963143</v>
      </c>
      <c r="C17">
        <v>0.73699999999999999</v>
      </c>
      <c r="D17">
        <v>1.274E-2</v>
      </c>
      <c r="E17">
        <v>-2.3E-3</v>
      </c>
      <c r="F17">
        <f>C17/(1+2/'Données géométriques'!$B$6)</f>
        <v>0.56749000000000005</v>
      </c>
      <c r="G17">
        <f>F17^2/(PI()*'Données géométriques'!$B$6)</f>
        <v>1.5309946340446291E-2</v>
      </c>
      <c r="H17">
        <f t="shared" si="1"/>
        <v>2.8049946340446288E-2</v>
      </c>
      <c r="I17">
        <f t="shared" si="2"/>
        <v>0.25313477630002024</v>
      </c>
      <c r="J17">
        <f>XCP_3D('Données géométriques'!$B$9,'Données géométriques'!$B$10,'Données géométriques'!$B$11,'Données géométriques'!$B$12,I17)</f>
        <v>-0.27408256680123361</v>
      </c>
      <c r="K17">
        <f>ZCP_3D('Données géométriques'!$B$9,'Données géométriques'!$B$10,'Données géométriques'!$B$11)</f>
        <v>-0.37564783319086603</v>
      </c>
      <c r="L17">
        <f>'0.1kts'!L17</f>
        <v>2.3602586424999999E-2</v>
      </c>
    </row>
    <row r="18" spans="1:12" x14ac:dyDescent="0.3">
      <c r="A18">
        <v>7</v>
      </c>
      <c r="B18">
        <f t="shared" si="0"/>
        <v>0.12217304763960307</v>
      </c>
      <c r="C18">
        <v>0.80059999999999998</v>
      </c>
      <c r="D18">
        <v>1.3440000000000001E-2</v>
      </c>
      <c r="E18">
        <v>-4.4999999999999997E-3</v>
      </c>
      <c r="F18">
        <f>C18/(1+2/'Données géométriques'!$B$6)</f>
        <v>0.61646199999999995</v>
      </c>
      <c r="G18">
        <f>F18^2/(PI()*'Données géométriques'!$B$6)</f>
        <v>1.8066326903695046E-2</v>
      </c>
      <c r="H18">
        <f t="shared" si="1"/>
        <v>3.1506326903695051E-2</v>
      </c>
      <c r="I18">
        <f t="shared" si="2"/>
        <v>0.2556513467695179</v>
      </c>
      <c r="J18">
        <f>XCP_3D('Données géométriques'!$B$9,'Données géométriques'!$B$10,'Données géométriques'!$B$11,'Données géométriques'!$B$12,I18)</f>
        <v>-0.2747103585652379</v>
      </c>
      <c r="K18">
        <f>ZCP_3D('Données géométriques'!$B$9,'Données géométriques'!$B$10,'Données géométriques'!$B$11)</f>
        <v>-0.37564783319086603</v>
      </c>
      <c r="L18">
        <f>'0.1kts'!L18</f>
        <v>2.3231886599999998E-2</v>
      </c>
    </row>
    <row r="19" spans="1:12" x14ac:dyDescent="0.3">
      <c r="A19">
        <v>7.5</v>
      </c>
      <c r="B19">
        <f t="shared" si="0"/>
        <v>0.1308996938995747</v>
      </c>
      <c r="C19">
        <v>0.84299999999999997</v>
      </c>
      <c r="D19">
        <v>1.4080000000000001E-2</v>
      </c>
      <c r="E19">
        <v>-2E-3</v>
      </c>
      <c r="F19">
        <f>C19/(1+2/'Données géométriques'!$B$6)</f>
        <v>0.64910999999999996</v>
      </c>
      <c r="G19">
        <f>F19^2/(PI()*'Données géométriques'!$B$6)</f>
        <v>2.0030594634251612E-2</v>
      </c>
      <c r="H19">
        <f t="shared" si="1"/>
        <v>3.4110594634251611E-2</v>
      </c>
      <c r="I19">
        <f t="shared" si="2"/>
        <v>0.25238770097066276</v>
      </c>
      <c r="J19">
        <f>XCP_3D('Données géométriques'!$B$9,'Données géométriques'!$B$10,'Données géométriques'!$B$11,'Données géométriques'!$B$12,I19)</f>
        <v>-0.27389619898656459</v>
      </c>
      <c r="K19">
        <f>ZCP_3D('Données géométriques'!$B$9,'Données géométriques'!$B$10,'Données géométriques'!$B$11)</f>
        <v>-0.37564783319086603</v>
      </c>
      <c r="L19">
        <f>'0.1kts'!L19</f>
        <v>2.2796046875E-2</v>
      </c>
    </row>
    <row r="20" spans="1:12" x14ac:dyDescent="0.3">
      <c r="A20">
        <v>8</v>
      </c>
      <c r="B20">
        <f t="shared" si="0"/>
        <v>0.13962634015954636</v>
      </c>
      <c r="C20">
        <v>0.88539999999999996</v>
      </c>
      <c r="D20">
        <v>1.477E-2</v>
      </c>
      <c r="E20">
        <v>4.0000000000000002E-4</v>
      </c>
      <c r="F20">
        <f>C20/(1+2/'Données géométriques'!$B$6)</f>
        <v>0.68175799999999998</v>
      </c>
      <c r="G20">
        <f>F20^2/(PI()*'Données géométriques'!$B$6)</f>
        <v>2.209620691552076E-2</v>
      </c>
      <c r="H20">
        <f t="shared" si="1"/>
        <v>3.6866206915520762E-2</v>
      </c>
      <c r="I20">
        <f t="shared" si="2"/>
        <v>0.2495448540293598</v>
      </c>
      <c r="J20">
        <f>XCP_3D('Données géométriques'!$B$9,'Données géométriques'!$B$10,'Données géométriques'!$B$11,'Données géométriques'!$B$12,I20)</f>
        <v>-0.27318701324441547</v>
      </c>
      <c r="K20">
        <f>ZCP_3D('Données géométriques'!$B$9,'Données géométriques'!$B$10,'Données géométriques'!$B$11)</f>
        <v>-0.37564783319086603</v>
      </c>
      <c r="L20">
        <f>'0.1kts'!L20</f>
        <v>2.22904144E-2</v>
      </c>
    </row>
    <row r="21" spans="1:12" x14ac:dyDescent="0.3">
      <c r="A21">
        <v>8.5</v>
      </c>
      <c r="B21">
        <f t="shared" si="0"/>
        <v>0.14835298641951802</v>
      </c>
      <c r="C21">
        <v>0.9274</v>
      </c>
      <c r="D21">
        <v>1.555E-2</v>
      </c>
      <c r="E21">
        <v>2.7000000000000001E-3</v>
      </c>
      <c r="F21">
        <f>C21/(1+2/'Données géométriques'!$B$6)</f>
        <v>0.71409800000000001</v>
      </c>
      <c r="G21">
        <f>F21^2/(PI()*'Données géométriques'!$B$6)</f>
        <v>2.4242247228002445E-2</v>
      </c>
      <c r="H21">
        <f t="shared" si="1"/>
        <v>3.9792247228002446E-2</v>
      </c>
      <c r="I21">
        <f t="shared" si="2"/>
        <v>0.24706365904970812</v>
      </c>
      <c r="J21">
        <f>XCP_3D('Données géométriques'!$B$9,'Données géométriques'!$B$10,'Données géométriques'!$B$11,'Données géométriques'!$B$12,I21)</f>
        <v>-0.27256804636389637</v>
      </c>
      <c r="K21">
        <f>ZCP_3D('Données géométriques'!$B$9,'Données géométriques'!$B$10,'Données géométriques'!$B$11)</f>
        <v>-0.37564783319086603</v>
      </c>
      <c r="L21">
        <f>'0.1kts'!L21</f>
        <v>2.1710336324999999E-2</v>
      </c>
    </row>
    <row r="22" spans="1:12" x14ac:dyDescent="0.3">
      <c r="A22">
        <v>9</v>
      </c>
      <c r="B22">
        <f t="shared" si="0"/>
        <v>0.15707963267948966</v>
      </c>
      <c r="C22">
        <v>0.97019999999999995</v>
      </c>
      <c r="D22">
        <v>1.635E-2</v>
      </c>
      <c r="E22">
        <v>4.8999999999999998E-3</v>
      </c>
      <c r="F22">
        <f>C22/(1+2/'Données géométriques'!$B$6)</f>
        <v>0.747054</v>
      </c>
      <c r="G22">
        <f>F22^2/(PI()*'Données géométriques'!$B$6)</f>
        <v>2.6531465130196791E-2</v>
      </c>
      <c r="H22">
        <f t="shared" si="1"/>
        <v>4.2881465130196791E-2</v>
      </c>
      <c r="I22">
        <f t="shared" si="2"/>
        <v>0.24490015190355391</v>
      </c>
      <c r="J22">
        <f>XCP_3D('Données géométriques'!$B$9,'Données géométriques'!$B$10,'Données géométriques'!$B$11,'Données géométriques'!$B$12,I22)</f>
        <v>-0.27202833091217737</v>
      </c>
      <c r="K22">
        <f>ZCP_3D('Données géométriques'!$B$9,'Données géométriques'!$B$10,'Données géométriques'!$B$11)</f>
        <v>-0.37564783319086603</v>
      </c>
      <c r="L22">
        <f>'0.1kts'!L22</f>
        <v>2.10511598E-2</v>
      </c>
    </row>
    <row r="23" spans="1:12" x14ac:dyDescent="0.3">
      <c r="A23">
        <v>9.5</v>
      </c>
      <c r="B23">
        <f t="shared" si="0"/>
        <v>0.16580627893946129</v>
      </c>
      <c r="C23">
        <v>1.0126999999999999</v>
      </c>
      <c r="D23">
        <v>1.7270000000000001E-2</v>
      </c>
      <c r="E23">
        <v>6.8999999999999999E-3</v>
      </c>
      <c r="F23">
        <f>C23/(1+2/'Données géométriques'!$B$6)</f>
        <v>0.779779</v>
      </c>
      <c r="G23">
        <f>F23^2/(PI()*'Données géométriques'!$B$6)</f>
        <v>2.8906819643129258E-2</v>
      </c>
      <c r="H23">
        <f t="shared" si="1"/>
        <v>4.6176819643129259E-2</v>
      </c>
      <c r="I23">
        <f t="shared" si="2"/>
        <v>0.24311144740242394</v>
      </c>
      <c r="J23">
        <f>XCP_3D('Données géométriques'!$B$9,'Données géométriques'!$B$10,'Données géométriques'!$B$11,'Données géométriques'!$B$12,I23)</f>
        <v>-0.27158211493386158</v>
      </c>
      <c r="K23">
        <f>ZCP_3D('Données géométriques'!$B$9,'Données géométriques'!$B$10,'Données géométriques'!$B$11)</f>
        <v>-0.37564783319086603</v>
      </c>
      <c r="L23">
        <f>'0.1kts'!L23</f>
        <v>2.0308231975E-2</v>
      </c>
    </row>
    <row r="24" spans="1:12" x14ac:dyDescent="0.3">
      <c r="A24">
        <v>10</v>
      </c>
      <c r="B24">
        <f t="shared" si="0"/>
        <v>0.17453292519943295</v>
      </c>
      <c r="C24">
        <v>1.0548999999999999</v>
      </c>
      <c r="D24">
        <v>1.8249999999999999E-2</v>
      </c>
      <c r="E24">
        <v>8.8999999999999999E-3</v>
      </c>
      <c r="F24">
        <f>C24/(1+2/'Données géométriques'!$B$6)</f>
        <v>0.81227300000000002</v>
      </c>
      <c r="G24">
        <f>F24^2/(PI()*'Données géométriques'!$B$6)</f>
        <v>3.1366154511757595E-2</v>
      </c>
      <c r="H24">
        <f t="shared" si="1"/>
        <v>4.961615451175759E-2</v>
      </c>
      <c r="I24">
        <f t="shared" si="2"/>
        <v>0.24145908384108891</v>
      </c>
      <c r="J24">
        <f>XCP_3D('Données géométriques'!$B$9,'Données géométriques'!$B$10,'Données géométriques'!$B$11,'Données géométriques'!$B$12,I24)</f>
        <v>-0.27116991100493509</v>
      </c>
      <c r="K24">
        <f>ZCP_3D('Données géométriques'!$B$9,'Données géométriques'!$B$10,'Données géométriques'!$B$11)</f>
        <v>-0.37564783319086603</v>
      </c>
      <c r="L24">
        <f>'0.1kts'!L24</f>
        <v>1.9476900000000002E-2</v>
      </c>
    </row>
    <row r="25" spans="1:12" x14ac:dyDescent="0.3">
      <c r="A25">
        <v>10.5</v>
      </c>
      <c r="B25">
        <f t="shared" si="0"/>
        <v>0.18325957145940461</v>
      </c>
      <c r="C25">
        <v>1.0958000000000001</v>
      </c>
      <c r="D25">
        <v>1.9359999999999999E-2</v>
      </c>
      <c r="E25">
        <v>1.09E-2</v>
      </c>
      <c r="F25">
        <f>C25/(1+2/'Données géométriques'!$B$6)</f>
        <v>0.84376600000000013</v>
      </c>
      <c r="G25">
        <f>F25^2/(PI()*'Données géométriques'!$B$6)</f>
        <v>3.3845527331655044E-2</v>
      </c>
      <c r="H25">
        <f t="shared" si="1"/>
        <v>5.3205527331655039E-2</v>
      </c>
      <c r="I25">
        <f t="shared" si="2"/>
        <v>0.23991654607421117</v>
      </c>
      <c r="J25">
        <f>XCP_3D('Données géométriques'!$B$9,'Données géométriques'!$B$10,'Données géométriques'!$B$11,'Données géométriques'!$B$12,I25)</f>
        <v>-0.27078510457195459</v>
      </c>
      <c r="K25">
        <f>ZCP_3D('Données géométriques'!$B$9,'Données géométriques'!$B$10,'Données géométriques'!$B$11)</f>
        <v>-0.37564783319086603</v>
      </c>
      <c r="L25">
        <f>'0.1kts'!L25</f>
        <v>1.8552511024999999E-2</v>
      </c>
    </row>
    <row r="26" spans="1:12" x14ac:dyDescent="0.3">
      <c r="A26">
        <v>11</v>
      </c>
      <c r="B26">
        <f t="shared" si="0"/>
        <v>0.19198621771937624</v>
      </c>
      <c r="C26">
        <v>1.1355999999999999</v>
      </c>
      <c r="D26">
        <v>2.051E-2</v>
      </c>
      <c r="E26">
        <v>1.2999999999999999E-2</v>
      </c>
      <c r="F26">
        <f>C26/(1+2/'Données géométriques'!$B$6)</f>
        <v>0.87441199999999997</v>
      </c>
      <c r="G26">
        <f>F26^2/(PI()*'Données géométriques'!$B$6)</f>
        <v>3.6348748332319755E-2</v>
      </c>
      <c r="H26">
        <f t="shared" si="1"/>
        <v>5.6858748332319756E-2</v>
      </c>
      <c r="I26">
        <f t="shared" si="2"/>
        <v>0.23837884246285104</v>
      </c>
      <c r="J26">
        <f>XCP_3D('Données géométriques'!$B$9,'Données géométriques'!$B$10,'Données géométriques'!$B$11,'Données géométriques'!$B$12,I26)</f>
        <v>-0.27040150408295854</v>
      </c>
      <c r="K26">
        <f>ZCP_3D('Données géométriques'!$B$9,'Données géométriques'!$B$10,'Données géométriques'!$B$11)</f>
        <v>-0.37564783319086603</v>
      </c>
      <c r="L26">
        <f>'0.1kts'!L26</f>
        <v>1.7530412199999998E-2</v>
      </c>
    </row>
    <row r="27" spans="1:12" x14ac:dyDescent="0.3">
      <c r="A27">
        <v>11.5</v>
      </c>
      <c r="B27">
        <f t="shared" si="0"/>
        <v>0.20071286397934787</v>
      </c>
      <c r="C27">
        <v>1.1718999999999999</v>
      </c>
      <c r="D27">
        <v>2.188E-2</v>
      </c>
      <c r="E27">
        <v>1.54E-2</v>
      </c>
      <c r="F27">
        <f>C27/(1+2/'Données géométriques'!$B$6)</f>
        <v>0.90236299999999992</v>
      </c>
      <c r="G27">
        <f>F27^2/(PI()*'Données géométriques'!$B$6)</f>
        <v>3.8709699625296794E-2</v>
      </c>
      <c r="H27">
        <f t="shared" si="1"/>
        <v>6.0589699625296797E-2</v>
      </c>
      <c r="I27">
        <f t="shared" si="2"/>
        <v>0.23664047890255474</v>
      </c>
      <c r="J27">
        <f>XCP_3D('Données géométriques'!$B$9,'Données géométriques'!$B$10,'Données géométriques'!$B$11,'Données géométriques'!$B$12,I27)</f>
        <v>-0.26996784631766624</v>
      </c>
      <c r="K27">
        <f>ZCP_3D('Données géométriques'!$B$9,'Données géométriques'!$B$10,'Données géométriques'!$B$11)</f>
        <v>-0.37564783319086603</v>
      </c>
      <c r="L27">
        <f>'0.1kts'!L27</f>
        <v>1.6405950674999999E-2</v>
      </c>
    </row>
    <row r="28" spans="1:12" x14ac:dyDescent="0.3">
      <c r="A28">
        <v>12</v>
      </c>
      <c r="B28">
        <f t="shared" si="0"/>
        <v>0.20943951023931953</v>
      </c>
      <c r="C28">
        <v>1.2061999999999999</v>
      </c>
      <c r="D28">
        <v>2.3279999999999999E-2</v>
      </c>
      <c r="E28">
        <v>1.7899999999999999E-2</v>
      </c>
      <c r="F28">
        <f>C28/(1+2/'Données géométriques'!$B$6)</f>
        <v>0.92877399999999999</v>
      </c>
      <c r="G28">
        <f>F28^2/(PI()*'Données géométriques'!$B$6)</f>
        <v>4.1008826435466356E-2</v>
      </c>
      <c r="H28">
        <f t="shared" si="1"/>
        <v>6.4288826435466351E-2</v>
      </c>
      <c r="I28">
        <f t="shared" si="2"/>
        <v>0.23489045776234554</v>
      </c>
      <c r="J28">
        <f>XCP_3D('Données géométriques'!$B$9,'Données géométriques'!$B$10,'Données géométriques'!$B$11,'Données géométriques'!$B$12,I28)</f>
        <v>-0.26953128041499219</v>
      </c>
      <c r="K28">
        <f>ZCP_3D('Données géométriques'!$B$9,'Données géométriques'!$B$10,'Données géométriques'!$B$11)</f>
        <v>-0.37564783319086603</v>
      </c>
      <c r="L28">
        <f>'0.1kts'!L28</f>
        <v>1.5174473599999998E-2</v>
      </c>
    </row>
    <row r="29" spans="1:12" x14ac:dyDescent="0.3">
      <c r="A29">
        <v>12.5</v>
      </c>
      <c r="B29">
        <f t="shared" si="0"/>
        <v>0.21816615649929119</v>
      </c>
      <c r="C29">
        <v>1.234</v>
      </c>
      <c r="D29">
        <v>2.4850000000000001E-2</v>
      </c>
      <c r="E29">
        <v>2.12E-2</v>
      </c>
      <c r="F29">
        <f>C29/(1+2/'Données géométriques'!$B$6)</f>
        <v>0.95018000000000002</v>
      </c>
      <c r="G29">
        <f>F29^2/(PI()*'Données géométriques'!$B$6)</f>
        <v>4.2920918994995352E-2</v>
      </c>
      <c r="H29">
        <f t="shared" si="1"/>
        <v>6.7770918994995349E-2</v>
      </c>
      <c r="I29">
        <f t="shared" si="2"/>
        <v>0.23248118913623295</v>
      </c>
      <c r="J29">
        <f>XCP_3D('Données géométriques'!$B$9,'Données géométriques'!$B$10,'Données géométriques'!$B$11,'Données géométriques'!$B$12,I29)</f>
        <v>-0.26893025651398156</v>
      </c>
      <c r="K29">
        <f>ZCP_3D('Données géométriques'!$B$9,'Données géométriques'!$B$10,'Données géométriques'!$B$11)</f>
        <v>-0.37564783319086603</v>
      </c>
      <c r="L29">
        <f>'0.1kts'!L29</f>
        <v>1.3831328124999999E-2</v>
      </c>
    </row>
    <row r="30" spans="1:12" x14ac:dyDescent="0.3">
      <c r="A30">
        <v>13</v>
      </c>
      <c r="B30">
        <f t="shared" si="0"/>
        <v>0.22689280275926285</v>
      </c>
      <c r="C30">
        <v>1.2543</v>
      </c>
      <c r="D30">
        <v>2.6769999999999999E-2</v>
      </c>
      <c r="E30">
        <v>2.5100000000000001E-2</v>
      </c>
      <c r="F30">
        <f>C30/(1+2/'Données géométriques'!$B$6)</f>
        <v>0.96581099999999998</v>
      </c>
      <c r="G30">
        <f>F30^2/(PI()*'Données géométriques'!$B$6)</f>
        <v>4.4344681233676735E-2</v>
      </c>
      <c r="H30">
        <f t="shared" si="1"/>
        <v>7.111468123367673E-2</v>
      </c>
      <c r="I30">
        <f t="shared" si="2"/>
        <v>0.22956316155201553</v>
      </c>
      <c r="J30">
        <f>XCP_3D('Données géométriques'!$B$9,'Données géométriques'!$B$10,'Données géométriques'!$B$11,'Données géométriques'!$B$12,I30)</f>
        <v>-0.26820231596682986</v>
      </c>
      <c r="K30">
        <f>ZCP_3D('Données géométriques'!$B$9,'Données géométriques'!$B$10,'Données géométriques'!$B$11)</f>
        <v>-0.37564783319086603</v>
      </c>
      <c r="L30">
        <f>'0.1kts'!L30</f>
        <v>1.23718614E-2</v>
      </c>
    </row>
    <row r="31" spans="1:12" x14ac:dyDescent="0.3">
      <c r="A31">
        <v>13.5</v>
      </c>
      <c r="B31">
        <f t="shared" si="0"/>
        <v>0.23561944901923448</v>
      </c>
      <c r="C31">
        <v>1.2705</v>
      </c>
      <c r="D31">
        <v>2.92E-2</v>
      </c>
      <c r="E31">
        <v>2.8299999999999999E-2</v>
      </c>
      <c r="F31">
        <f>C31/(1+2/'Données géométriques'!$B$6)</f>
        <v>0.97828499999999996</v>
      </c>
      <c r="G31">
        <f>F31^2/(PI()*'Données géométriques'!$B$6)</f>
        <v>4.5497552164878281E-2</v>
      </c>
      <c r="H31">
        <f t="shared" si="1"/>
        <v>7.4697552164878278E-2</v>
      </c>
      <c r="I31">
        <f t="shared" si="2"/>
        <v>0.22721807019005955</v>
      </c>
      <c r="J31">
        <f>XCP_3D('Données géométriques'!$B$9,'Données géométriques'!$B$10,'Données géométriques'!$B$11,'Données géométriques'!$B$12,I31)</f>
        <v>-0.267617301932565</v>
      </c>
      <c r="K31">
        <f>ZCP_3D('Données géométriques'!$B$9,'Données géométriques'!$B$10,'Données géométriques'!$B$11)</f>
        <v>-0.37564783319086603</v>
      </c>
      <c r="L31">
        <f>'0.1kts'!L31</f>
        <v>1.0791420575E-2</v>
      </c>
    </row>
    <row r="32" spans="1:12" x14ac:dyDescent="0.3">
      <c r="A32">
        <v>14</v>
      </c>
      <c r="B32">
        <f t="shared" si="0"/>
        <v>0.24434609527920614</v>
      </c>
      <c r="C32">
        <v>1.2846</v>
      </c>
      <c r="D32">
        <v>3.2099999999999997E-2</v>
      </c>
      <c r="E32">
        <v>3.0499999999999999E-2</v>
      </c>
      <c r="F32">
        <f>C32/(1+2/'Données géométriques'!$B$6)</f>
        <v>0.98914199999999997</v>
      </c>
      <c r="G32">
        <f>F32^2/(PI()*'Données géométriques'!$B$6)</f>
        <v>4.6513018914475714E-2</v>
      </c>
      <c r="H32">
        <f t="shared" si="1"/>
        <v>7.861301891447571E-2</v>
      </c>
      <c r="I32">
        <f t="shared" si="2"/>
        <v>0.22568185648235961</v>
      </c>
      <c r="J32">
        <f>XCP_3D('Données géométriques'!$B$9,'Données géométriques'!$B$10,'Données géométriques'!$B$11,'Données géométriques'!$B$12,I32)</f>
        <v>-0.26723407311972625</v>
      </c>
      <c r="K32">
        <f>ZCP_3D('Données géométriques'!$B$9,'Données géométriques'!$B$10,'Données géométriques'!$B$11)</f>
        <v>-0.37564783319086603</v>
      </c>
      <c r="L32">
        <f>'0.1kts'!L32</f>
        <v>9.0853527999999965E-3</v>
      </c>
    </row>
    <row r="33" spans="1:12" x14ac:dyDescent="0.3">
      <c r="A33">
        <v>14.5</v>
      </c>
      <c r="B33">
        <f t="shared" si="0"/>
        <v>0.2530727415391778</v>
      </c>
      <c r="C33">
        <v>1.2942</v>
      </c>
      <c r="D33">
        <v>3.5860000000000003E-2</v>
      </c>
      <c r="E33">
        <v>3.1600000000000003E-2</v>
      </c>
      <c r="F33">
        <f>C33/(1+2/'Données géométriques'!$B$6)</f>
        <v>0.99653400000000003</v>
      </c>
      <c r="G33">
        <f>F33^2/(PI()*'Données géométriques'!$B$6)</f>
        <v>4.7210813487395621E-2</v>
      </c>
      <c r="H33">
        <f t="shared" si="1"/>
        <v>8.3070813487395617E-2</v>
      </c>
      <c r="I33">
        <f t="shared" si="2"/>
        <v>0.22495949347666672</v>
      </c>
      <c r="J33">
        <f>XCP_3D('Données géométriques'!$B$9,'Données géométriques'!$B$10,'Données géométriques'!$B$11,'Données géométriques'!$B$12,I33)</f>
        <v>-0.26705387012080695</v>
      </c>
      <c r="K33">
        <f>ZCP_3D('Données géométriques'!$B$9,'Données géométriques'!$B$10,'Données géométriques'!$B$11)</f>
        <v>-0.37564783319086603</v>
      </c>
      <c r="L33">
        <f>'0.1kts'!L33</f>
        <v>7.2490052249999971E-3</v>
      </c>
    </row>
    <row r="34" spans="1:12" x14ac:dyDescent="0.3">
      <c r="A34">
        <v>15</v>
      </c>
      <c r="B34">
        <f t="shared" si="0"/>
        <v>0.26179938779914941</v>
      </c>
      <c r="C34">
        <v>1.2983</v>
      </c>
      <c r="D34">
        <v>4.0820000000000002E-2</v>
      </c>
      <c r="E34">
        <v>3.1099999999999999E-2</v>
      </c>
      <c r="F34">
        <f>C34/(1+2/'Données géométriques'!$B$6)</f>
        <v>0.999691</v>
      </c>
      <c r="G34">
        <f>F34^2/(PI()*'Données géométriques'!$B$6)</f>
        <v>4.7510413146321644E-2</v>
      </c>
      <c r="H34">
        <f t="shared" si="1"/>
        <v>8.8330413146321646E-2</v>
      </c>
      <c r="I34">
        <f t="shared" si="2"/>
        <v>0.22540775861084408</v>
      </c>
      <c r="J34">
        <f>XCP_3D('Données géométriques'!$B$9,'Données géométriques'!$B$10,'Données géométriques'!$B$11,'Données géométriques'!$B$12,I34)</f>
        <v>-0.2671656957830465</v>
      </c>
      <c r="K34">
        <f>ZCP_3D('Données géométriques'!$B$9,'Données géométriques'!$B$10,'Données géométriques'!$B$11)</f>
        <v>-0.37564783319086603</v>
      </c>
      <c r="L34">
        <f>'0.1kts'!L34</f>
        <v>5.2777249999999987E-3</v>
      </c>
    </row>
    <row r="35" spans="1:12" x14ac:dyDescent="0.3">
      <c r="A35">
        <v>15.5</v>
      </c>
      <c r="B35">
        <f t="shared" si="0"/>
        <v>0.27052603405912107</v>
      </c>
      <c r="C35">
        <v>1.2943</v>
      </c>
      <c r="D35">
        <v>4.7509999999999997E-2</v>
      </c>
      <c r="E35">
        <v>2.8799999999999999E-2</v>
      </c>
      <c r="F35">
        <f>C35/(1+2/'Données géométriques'!$B$6)</f>
        <v>0.99661100000000002</v>
      </c>
      <c r="G35">
        <f>F35^2/(PI()*'Données géométriques'!$B$6)</f>
        <v>4.7218109521613753E-2</v>
      </c>
      <c r="H35">
        <f t="shared" si="1"/>
        <v>9.4728109521613757E-2</v>
      </c>
      <c r="I35">
        <f t="shared" si="2"/>
        <v>0.22714146732294255</v>
      </c>
      <c r="J35">
        <f>XCP_3D('Données géométriques'!$B$9,'Données géométriques'!$B$10,'Données géométriques'!$B$11,'Données géométriques'!$B$12,I35)</f>
        <v>-0.26759819233493415</v>
      </c>
      <c r="K35">
        <f>ZCP_3D('Données géométriques'!$B$9,'Données géométriques'!$B$10,'Données géométriques'!$B$11)</f>
        <v>-0.37564783319086603</v>
      </c>
      <c r="L35">
        <f>'0.1kts'!L35</f>
        <v>3.1668592749999986E-3</v>
      </c>
    </row>
    <row r="36" spans="1:12" x14ac:dyDescent="0.3">
      <c r="A36">
        <v>16</v>
      </c>
      <c r="B36">
        <f t="shared" si="0"/>
        <v>0.27925268031909273</v>
      </c>
      <c r="C36">
        <v>1.2791999999999999</v>
      </c>
      <c r="D36">
        <v>5.6520000000000001E-2</v>
      </c>
      <c r="E36">
        <v>2.46E-2</v>
      </c>
      <c r="F36">
        <f>C36/(1+2/'Données géométriques'!$B$6)</f>
        <v>0.98498399999999997</v>
      </c>
      <c r="G36">
        <f>F36^2/(PI()*'Données géométriques'!$B$6)</f>
        <v>4.6122792560782416E-2</v>
      </c>
      <c r="H36">
        <f t="shared" si="1"/>
        <v>0.10264279256078242</v>
      </c>
      <c r="I36">
        <f t="shared" si="2"/>
        <v>0.23024453387911389</v>
      </c>
      <c r="J36">
        <f>XCP_3D('Données géométriques'!$B$9,'Données géométriques'!$B$10,'Données géométriques'!$B$11,'Données géométriques'!$B$12,I36)</f>
        <v>-0.26837229329921819</v>
      </c>
      <c r="K36">
        <f>ZCP_3D('Données géométriques'!$B$9,'Données géométriques'!$B$10,'Données géométriques'!$B$11)</f>
        <v>-0.37564783319086603</v>
      </c>
      <c r="L36">
        <f>'0.1kts'!L36</f>
        <v>9.1175519999999951E-4</v>
      </c>
    </row>
    <row r="37" spans="1:12" x14ac:dyDescent="0.3">
      <c r="A37">
        <v>16.5</v>
      </c>
      <c r="B37">
        <f t="shared" si="0"/>
        <v>0.28797932657906439</v>
      </c>
      <c r="C37">
        <v>1.2518</v>
      </c>
      <c r="D37">
        <v>6.8000000000000005E-2</v>
      </c>
      <c r="E37">
        <v>1.8599999999999998E-2</v>
      </c>
      <c r="F37">
        <f>C37/(1+2/'Données géométriques'!$B$6)</f>
        <v>0.96388600000000002</v>
      </c>
      <c r="G37">
        <f>F37^2/(PI()*'Données géométriques'!$B$6)</f>
        <v>4.4168086764350474E-2</v>
      </c>
      <c r="H37">
        <f t="shared" si="1"/>
        <v>0.11216808676435047</v>
      </c>
      <c r="I37">
        <f t="shared" si="2"/>
        <v>0.23474864271948437</v>
      </c>
      <c r="J37">
        <f>XCP_3D('Données géométriques'!$B$9,'Données géométriques'!$B$10,'Données géométriques'!$B$11,'Données géométriques'!$B$12,I37)</f>
        <v>-0.26949590277824498</v>
      </c>
      <c r="K37">
        <f>ZCP_3D('Données géométriques'!$B$9,'Données géométriques'!$B$10,'Données géométriques'!$B$11)</f>
        <v>-0.37564783319086603</v>
      </c>
      <c r="L37">
        <f>'0.1kts'!L37</f>
        <v>-1.4922400750000014E-3</v>
      </c>
    </row>
    <row r="38" spans="1:12" x14ac:dyDescent="0.3">
      <c r="A38">
        <v>17</v>
      </c>
      <c r="B38">
        <f t="shared" si="0"/>
        <v>0.29670597283903605</v>
      </c>
      <c r="C38">
        <v>1.2143999999999999</v>
      </c>
      <c r="D38">
        <v>8.1559999999999994E-2</v>
      </c>
      <c r="E38">
        <v>1.15E-2</v>
      </c>
      <c r="F38">
        <f>C38/(1+2/'Données géométriques'!$B$6)</f>
        <v>0.93508799999999992</v>
      </c>
      <c r="G38">
        <f>F38^2/(PI()*'Données géométriques'!$B$6)</f>
        <v>4.1568294851586952E-2</v>
      </c>
      <c r="H38">
        <f t="shared" si="1"/>
        <v>0.12312829485158694</v>
      </c>
      <c r="I38">
        <f t="shared" si="2"/>
        <v>0.24029685163989009</v>
      </c>
      <c r="J38">
        <f>XCP_3D('Données géométriques'!$B$9,'Données géométriques'!$B$10,'Données géométriques'!$B$11,'Données géométriques'!$B$12,I38)</f>
        <v>-0.27087997682164122</v>
      </c>
      <c r="K38">
        <f>ZCP_3D('Données géométriques'!$B$9,'Données géométriques'!$B$10,'Données géométriques'!$B$11)</f>
        <v>-0.37564783319086603</v>
      </c>
      <c r="L38">
        <f>'0.1kts'!L38</f>
        <v>-4.0497794000000026E-3</v>
      </c>
    </row>
    <row r="39" spans="1:12" x14ac:dyDescent="0.3">
      <c r="A39">
        <v>17.5</v>
      </c>
      <c r="B39">
        <f t="shared" si="0"/>
        <v>0.30543261909900765</v>
      </c>
      <c r="C39">
        <v>1.1719999999999999</v>
      </c>
      <c r="D39">
        <v>9.6619999999999998E-2</v>
      </c>
      <c r="E39">
        <v>3.8E-3</v>
      </c>
      <c r="F39">
        <f>C39/(1+2/'Données géométriques'!$B$6)</f>
        <v>0.90243999999999991</v>
      </c>
      <c r="G39">
        <f>F39^2/(PI()*'Données géométriques'!$B$6)</f>
        <v>3.8716306221628208E-2</v>
      </c>
      <c r="H39">
        <f t="shared" si="1"/>
        <v>0.13533630622162821</v>
      </c>
      <c r="I39">
        <f t="shared" si="2"/>
        <v>0.24668646203494782</v>
      </c>
      <c r="J39">
        <f>XCP_3D('Données géométriques'!$B$9,'Données géométriques'!$B$10,'Données géométriques'!$B$11,'Données géométriques'!$B$12,I39)</f>
        <v>-0.27247394958331778</v>
      </c>
      <c r="K39">
        <f>ZCP_3D('Données géométriques'!$B$9,'Données géométriques'!$B$10,'Données géométriques'!$B$11)</f>
        <v>-0.37564783319086603</v>
      </c>
      <c r="L39">
        <f>'0.1kts'!L39</f>
        <v>-6.7655156249999994E-3</v>
      </c>
    </row>
    <row r="40" spans="1:12" x14ac:dyDescent="0.3">
      <c r="A40">
        <v>18</v>
      </c>
      <c r="B40">
        <f t="shared" si="0"/>
        <v>0.31415926535897931</v>
      </c>
      <c r="C40">
        <v>1.1277999999999999</v>
      </c>
      <c r="D40">
        <v>0.11266</v>
      </c>
      <c r="E40">
        <v>-4.5999999999999999E-3</v>
      </c>
      <c r="F40">
        <f>C40/(1+2/'Données géométriques'!$B$6)</f>
        <v>0.8684059999999999</v>
      </c>
      <c r="G40">
        <f>F40^2/(PI()*'Données géométriques'!$B$6)</f>
        <v>3.5851132021620255E-2</v>
      </c>
      <c r="H40">
        <f t="shared" si="1"/>
        <v>0.14851113202162025</v>
      </c>
      <c r="I40">
        <f t="shared" si="2"/>
        <v>0.25415381619789534</v>
      </c>
      <c r="J40">
        <f>XCP_3D('Données géométriques'!$B$9,'Données géométriques'!$B$10,'Données géométriques'!$B$11,'Données géométriques'!$B$12,I40)</f>
        <v>-0.27433677977195442</v>
      </c>
      <c r="K40">
        <f>ZCP_3D('Données géométriques'!$B$9,'Données géométriques'!$B$10,'Données géométriques'!$B$11)</f>
        <v>-0.37564783319086603</v>
      </c>
      <c r="L40">
        <f>'0.1kts'!L40</f>
        <v>-9.6441016000000015E-3</v>
      </c>
    </row>
    <row r="41" spans="1:12" x14ac:dyDescent="0.3">
      <c r="A41">
        <v>18.5</v>
      </c>
      <c r="B41">
        <f t="shared" si="0"/>
        <v>0.32288591161895097</v>
      </c>
      <c r="C41">
        <v>1.0855999999999999</v>
      </c>
      <c r="D41">
        <v>0.12914</v>
      </c>
      <c r="E41">
        <v>-1.3299999999999999E-2</v>
      </c>
      <c r="F41">
        <f>C41/(1+2/'Données géométriques'!$B$6)</f>
        <v>0.83591199999999988</v>
      </c>
      <c r="G41">
        <f>F41^2/(PI()*'Données géométriques'!$B$6)</f>
        <v>3.3218373365099668E-2</v>
      </c>
      <c r="H41">
        <f t="shared" si="1"/>
        <v>0.16235837336509967</v>
      </c>
      <c r="I41">
        <f t="shared" si="2"/>
        <v>0.26242436918161988</v>
      </c>
      <c r="J41">
        <f>XCP_3D('Données géométriques'!$B$9,'Données géométriques'!$B$10,'Données géométriques'!$B$11,'Données géométriques'!$B$12,I41)</f>
        <v>-0.27639997852195264</v>
      </c>
      <c r="K41">
        <f>ZCP_3D('Données géométriques'!$B$9,'Données géométriques'!$B$10,'Données géométriques'!$B$11)</f>
        <v>-0.37564783319086603</v>
      </c>
      <c r="L41">
        <f>'0.1kts'!L41</f>
        <v>-1.2690190175000003E-2</v>
      </c>
    </row>
    <row r="42" spans="1:12" x14ac:dyDescent="0.3">
      <c r="A42">
        <v>19</v>
      </c>
      <c r="B42">
        <f t="shared" si="0"/>
        <v>0.33161255787892258</v>
      </c>
      <c r="C42">
        <v>1.0442</v>
      </c>
      <c r="D42">
        <v>0.14641000000000001</v>
      </c>
      <c r="E42">
        <v>-2.29E-2</v>
      </c>
      <c r="F42">
        <f>C42/(1+2/'Données géométriques'!$B$6)</f>
        <v>0.80403400000000003</v>
      </c>
      <c r="G42">
        <f>F42^2/(PI()*'Données géométriques'!$B$6)</f>
        <v>3.0733078876943074E-2</v>
      </c>
      <c r="H42">
        <f t="shared" si="1"/>
        <v>0.17714307887694308</v>
      </c>
      <c r="I42">
        <f t="shared" si="2"/>
        <v>0.27212609704934743</v>
      </c>
      <c r="J42">
        <f>XCP_3D('Données géométriques'!$B$9,'Données géométriques'!$B$10,'Données géométriques'!$B$11,'Données géométriques'!$B$12,I42)</f>
        <v>-0.27882020276196506</v>
      </c>
      <c r="K42">
        <f>ZCP_3D('Données géométriques'!$B$9,'Données géométriques'!$B$10,'Données géométriques'!$B$11)</f>
        <v>-0.37564783319086603</v>
      </c>
      <c r="L42">
        <f>'0.1kts'!L42</f>
        <v>-1.5908434200000002E-2</v>
      </c>
    </row>
    <row r="43" spans="1:12" x14ac:dyDescent="0.3">
      <c r="A43">
        <v>19.5</v>
      </c>
      <c r="B43">
        <f t="shared" si="0"/>
        <v>0.34033920413889424</v>
      </c>
      <c r="C43">
        <v>0.98819999999999997</v>
      </c>
      <c r="D43">
        <v>0.16879</v>
      </c>
      <c r="E43">
        <v>-3.5700000000000003E-2</v>
      </c>
      <c r="F43">
        <f>C43/(1+2/'Données géométriques'!$B$6)</f>
        <v>0.76091399999999998</v>
      </c>
      <c r="G43">
        <f>F43^2/(PI()*'Données géométriques'!$B$6)</f>
        <v>2.7525067453665803E-2</v>
      </c>
      <c r="H43">
        <f t="shared" si="1"/>
        <v>0.19631506745366581</v>
      </c>
      <c r="I43">
        <f t="shared" si="2"/>
        <v>0.28613866626354612</v>
      </c>
      <c r="J43">
        <f>XCP_3D('Données géométriques'!$B$9,'Données géométriques'!$B$10,'Données géométriques'!$B$11,'Données géométriques'!$B$12,I43)</f>
        <v>-0.28231582335032274</v>
      </c>
      <c r="K43">
        <f>ZCP_3D('Données géométriques'!$B$9,'Données géométriques'!$B$10,'Données géométriques'!$B$11)</f>
        <v>-0.37564783319086603</v>
      </c>
      <c r="L43">
        <f>'0.1kts'!L43</f>
        <v>-1.9303486525E-2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A475C-40A0-4CDE-874E-055F6BD18ABF}">
  <sheetPr codeName="Feuil6"/>
  <dimension ref="A1:L44"/>
  <sheetViews>
    <sheetView workbookViewId="0">
      <selection activeCell="E27" sqref="E27"/>
    </sheetView>
  </sheetViews>
  <sheetFormatPr baseColWidth="10" defaultRowHeight="14.4" x14ac:dyDescent="0.3"/>
  <sheetData>
    <row r="1" spans="1:12" x14ac:dyDescent="0.3">
      <c r="A1">
        <v>2.5</v>
      </c>
      <c r="C1" s="2">
        <f>A1*'Données géométriques'!B2/'Données géométriques'!G2</f>
        <v>571002.97914597823</v>
      </c>
    </row>
    <row r="2" spans="1:1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27</v>
      </c>
      <c r="K2" t="s">
        <v>28</v>
      </c>
      <c r="L2" t="s">
        <v>12</v>
      </c>
    </row>
    <row r="3" spans="1:12" x14ac:dyDescent="0.3">
      <c r="A3" t="s">
        <v>9</v>
      </c>
      <c r="B3" t="s">
        <v>9</v>
      </c>
      <c r="C3" t="s">
        <v>10</v>
      </c>
      <c r="D3" t="s">
        <v>11</v>
      </c>
      <c r="E3" t="s">
        <v>10</v>
      </c>
      <c r="F3" t="s">
        <v>9</v>
      </c>
      <c r="G3" t="s">
        <v>10</v>
      </c>
      <c r="H3" t="s">
        <v>11</v>
      </c>
      <c r="I3" t="s">
        <v>10</v>
      </c>
      <c r="J3" t="s">
        <v>11</v>
      </c>
      <c r="K3" t="s">
        <v>11</v>
      </c>
      <c r="L3" t="s">
        <v>11</v>
      </c>
    </row>
    <row r="4" spans="1:12" x14ac:dyDescent="0.3">
      <c r="A4">
        <v>0</v>
      </c>
      <c r="B4">
        <f>A4*PI()/180</f>
        <v>0</v>
      </c>
      <c r="C4">
        <v>0</v>
      </c>
      <c r="D4">
        <v>7.3800000000000003E-3</v>
      </c>
      <c r="E4">
        <v>0</v>
      </c>
      <c r="F4">
        <f>C4/(1+2/'Données géométriques'!$B$6)</f>
        <v>0</v>
      </c>
      <c r="G4">
        <f>F4^2/(PI()*'Données géométriques'!$B$6)</f>
        <v>0</v>
      </c>
      <c r="H4">
        <f>D4+G4</f>
        <v>7.3800000000000003E-3</v>
      </c>
      <c r="I4">
        <v>0</v>
      </c>
      <c r="J4">
        <f>XCP_3D('Données géométriques'!$B$9,'Données géométriques'!$B$10,'Données géométriques'!$B$11,'Données géométriques'!$B$12,I4)</f>
        <v>-0.21093475128380432</v>
      </c>
      <c r="K4">
        <f>ZCP_3D('Données géométriques'!$B$9,'Données géométriques'!$B$10,'Données géométriques'!$B$11)</f>
        <v>-0.37564783319086603</v>
      </c>
      <c r="L4">
        <f>'0.1kts'!L4</f>
        <v>2.4610999999999997E-2</v>
      </c>
    </row>
    <row r="5" spans="1:12" x14ac:dyDescent="0.3">
      <c r="A5">
        <v>0.5</v>
      </c>
      <c r="B5">
        <f t="shared" ref="B5:B44" si="0">A5*PI()/180</f>
        <v>8.7266462599716477E-3</v>
      </c>
      <c r="C5">
        <v>5.3699999999999998E-2</v>
      </c>
      <c r="D5">
        <v>7.4000000000000003E-3</v>
      </c>
      <c r="E5">
        <v>5.9999999999999995E-4</v>
      </c>
      <c r="F5">
        <f>C5/(1+2/'Données géométriques'!$B$6)</f>
        <v>4.1348999999999997E-2</v>
      </c>
      <c r="G5">
        <f>F5^2/(PI()*'Données géométriques'!$B$6)</f>
        <v>8.1280668010290632E-5</v>
      </c>
      <c r="H5">
        <f>D5+G5</f>
        <v>7.4812806680102911E-3</v>
      </c>
      <c r="I5">
        <f>0.25-E5/(C5*COS(B5)+D5*SIN(B5))</f>
        <v>0.23883981126269316</v>
      </c>
      <c r="J5">
        <f>XCP_3D('Données géométriques'!$B$9,'Données géométriques'!$B$10,'Données géométriques'!$B$11,'Données géométriques'!$B$12,I5)</f>
        <v>-0.27051649884249712</v>
      </c>
      <c r="K5">
        <f>ZCP_3D('Données géométriques'!$B$9,'Données géométriques'!$B$10,'Données géométriques'!$B$11)</f>
        <v>-0.37564783319086603</v>
      </c>
      <c r="L5">
        <f>'0.1kts'!L5</f>
        <v>2.4663709524999997E-2</v>
      </c>
    </row>
    <row r="6" spans="1:12" x14ac:dyDescent="0.3">
      <c r="A6">
        <v>1</v>
      </c>
      <c r="B6">
        <f t="shared" si="0"/>
        <v>1.7453292519943295E-2</v>
      </c>
      <c r="C6">
        <v>0.1072</v>
      </c>
      <c r="D6">
        <v>7.4599999999999996E-3</v>
      </c>
      <c r="E6">
        <v>1.1999999999999999E-3</v>
      </c>
      <c r="F6">
        <f>C6/(1+2/'Données géométriques'!$B$6)</f>
        <v>8.2544000000000006E-2</v>
      </c>
      <c r="G6">
        <f>F6^2/(PI()*'Données géométriques'!$B$6)</f>
        <v>3.2391291431026865E-4</v>
      </c>
      <c r="H6">
        <f t="shared" ref="H6:H44" si="1">D6+G6</f>
        <v>7.7839129143102686E-3</v>
      </c>
      <c r="I6">
        <f t="shared" ref="I6:I44" si="2">0.25-E6/(C6*COS(B6)+D6*SIN(B6))</f>
        <v>0.23881784783470378</v>
      </c>
      <c r="J6">
        <f>XCP_3D('Données géométriques'!$B$9,'Données géométriques'!$B$10,'Données géométriques'!$B$11,'Données géométriques'!$B$12,I6)</f>
        <v>-0.27051101977510428</v>
      </c>
      <c r="K6">
        <f>ZCP_3D('Données géométriques'!$B$9,'Données géométriques'!$B$10,'Données géométriques'!$B$11)</f>
        <v>-0.37564783319086603</v>
      </c>
      <c r="L6">
        <f>'0.1kts'!L6</f>
        <v>2.4711766199999999E-2</v>
      </c>
    </row>
    <row r="7" spans="1:12" x14ac:dyDescent="0.3">
      <c r="A7">
        <v>1.5</v>
      </c>
      <c r="B7">
        <f t="shared" si="0"/>
        <v>2.6179938779914941E-2</v>
      </c>
      <c r="C7">
        <v>0.16059999999999999</v>
      </c>
      <c r="D7">
        <v>7.5700000000000003E-3</v>
      </c>
      <c r="E7">
        <v>1.8E-3</v>
      </c>
      <c r="F7">
        <f>C7/(1+2/'Données géométriques'!$B$6)</f>
        <v>0.12366199999999999</v>
      </c>
      <c r="G7">
        <f>F7^2/(PI()*'Données géométriques'!$B$6)</f>
        <v>7.2699223923580552E-4</v>
      </c>
      <c r="H7">
        <f t="shared" si="1"/>
        <v>8.2969922392358061E-3</v>
      </c>
      <c r="I7">
        <f t="shared" si="2"/>
        <v>0.23880200947918351</v>
      </c>
      <c r="J7">
        <f>XCP_3D('Données géométriques'!$B$9,'Données géométriques'!$B$10,'Données géométriques'!$B$11,'Données géométriques'!$B$12,I7)</f>
        <v>-0.27050706868799163</v>
      </c>
      <c r="K7">
        <f>ZCP_3D('Données géométriques'!$B$9,'Données géométriques'!$B$10,'Données géométriques'!$B$11)</f>
        <v>-0.37564783319086603</v>
      </c>
      <c r="L7">
        <f>'0.1kts'!L7</f>
        <v>2.4750517175E-2</v>
      </c>
    </row>
    <row r="8" spans="1:12" x14ac:dyDescent="0.3">
      <c r="A8">
        <v>2</v>
      </c>
      <c r="B8">
        <f t="shared" si="0"/>
        <v>3.4906585039886591E-2</v>
      </c>
      <c r="C8">
        <v>0.21360000000000001</v>
      </c>
      <c r="D8">
        <v>7.7299999999999999E-3</v>
      </c>
      <c r="E8">
        <v>2.5000000000000001E-3</v>
      </c>
      <c r="F8">
        <f>C8/(1+2/'Données géométriques'!$B$6)</f>
        <v>0.16447200000000001</v>
      </c>
      <c r="G8">
        <f>F8^2/(PI()*'Données géométriques'!$B$6)</f>
        <v>1.2860006542807275E-3</v>
      </c>
      <c r="H8">
        <f t="shared" si="1"/>
        <v>9.0160006542807265E-3</v>
      </c>
      <c r="I8">
        <f t="shared" si="2"/>
        <v>0.23830352741752861</v>
      </c>
      <c r="J8">
        <f>XCP_3D('Données géométriques'!$B$9,'Données géométriques'!$B$10,'Données géométriques'!$B$11,'Données géométriques'!$B$12,I8)</f>
        <v>-0.27038271574949618</v>
      </c>
      <c r="K8">
        <f>ZCP_3D('Données géométriques'!$B$9,'Données géométriques'!$B$10,'Données géométriques'!$B$11)</f>
        <v>-0.37564783319086603</v>
      </c>
      <c r="L8">
        <f>'0.1kts'!L8</f>
        <v>2.47753096E-2</v>
      </c>
    </row>
    <row r="9" spans="1:12" x14ac:dyDescent="0.3">
      <c r="A9">
        <v>2.5</v>
      </c>
      <c r="B9">
        <f t="shared" si="0"/>
        <v>4.3633231299858237E-2</v>
      </c>
      <c r="C9">
        <v>0.26629999999999998</v>
      </c>
      <c r="D9">
        <v>7.9600000000000001E-3</v>
      </c>
      <c r="E9">
        <v>3.3E-3</v>
      </c>
      <c r="F9">
        <f>C9/(1+2/'Données géométriques'!$B$6)</f>
        <v>0.20505099999999998</v>
      </c>
      <c r="G9">
        <f>F9^2/(PI()*'Données géométriques'!$B$6)</f>
        <v>1.998853779570858E-3</v>
      </c>
      <c r="H9">
        <f t="shared" si="1"/>
        <v>9.9588537795708577E-3</v>
      </c>
      <c r="I9">
        <f t="shared" si="2"/>
        <v>0.23761232206626118</v>
      </c>
      <c r="J9">
        <f>XCP_3D('Données géométriques'!$B$9,'Données géométriques'!$B$10,'Données géométriques'!$B$11,'Données géométriques'!$B$12,I9)</f>
        <v>-0.27021028543927172</v>
      </c>
      <c r="K9">
        <f>ZCP_3D('Données géométriques'!$B$9,'Données géométriques'!$B$10,'Données géométriques'!$B$11)</f>
        <v>-0.37564783319086603</v>
      </c>
      <c r="L9">
        <f>'0.1kts'!L9</f>
        <v>2.4781490624999996E-2</v>
      </c>
    </row>
    <row r="10" spans="1:12" x14ac:dyDescent="0.3">
      <c r="A10">
        <v>3</v>
      </c>
      <c r="B10">
        <f t="shared" si="0"/>
        <v>5.2359877559829883E-2</v>
      </c>
      <c r="C10">
        <v>0.31879999999999997</v>
      </c>
      <c r="D10">
        <v>8.2699999999999996E-3</v>
      </c>
      <c r="E10">
        <v>4.1999999999999997E-3</v>
      </c>
      <c r="F10">
        <f>C10/(1+2/'Données géométriques'!$B$6)</f>
        <v>0.24547599999999997</v>
      </c>
      <c r="G10">
        <f>F10^2/(PI()*'Données géométriques'!$B$6)</f>
        <v>2.8646747380556828E-3</v>
      </c>
      <c r="H10">
        <f t="shared" si="1"/>
        <v>1.1134674738055683E-2</v>
      </c>
      <c r="I10">
        <f t="shared" si="2"/>
        <v>0.23682542713047178</v>
      </c>
      <c r="J10">
        <f>XCP_3D('Données géométriques'!$B$9,'Données géométriques'!$B$10,'Données géométriques'!$B$11,'Données géométriques'!$B$12,I10)</f>
        <v>-0.2700139840974996</v>
      </c>
      <c r="K10">
        <f>ZCP_3D('Données géométriques'!$B$9,'Données géométriques'!$B$10,'Données géométriques'!$B$11)</f>
        <v>-0.37564783319086603</v>
      </c>
      <c r="L10">
        <f>'0.1kts'!L10</f>
        <v>2.4764407400000001E-2</v>
      </c>
    </row>
    <row r="11" spans="1:12" x14ac:dyDescent="0.3">
      <c r="A11">
        <v>3.5</v>
      </c>
      <c r="B11">
        <f t="shared" si="0"/>
        <v>6.1086523819801536E-2</v>
      </c>
      <c r="C11">
        <v>0.37119999999999997</v>
      </c>
      <c r="D11">
        <v>8.6499999999999997E-3</v>
      </c>
      <c r="E11">
        <v>5.1000000000000004E-3</v>
      </c>
      <c r="F11">
        <f>C11/(1+2/'Données géométriques'!$B$6)</f>
        <v>0.28582399999999997</v>
      </c>
      <c r="G11">
        <f>F11^2/(PI()*'Données géométriques'!$B$6)</f>
        <v>3.8837800623381363E-3</v>
      </c>
      <c r="H11">
        <f t="shared" si="1"/>
        <v>1.2533780062338136E-2</v>
      </c>
      <c r="I11">
        <f t="shared" si="2"/>
        <v>0.23625469219480255</v>
      </c>
      <c r="J11">
        <f>XCP_3D('Données géométriques'!$B$9,'Données géométriques'!$B$10,'Données géométriques'!$B$11,'Données géométriques'!$B$12,I11)</f>
        <v>-0.2698716067246465</v>
      </c>
      <c r="K11">
        <f>ZCP_3D('Données géométriques'!$B$9,'Données géométriques'!$B$10,'Données géométriques'!$B$11)</f>
        <v>-0.37564783319086603</v>
      </c>
      <c r="L11">
        <f>'0.1kts'!L11</f>
        <v>2.4719407074999998E-2</v>
      </c>
    </row>
    <row r="12" spans="1:12" x14ac:dyDescent="0.3">
      <c r="A12">
        <v>4</v>
      </c>
      <c r="B12">
        <f t="shared" si="0"/>
        <v>6.9813170079773182E-2</v>
      </c>
      <c r="C12">
        <v>0.4244</v>
      </c>
      <c r="D12">
        <v>9.1000000000000004E-3</v>
      </c>
      <c r="E12">
        <v>5.7999999999999996E-3</v>
      </c>
      <c r="F12">
        <f>C12/(1+2/'Données géométriques'!$B$6)</f>
        <v>0.32678800000000002</v>
      </c>
      <c r="G12">
        <f>F12^2/(PI()*'Données géométriques'!$B$6)</f>
        <v>5.0767928521144737E-3</v>
      </c>
      <c r="H12">
        <f t="shared" si="1"/>
        <v>1.4176792852114473E-2</v>
      </c>
      <c r="I12">
        <f t="shared" si="2"/>
        <v>0.23632078590950401</v>
      </c>
      <c r="J12">
        <f>XCP_3D('Données géométriques'!$B$9,'Données géométriques'!$B$10,'Données géométriques'!$B$11,'Données géométriques'!$B$12,I12)</f>
        <v>-0.26988809467531011</v>
      </c>
      <c r="K12">
        <f>ZCP_3D('Données géométriques'!$B$9,'Données géométriques'!$B$10,'Données géométriques'!$B$11)</f>
        <v>-0.37564783319086603</v>
      </c>
      <c r="L12">
        <f>'0.1kts'!L12</f>
        <v>2.4641836800000001E-2</v>
      </c>
    </row>
    <row r="13" spans="1:12" x14ac:dyDescent="0.3">
      <c r="A13">
        <v>4.5</v>
      </c>
      <c r="B13">
        <f t="shared" si="0"/>
        <v>7.8539816339744828E-2</v>
      </c>
      <c r="C13">
        <v>0.47989999999999999</v>
      </c>
      <c r="D13">
        <v>9.6100000000000005E-3</v>
      </c>
      <c r="E13">
        <v>5.8999999999999999E-3</v>
      </c>
      <c r="F13">
        <f>C13/(1+2/'Données géométriques'!$B$6)</f>
        <v>0.36952299999999999</v>
      </c>
      <c r="G13">
        <f>F13^2/(PI()*'Données géométriques'!$B$6)</f>
        <v>6.4914272263137361E-3</v>
      </c>
      <c r="H13">
        <f t="shared" si="1"/>
        <v>1.6101427226313737E-2</v>
      </c>
      <c r="I13">
        <f t="shared" si="2"/>
        <v>0.23768716090292291</v>
      </c>
      <c r="J13">
        <f>XCP_3D('Données géométriques'!$B$9,'Données géométriques'!$B$10,'Données géométriques'!$B$11,'Données géométriques'!$B$12,I13)</f>
        <v>-0.27022895497618593</v>
      </c>
      <c r="K13">
        <f>ZCP_3D('Données géométriques'!$B$9,'Données géométriques'!$B$10,'Données géométriques'!$B$11)</f>
        <v>-0.37564783319086603</v>
      </c>
      <c r="L13">
        <f>'0.1kts'!L13</f>
        <v>2.4527043724999999E-2</v>
      </c>
    </row>
    <row r="14" spans="1:12" x14ac:dyDescent="0.3">
      <c r="A14">
        <v>5</v>
      </c>
      <c r="B14">
        <f t="shared" si="0"/>
        <v>8.7266462599716474E-2</v>
      </c>
      <c r="C14">
        <v>0.53859999999999997</v>
      </c>
      <c r="D14">
        <v>1.018E-2</v>
      </c>
      <c r="E14">
        <v>5.1000000000000004E-3</v>
      </c>
      <c r="F14">
        <f>C14/(1+2/'Données géométriques'!$B$6)</f>
        <v>0.41472199999999998</v>
      </c>
      <c r="G14">
        <f>F14^2/(PI()*'Données géométriques'!$B$6)</f>
        <v>8.1765743654409768E-3</v>
      </c>
      <c r="H14">
        <f t="shared" si="1"/>
        <v>1.8356574365440977E-2</v>
      </c>
      <c r="I14">
        <f t="shared" si="2"/>
        <v>0.24051052818494761</v>
      </c>
      <c r="J14">
        <f>XCP_3D('Données géométriques'!$B$9,'Données géométriques'!$B$10,'Données géométriques'!$B$11,'Données géométriques'!$B$12,I14)</f>
        <v>-0.27093328125987398</v>
      </c>
      <c r="K14">
        <f>ZCP_3D('Données géométriques'!$B$9,'Données géométriques'!$B$10,'Données géométriques'!$B$11)</f>
        <v>-0.37564783319086603</v>
      </c>
      <c r="L14">
        <f>'0.1kts'!L14</f>
        <v>2.4370375E-2</v>
      </c>
    </row>
    <row r="15" spans="1:12" x14ac:dyDescent="0.3">
      <c r="A15">
        <v>5.5</v>
      </c>
      <c r="B15">
        <f t="shared" si="0"/>
        <v>9.599310885968812E-2</v>
      </c>
      <c r="C15">
        <v>0.59909999999999997</v>
      </c>
      <c r="D15">
        <v>1.076E-2</v>
      </c>
      <c r="E15">
        <v>3.8999999999999998E-3</v>
      </c>
      <c r="F15">
        <f>C15/(1+2/'Données géométriques'!$B$6)</f>
        <v>0.46130699999999997</v>
      </c>
      <c r="G15">
        <f>F15^2/(PI()*'Données géométriques'!$B$6)</f>
        <v>1.0116664135047318E-2</v>
      </c>
      <c r="H15">
        <f t="shared" si="1"/>
        <v>2.0876664135047317E-2</v>
      </c>
      <c r="I15">
        <f t="shared" si="2"/>
        <v>0.24347141746020376</v>
      </c>
      <c r="J15">
        <f>XCP_3D('Données géométriques'!$B$9,'Données géométriques'!$B$10,'Données géométriques'!$B$11,'Données géométriques'!$B$12,I15)</f>
        <v>-0.27167191422233999</v>
      </c>
      <c r="K15">
        <f>ZCP_3D('Données géométriques'!$B$9,'Données géométriques'!$B$10,'Données géométriques'!$B$11)</f>
        <v>-0.37564783319086603</v>
      </c>
      <c r="L15">
        <f>'0.1kts'!L15</f>
        <v>2.4167177775E-2</v>
      </c>
    </row>
    <row r="16" spans="1:12" x14ac:dyDescent="0.3">
      <c r="A16">
        <v>6</v>
      </c>
      <c r="B16">
        <f t="shared" si="0"/>
        <v>0.10471975511965977</v>
      </c>
      <c r="C16">
        <v>0.66020000000000001</v>
      </c>
      <c r="D16">
        <v>1.133E-2</v>
      </c>
      <c r="E16">
        <v>2.5999999999999999E-3</v>
      </c>
      <c r="F16">
        <f>C16/(1+2/'Données géométriques'!$B$6)</f>
        <v>0.50835399999999997</v>
      </c>
      <c r="G16">
        <f>F16^2/(PI()*'Données géométriques'!$B$6)</f>
        <v>1.2285412208962836E-2</v>
      </c>
      <c r="H16">
        <f t="shared" si="1"/>
        <v>2.3615412208962835E-2</v>
      </c>
      <c r="I16">
        <f t="shared" si="2"/>
        <v>0.24604723651374263</v>
      </c>
      <c r="J16">
        <f>XCP_3D('Données géométriques'!$B$9,'Données géométriques'!$B$10,'Données géométriques'!$B$11,'Données géométriques'!$B$12,I16)</f>
        <v>-0.27231448632869554</v>
      </c>
      <c r="K16">
        <f>ZCP_3D('Données géométriques'!$B$9,'Données géométriques'!$B$10,'Données géométriques'!$B$11)</f>
        <v>-0.37564783319086603</v>
      </c>
      <c r="L16">
        <f>'0.1kts'!L16</f>
        <v>2.3912799200000001E-2</v>
      </c>
    </row>
    <row r="17" spans="1:12" x14ac:dyDescent="0.3">
      <c r="A17">
        <v>6.5</v>
      </c>
      <c r="B17">
        <f t="shared" si="0"/>
        <v>0.11344640137963143</v>
      </c>
      <c r="C17">
        <v>0.72499999999999998</v>
      </c>
      <c r="D17">
        <v>1.1979999999999999E-2</v>
      </c>
      <c r="E17">
        <v>2.9999999999999997E-4</v>
      </c>
      <c r="F17">
        <f>C17/(1+2/'Données géométriques'!$B$6)</f>
        <v>0.55825000000000002</v>
      </c>
      <c r="G17">
        <f>F17^2/(PI()*'Données géométriques'!$B$6)</f>
        <v>1.4815445184090184E-2</v>
      </c>
      <c r="H17">
        <f t="shared" si="1"/>
        <v>2.6795445184090182E-2</v>
      </c>
      <c r="I17">
        <f t="shared" si="2"/>
        <v>0.24958431237575979</v>
      </c>
      <c r="J17">
        <f>XCP_3D('Données géométriques'!$B$9,'Données géométriques'!$B$10,'Données géométriques'!$B$11,'Données géométriques'!$B$12,I17)</f>
        <v>-0.27319685665042892</v>
      </c>
      <c r="K17">
        <f>ZCP_3D('Données géométriques'!$B$9,'Données géométriques'!$B$10,'Données géométriques'!$B$11)</f>
        <v>-0.37564783319086603</v>
      </c>
      <c r="L17">
        <f>'0.1kts'!L17</f>
        <v>2.3602586424999999E-2</v>
      </c>
    </row>
    <row r="18" spans="1:12" x14ac:dyDescent="0.3">
      <c r="A18">
        <v>7</v>
      </c>
      <c r="B18">
        <f t="shared" si="0"/>
        <v>0.12217304763960307</v>
      </c>
      <c r="C18">
        <v>0.78849999999999998</v>
      </c>
      <c r="D18">
        <v>1.2619999999999999E-2</v>
      </c>
      <c r="E18">
        <v>-1.6999999999999999E-3</v>
      </c>
      <c r="F18">
        <f>C18/(1+2/'Données géométriques'!$B$6)</f>
        <v>0.60714499999999993</v>
      </c>
      <c r="G18">
        <f>F18^2/(PI()*'Données géométriques'!$B$6)</f>
        <v>1.7524356849571564E-2</v>
      </c>
      <c r="H18">
        <f t="shared" si="1"/>
        <v>3.0144356849571563E-2</v>
      </c>
      <c r="I18">
        <f t="shared" si="2"/>
        <v>0.25216792316690456</v>
      </c>
      <c r="J18">
        <f>XCP_3D('Données géométriques'!$B$9,'Données géométriques'!$B$10,'Données géométriques'!$B$11,'Données géométriques'!$B$12,I18)</f>
        <v>-0.27384137250871093</v>
      </c>
      <c r="K18">
        <f>ZCP_3D('Données géométriques'!$B$9,'Données géométriques'!$B$10,'Données géométriques'!$B$11)</f>
        <v>-0.37564783319086603</v>
      </c>
      <c r="L18">
        <f>'0.1kts'!L18</f>
        <v>2.3231886599999998E-2</v>
      </c>
    </row>
    <row r="19" spans="1:12" x14ac:dyDescent="0.3">
      <c r="A19">
        <v>7.5</v>
      </c>
      <c r="B19">
        <f t="shared" si="0"/>
        <v>0.1308996938995747</v>
      </c>
      <c r="C19">
        <v>0.84960000000000002</v>
      </c>
      <c r="D19">
        <v>1.329E-2</v>
      </c>
      <c r="E19">
        <v>-3.3E-3</v>
      </c>
      <c r="F19">
        <f>C19/(1+2/'Données géométriques'!$B$6)</f>
        <v>0.654192</v>
      </c>
      <c r="G19">
        <f>F19^2/(PI()*'Données géométriques'!$B$6)</f>
        <v>2.0345468752915492E-2</v>
      </c>
      <c r="H19">
        <f t="shared" si="1"/>
        <v>3.3635468752915496E-2</v>
      </c>
      <c r="I19">
        <f t="shared" si="2"/>
        <v>0.25390964573039909</v>
      </c>
      <c r="J19">
        <f>XCP_3D('Données géométriques'!$B$9,'Données géométriques'!$B$10,'Données géométriques'!$B$11,'Données géométriques'!$B$12,I19)</f>
        <v>-0.27427586822174488</v>
      </c>
      <c r="K19">
        <f>ZCP_3D('Données géométriques'!$B$9,'Données géométriques'!$B$10,'Données géométriques'!$B$11)</f>
        <v>-0.37564783319086603</v>
      </c>
      <c r="L19">
        <f>'0.1kts'!L19</f>
        <v>2.2796046875E-2</v>
      </c>
    </row>
    <row r="20" spans="1:12" x14ac:dyDescent="0.3">
      <c r="A20">
        <v>8</v>
      </c>
      <c r="B20">
        <f t="shared" si="0"/>
        <v>0.13962634015954636</v>
      </c>
      <c r="C20">
        <v>0.8921</v>
      </c>
      <c r="D20">
        <v>1.3939999999999999E-2</v>
      </c>
      <c r="E20">
        <v>-8.9999999999999998E-4</v>
      </c>
      <c r="F20">
        <f>C20/(1+2/'Données géométriques'!$B$6)</f>
        <v>0.686917</v>
      </c>
      <c r="G20">
        <f>F20^2/(PI()*'Données géométriques'!$B$6)</f>
        <v>2.2431885090186399E-2</v>
      </c>
      <c r="H20">
        <f t="shared" si="1"/>
        <v>3.63718850901864E-2</v>
      </c>
      <c r="I20">
        <f t="shared" si="2"/>
        <v>0.25101653769351728</v>
      </c>
      <c r="J20">
        <f>XCP_3D('Données géométriques'!$B$9,'Données géométriques'!$B$10,'Données géométriques'!$B$11,'Données géométriques'!$B$12,I20)</f>
        <v>-0.27355414418502672</v>
      </c>
      <c r="K20">
        <f>ZCP_3D('Données géométriques'!$B$9,'Données géométriques'!$B$10,'Données géométriques'!$B$11)</f>
        <v>-0.37564783319086603</v>
      </c>
      <c r="L20">
        <f>'0.1kts'!L20</f>
        <v>2.22904144E-2</v>
      </c>
    </row>
    <row r="21" spans="1:12" x14ac:dyDescent="0.3">
      <c r="A21">
        <v>8.5</v>
      </c>
      <c r="B21">
        <f t="shared" si="0"/>
        <v>0.14835298641951802</v>
      </c>
      <c r="C21">
        <v>0.93510000000000004</v>
      </c>
      <c r="D21">
        <v>1.46E-2</v>
      </c>
      <c r="E21">
        <v>1.4E-3</v>
      </c>
      <c r="F21">
        <f>C21/(1+2/'Données géométriques'!$B$6)</f>
        <v>0.72002700000000008</v>
      </c>
      <c r="G21">
        <f>F21^2/(PI()*'Données géométriques'!$B$6)</f>
        <v>2.4646474582573359E-2</v>
      </c>
      <c r="H21">
        <f t="shared" si="1"/>
        <v>3.9246474582573361E-2</v>
      </c>
      <c r="I21">
        <f t="shared" si="2"/>
        <v>0.24848973030289914</v>
      </c>
      <c r="J21">
        <f>XCP_3D('Données géométriques'!$B$9,'Données géométriques'!$B$10,'Données géométriques'!$B$11,'Données géométriques'!$B$12,I21)</f>
        <v>-0.27292379868575145</v>
      </c>
      <c r="K21">
        <f>ZCP_3D('Données géométriques'!$B$9,'Données géométriques'!$B$10,'Données géométriques'!$B$11)</f>
        <v>-0.37564783319086603</v>
      </c>
      <c r="L21">
        <f>'0.1kts'!L21</f>
        <v>2.1710336324999999E-2</v>
      </c>
    </row>
    <row r="22" spans="1:12" x14ac:dyDescent="0.3">
      <c r="A22">
        <v>9</v>
      </c>
      <c r="B22">
        <f t="shared" si="0"/>
        <v>0.15707963267948966</v>
      </c>
      <c r="C22">
        <v>0.97770000000000001</v>
      </c>
      <c r="D22">
        <v>1.536E-2</v>
      </c>
      <c r="E22">
        <v>3.5999999999999999E-3</v>
      </c>
      <c r="F22">
        <f>C22/(1+2/'Données géométriques'!$B$6)</f>
        <v>0.75282899999999997</v>
      </c>
      <c r="G22">
        <f>F22^2/(PI()*'Données géométriques'!$B$6)</f>
        <v>2.6943246424000679E-2</v>
      </c>
      <c r="H22">
        <f t="shared" si="1"/>
        <v>4.2303246424000678E-2</v>
      </c>
      <c r="I22">
        <f t="shared" si="2"/>
        <v>0.24628124422669503</v>
      </c>
      <c r="J22">
        <f>XCP_3D('Données géométriques'!$B$9,'Données géométriques'!$B$10,'Données géométriques'!$B$11,'Données géométriques'!$B$12,I22)</f>
        <v>-0.2723728626454664</v>
      </c>
      <c r="K22">
        <f>ZCP_3D('Données géométriques'!$B$9,'Données géométriques'!$B$10,'Données géométriques'!$B$11)</f>
        <v>-0.37564783319086603</v>
      </c>
      <c r="L22">
        <f>'0.1kts'!L22</f>
        <v>2.10511598E-2</v>
      </c>
    </row>
    <row r="23" spans="1:12" x14ac:dyDescent="0.3">
      <c r="A23">
        <v>9.5</v>
      </c>
      <c r="B23">
        <f t="shared" si="0"/>
        <v>0.16580627893946129</v>
      </c>
      <c r="C23">
        <v>1.0209999999999999</v>
      </c>
      <c r="D23">
        <v>1.6160000000000001E-2</v>
      </c>
      <c r="E23">
        <v>5.5999999999999999E-3</v>
      </c>
      <c r="F23">
        <f>C23/(1+2/'Données géométriques'!$B$6)</f>
        <v>0.78616999999999992</v>
      </c>
      <c r="G23">
        <f>F23^2/(PI()*'Données géométriques'!$B$6)</f>
        <v>2.9382596895406711E-2</v>
      </c>
      <c r="H23">
        <f t="shared" si="1"/>
        <v>4.5542596895406712E-2</v>
      </c>
      <c r="I23">
        <f t="shared" si="2"/>
        <v>0.24445360462717811</v>
      </c>
      <c r="J23">
        <f>XCP_3D('Données géométriques'!$B$9,'Données géométriques'!$B$10,'Données géométriques'!$B$11,'Données géométriques'!$B$12,I23)</f>
        <v>-0.27191693379227067</v>
      </c>
      <c r="K23">
        <f>ZCP_3D('Données géométriques'!$B$9,'Données géométriques'!$B$10,'Données géométriques'!$B$11)</f>
        <v>-0.37564783319086603</v>
      </c>
      <c r="L23">
        <f>'0.1kts'!L23</f>
        <v>2.0308231975E-2</v>
      </c>
    </row>
    <row r="24" spans="1:12" x14ac:dyDescent="0.3">
      <c r="A24">
        <v>10</v>
      </c>
      <c r="B24">
        <f t="shared" si="0"/>
        <v>0.17453292519943295</v>
      </c>
      <c r="C24">
        <v>1.0641</v>
      </c>
      <c r="D24">
        <v>1.7069999999999998E-2</v>
      </c>
      <c r="E24">
        <v>7.4999999999999997E-3</v>
      </c>
      <c r="F24">
        <f>C24/(1+2/'Données géométriques'!$B$6)</f>
        <v>0.819357</v>
      </c>
      <c r="G24">
        <f>F24^2/(PI()*'Données géométriques'!$B$6)</f>
        <v>3.1915641581008104E-2</v>
      </c>
      <c r="H24">
        <f t="shared" si="1"/>
        <v>4.8985641581008099E-2</v>
      </c>
      <c r="I24">
        <f t="shared" si="2"/>
        <v>0.2428632471894368</v>
      </c>
      <c r="J24">
        <f>XCP_3D('Données géométriques'!$B$9,'Données géométriques'!$B$10,'Données géométriques'!$B$11,'Données géométriques'!$B$12,I24)</f>
        <v>-0.27152019811038192</v>
      </c>
      <c r="K24">
        <f>ZCP_3D('Données géométriques'!$B$9,'Données géométriques'!$B$10,'Données géométriques'!$B$11)</f>
        <v>-0.37564783319086603</v>
      </c>
      <c r="L24">
        <f>'0.1kts'!L24</f>
        <v>1.9476900000000002E-2</v>
      </c>
    </row>
    <row r="25" spans="1:12" x14ac:dyDescent="0.3">
      <c r="A25">
        <v>10.5</v>
      </c>
      <c r="B25">
        <f t="shared" si="0"/>
        <v>0.18325957145940461</v>
      </c>
      <c r="C25">
        <v>1.1069</v>
      </c>
      <c r="D25">
        <v>1.8020000000000001E-2</v>
      </c>
      <c r="E25">
        <v>9.4000000000000004E-3</v>
      </c>
      <c r="F25">
        <f>C25/(1+2/'Données géométriques'!$B$6)</f>
        <v>0.85231299999999999</v>
      </c>
      <c r="G25">
        <f>F25^2/(PI()*'Données géométriques'!$B$6)</f>
        <v>3.4534682509372319E-2</v>
      </c>
      <c r="H25">
        <f t="shared" si="1"/>
        <v>5.255468250937232E-2</v>
      </c>
      <c r="I25">
        <f t="shared" si="2"/>
        <v>0.24138917158612858</v>
      </c>
      <c r="J25">
        <f>XCP_3D('Données géométriques'!$B$9,'Données géométriques'!$B$10,'Données géométriques'!$B$11,'Données géométriques'!$B$12,I25)</f>
        <v>-0.27115247046893654</v>
      </c>
      <c r="K25">
        <f>ZCP_3D('Données géométriques'!$B$9,'Données géométriques'!$B$10,'Données géométriques'!$B$11)</f>
        <v>-0.37564783319086603</v>
      </c>
      <c r="L25">
        <f>'0.1kts'!L25</f>
        <v>1.8552511024999999E-2</v>
      </c>
    </row>
    <row r="26" spans="1:12" x14ac:dyDescent="0.3">
      <c r="A26">
        <v>11</v>
      </c>
      <c r="B26">
        <f t="shared" si="0"/>
        <v>0.19198621771937624</v>
      </c>
      <c r="C26">
        <v>1.1477999999999999</v>
      </c>
      <c r="D26">
        <v>1.9120000000000002E-2</v>
      </c>
      <c r="E26">
        <v>1.1299999999999999E-2</v>
      </c>
      <c r="F26">
        <f>C26/(1+2/'Données géométriques'!$B$6)</f>
        <v>0.88380599999999998</v>
      </c>
      <c r="G26">
        <f>F26^2/(PI()*'Données géométriques'!$B$6)</f>
        <v>3.7133948746886962E-2</v>
      </c>
      <c r="H26">
        <f t="shared" si="1"/>
        <v>5.6253948746886967E-2</v>
      </c>
      <c r="I26">
        <f t="shared" si="2"/>
        <v>0.24000318437638468</v>
      </c>
      <c r="J26">
        <f>XCP_3D('Données géométriques'!$B$9,'Données géométriques'!$B$10,'Données géométriques'!$B$11,'Données géométriques'!$B$12,I26)</f>
        <v>-0.27080671764149072</v>
      </c>
      <c r="K26">
        <f>ZCP_3D('Données géométriques'!$B$9,'Données géométriques'!$B$10,'Données géométriques'!$B$11)</f>
        <v>-0.37564783319086603</v>
      </c>
      <c r="L26">
        <f>'0.1kts'!L26</f>
        <v>1.7530412199999998E-2</v>
      </c>
    </row>
    <row r="27" spans="1:12" x14ac:dyDescent="0.3">
      <c r="A27">
        <v>11.5</v>
      </c>
      <c r="B27">
        <f t="shared" si="0"/>
        <v>0.20071286397934787</v>
      </c>
      <c r="C27">
        <v>1.1877</v>
      </c>
      <c r="D27">
        <v>2.0250000000000001E-2</v>
      </c>
      <c r="E27">
        <v>1.34E-2</v>
      </c>
      <c r="F27">
        <f>C27/(1+2/'Données géométriques'!$B$6)</f>
        <v>0.91452900000000004</v>
      </c>
      <c r="G27">
        <f>F27^2/(PI()*'Données géométriques'!$B$6)</f>
        <v>3.9760533749265019E-2</v>
      </c>
      <c r="H27">
        <f t="shared" si="1"/>
        <v>6.0010533749265016E-2</v>
      </c>
      <c r="I27">
        <f t="shared" si="2"/>
        <v>0.23852635375130421</v>
      </c>
      <c r="J27">
        <f>XCP_3D('Données géométriques'!$B$9,'Données géométriques'!$B$10,'Données géométriques'!$B$11,'Données géométriques'!$B$12,I27)</f>
        <v>-0.27043830272345321</v>
      </c>
      <c r="K27">
        <f>ZCP_3D('Données géométriques'!$B$9,'Données géométriques'!$B$10,'Données géométriques'!$B$11)</f>
        <v>-0.37564783319086603</v>
      </c>
      <c r="L27">
        <f>'0.1kts'!L27</f>
        <v>1.6405950674999999E-2</v>
      </c>
    </row>
    <row r="28" spans="1:12" x14ac:dyDescent="0.3">
      <c r="A28">
        <v>12</v>
      </c>
      <c r="B28">
        <f t="shared" si="0"/>
        <v>0.20943951023931953</v>
      </c>
      <c r="C28">
        <v>1.2244999999999999</v>
      </c>
      <c r="D28">
        <v>2.154E-2</v>
      </c>
      <c r="E28">
        <v>1.5699999999999999E-2</v>
      </c>
      <c r="F28">
        <f>C28/(1+2/'Données géométriques'!$B$6)</f>
        <v>0.94286499999999995</v>
      </c>
      <c r="G28">
        <f>F28^2/(PI()*'Données géométriques'!$B$6)</f>
        <v>4.2262605874694152E-2</v>
      </c>
      <c r="H28">
        <f t="shared" si="1"/>
        <v>6.3802605874694149E-2</v>
      </c>
      <c r="I28">
        <f t="shared" si="2"/>
        <v>0.23694082782112322</v>
      </c>
      <c r="J28">
        <f>XCP_3D('Données géométriques'!$B$9,'Données géométriques'!$B$10,'Données géométriques'!$B$11,'Données géométriques'!$B$12,I28)</f>
        <v>-0.27004277232498053</v>
      </c>
      <c r="K28">
        <f>ZCP_3D('Données géométriques'!$B$9,'Données géométriques'!$B$10,'Données géométriques'!$B$11)</f>
        <v>-0.37564783319086603</v>
      </c>
      <c r="L28">
        <f>'0.1kts'!L28</f>
        <v>1.5174473599999998E-2</v>
      </c>
    </row>
    <row r="29" spans="1:12" x14ac:dyDescent="0.3">
      <c r="A29">
        <v>12.5</v>
      </c>
      <c r="B29">
        <f t="shared" si="0"/>
        <v>0.21816615649929119</v>
      </c>
      <c r="C29">
        <v>1.2565999999999999</v>
      </c>
      <c r="D29">
        <v>2.3040000000000001E-2</v>
      </c>
      <c r="E29">
        <v>1.84E-2</v>
      </c>
      <c r="F29">
        <f>C29/(1+2/'Données géométriques'!$B$6)</f>
        <v>0.96758199999999994</v>
      </c>
      <c r="G29">
        <f>F29^2/(PI()*'Données géométriques'!$B$6)</f>
        <v>4.4507459322655159E-2</v>
      </c>
      <c r="H29">
        <f t="shared" si="1"/>
        <v>6.7547459322655157E-2</v>
      </c>
      <c r="I29">
        <f t="shared" si="2"/>
        <v>0.23506251416469612</v>
      </c>
      <c r="J29">
        <f>XCP_3D('Données géométriques'!$B$9,'Données géométriques'!$B$10,'Données géométriques'!$B$11,'Données géométriques'!$B$12,I29)</f>
        <v>-0.26957420215855277</v>
      </c>
      <c r="K29">
        <f>ZCP_3D('Données géométriques'!$B$9,'Données géométriques'!$B$10,'Données géométriques'!$B$11)</f>
        <v>-0.37564783319086603</v>
      </c>
      <c r="L29">
        <f>'0.1kts'!L29</f>
        <v>1.3831328124999999E-2</v>
      </c>
    </row>
    <row r="30" spans="1:12" x14ac:dyDescent="0.3">
      <c r="A30">
        <v>13</v>
      </c>
      <c r="B30">
        <f t="shared" si="0"/>
        <v>0.22689280275926285</v>
      </c>
      <c r="C30">
        <v>1.2826</v>
      </c>
      <c r="D30">
        <v>2.4570000000000002E-2</v>
      </c>
      <c r="E30">
        <v>2.1999999999999999E-2</v>
      </c>
      <c r="F30">
        <f>C30/(1+2/'Données géométriques'!$B$6)</f>
        <v>0.98760199999999998</v>
      </c>
      <c r="G30">
        <f>F30^2/(PI()*'Données géométriques'!$B$6)</f>
        <v>4.6368298968215184E-2</v>
      </c>
      <c r="H30">
        <f t="shared" si="1"/>
        <v>7.0938298968215185E-2</v>
      </c>
      <c r="I30">
        <f t="shared" si="2"/>
        <v>0.23247366797569591</v>
      </c>
      <c r="J30">
        <f>XCP_3D('Données géométriques'!$B$9,'Données géométriques'!$B$10,'Données géométriques'!$B$11,'Données géométriques'!$B$12,I30)</f>
        <v>-0.26892838026108179</v>
      </c>
      <c r="K30">
        <f>ZCP_3D('Données géométriques'!$B$9,'Données géométriques'!$B$10,'Données géométriques'!$B$11)</f>
        <v>-0.37564783319086603</v>
      </c>
      <c r="L30">
        <f>'0.1kts'!L30</f>
        <v>1.23718614E-2</v>
      </c>
    </row>
    <row r="31" spans="1:12" x14ac:dyDescent="0.3">
      <c r="A31">
        <v>13.5</v>
      </c>
      <c r="B31">
        <f t="shared" si="0"/>
        <v>0.23561944901923448</v>
      </c>
      <c r="C31">
        <v>1.3047</v>
      </c>
      <c r="D31">
        <v>2.639E-2</v>
      </c>
      <c r="E31">
        <v>2.5499999999999998E-2</v>
      </c>
      <c r="F31">
        <f>C31/(1+2/'Données géométriques'!$B$6)</f>
        <v>1.0046189999999999</v>
      </c>
      <c r="G31">
        <f>F31^2/(PI()*'Données géométriques'!$B$6)</f>
        <v>4.7979975028672732E-2</v>
      </c>
      <c r="H31">
        <f t="shared" si="1"/>
        <v>7.4369975028672736E-2</v>
      </c>
      <c r="I31">
        <f t="shared" si="2"/>
        <v>0.22999704518383138</v>
      </c>
      <c r="J31">
        <f>XCP_3D('Données géométriques'!$B$9,'Données géométriques'!$B$10,'Données géométriques'!$B$11,'Données géométriques'!$B$12,I31)</f>
        <v>-0.2683105539732325</v>
      </c>
      <c r="K31">
        <f>ZCP_3D('Données géométriques'!$B$9,'Données géométriques'!$B$10,'Données géométriques'!$B$11)</f>
        <v>-0.37564783319086603</v>
      </c>
      <c r="L31">
        <f>'0.1kts'!L31</f>
        <v>1.0791420575E-2</v>
      </c>
    </row>
    <row r="32" spans="1:12" x14ac:dyDescent="0.3">
      <c r="A32">
        <v>14</v>
      </c>
      <c r="B32">
        <f t="shared" si="0"/>
        <v>0.24434609527920614</v>
      </c>
      <c r="C32">
        <v>1.3225</v>
      </c>
      <c r="D32">
        <v>2.8709999999999999E-2</v>
      </c>
      <c r="E32">
        <v>2.8500000000000001E-2</v>
      </c>
      <c r="F32">
        <f>C32/(1+2/'Données géométriques'!$B$6)</f>
        <v>1.0183249999999999</v>
      </c>
      <c r="G32">
        <f>F32^2/(PI()*'Données géométriques'!$B$6)</f>
        <v>4.9298085561961719E-2</v>
      </c>
      <c r="H32">
        <f t="shared" si="1"/>
        <v>7.8008085561961718E-2</v>
      </c>
      <c r="I32">
        <f t="shared" si="2"/>
        <v>0.2279097453144816</v>
      </c>
      <c r="J32">
        <f>XCP_3D('Données géométriques'!$B$9,'Données géométriques'!$B$10,'Données géométriques'!$B$11,'Données géométriques'!$B$12,I32)</f>
        <v>-0.26778984943391038</v>
      </c>
      <c r="K32">
        <f>ZCP_3D('Données géométriques'!$B$9,'Données géométriques'!$B$10,'Données géométriques'!$B$11)</f>
        <v>-0.37564783319086603</v>
      </c>
      <c r="L32">
        <f>'0.1kts'!L32</f>
        <v>9.0853527999999965E-3</v>
      </c>
    </row>
    <row r="33" spans="1:12" x14ac:dyDescent="0.3">
      <c r="A33">
        <v>14.5</v>
      </c>
      <c r="B33">
        <f t="shared" si="0"/>
        <v>0.2530727415391778</v>
      </c>
      <c r="C33">
        <v>1.3328</v>
      </c>
      <c r="D33">
        <v>3.1960000000000002E-2</v>
      </c>
      <c r="E33">
        <v>3.0599999999999999E-2</v>
      </c>
      <c r="F33">
        <f>C33/(1+2/'Données géométriques'!$B$6)</f>
        <v>1.0262560000000001</v>
      </c>
      <c r="G33">
        <f>F33^2/(PI()*'Données géométriques'!$B$6)</f>
        <v>5.0068970416092221E-2</v>
      </c>
      <c r="H33">
        <f t="shared" si="1"/>
        <v>8.2028970416092223E-2</v>
      </c>
      <c r="I33">
        <f t="shared" si="2"/>
        <v>0.22643161241121265</v>
      </c>
      <c r="J33">
        <f>XCP_3D('Données géométriques'!$B$9,'Données géométriques'!$B$10,'Données géométriques'!$B$11,'Données géométriques'!$B$12,I33)</f>
        <v>-0.26742110964536892</v>
      </c>
      <c r="K33">
        <f>ZCP_3D('Données géométriques'!$B$9,'Données géométriques'!$B$10,'Données géométriques'!$B$11)</f>
        <v>-0.37564783319086603</v>
      </c>
      <c r="L33">
        <f>'0.1kts'!L33</f>
        <v>7.2490052249999971E-3</v>
      </c>
    </row>
    <row r="34" spans="1:12" x14ac:dyDescent="0.3">
      <c r="A34">
        <v>15</v>
      </c>
      <c r="B34">
        <f t="shared" si="0"/>
        <v>0.26179938779914941</v>
      </c>
      <c r="C34">
        <v>1.3409</v>
      </c>
      <c r="D34">
        <v>3.5959999999999999E-2</v>
      </c>
      <c r="E34">
        <v>3.15E-2</v>
      </c>
      <c r="F34">
        <f>C34/(1+2/'Données géométriques'!$B$6)</f>
        <v>1.0324930000000001</v>
      </c>
      <c r="G34">
        <f>F34^2/(PI()*'Données géométriques'!$B$6)</f>
        <v>5.0679401145012057E-2</v>
      </c>
      <c r="H34">
        <f t="shared" si="1"/>
        <v>8.6639401145012063E-2</v>
      </c>
      <c r="I34">
        <f t="shared" si="2"/>
        <v>0.22585313320620562</v>
      </c>
      <c r="J34">
        <f>XCP_3D('Données géométriques'!$B$9,'Données géométriques'!$B$10,'Données géométriques'!$B$11,'Données géométriques'!$B$12,I34)</f>
        <v>-0.26727680036217688</v>
      </c>
      <c r="K34">
        <f>ZCP_3D('Données géométriques'!$B$9,'Données géométriques'!$B$10,'Données géométriques'!$B$11)</f>
        <v>-0.37564783319086603</v>
      </c>
      <c r="L34">
        <f>'0.1kts'!L34</f>
        <v>5.2777249999999987E-3</v>
      </c>
    </row>
    <row r="35" spans="1:12" x14ac:dyDescent="0.3">
      <c r="A35">
        <v>15.5</v>
      </c>
      <c r="B35">
        <f t="shared" si="0"/>
        <v>0.27052603405912107</v>
      </c>
      <c r="C35">
        <v>1.3431</v>
      </c>
      <c r="D35">
        <v>4.1250000000000002E-2</v>
      </c>
      <c r="E35">
        <v>3.0700000000000002E-2</v>
      </c>
      <c r="F35">
        <f>C35/(1+2/'Données géométriques'!$B$6)</f>
        <v>1.034187</v>
      </c>
      <c r="G35">
        <f>F35^2/(PI()*'Données géométriques'!$B$6)</f>
        <v>5.0845835847933361E-2</v>
      </c>
      <c r="H35">
        <f t="shared" si="1"/>
        <v>9.2095835847933363E-2</v>
      </c>
      <c r="I35">
        <f t="shared" si="2"/>
        <v>0.22648006371356222</v>
      </c>
      <c r="J35">
        <f>XCP_3D('Données géométriques'!$B$9,'Données géométriques'!$B$10,'Données géométriques'!$B$11,'Données géométriques'!$B$12,I35)</f>
        <v>-0.26743319646309899</v>
      </c>
      <c r="K35">
        <f>ZCP_3D('Données géométriques'!$B$9,'Données géométriques'!$B$10,'Données géométriques'!$B$11)</f>
        <v>-0.37564783319086603</v>
      </c>
      <c r="L35">
        <f>'0.1kts'!L35</f>
        <v>3.1668592749999986E-3</v>
      </c>
    </row>
    <row r="36" spans="1:12" x14ac:dyDescent="0.3">
      <c r="A36">
        <v>16</v>
      </c>
      <c r="B36">
        <f t="shared" si="0"/>
        <v>0.27925268031909273</v>
      </c>
      <c r="C36">
        <v>1.3371999999999999</v>
      </c>
      <c r="D36">
        <v>4.8340000000000001E-2</v>
      </c>
      <c r="E36">
        <v>2.81E-2</v>
      </c>
      <c r="F36">
        <f>C36/(1+2/'Données géométriques'!$B$6)</f>
        <v>1.029644</v>
      </c>
      <c r="G36">
        <f>F36^2/(PI()*'Données géométriques'!$B$6)</f>
        <v>5.0400103543364876E-2</v>
      </c>
      <c r="H36">
        <f t="shared" si="1"/>
        <v>9.8740103543364877E-2</v>
      </c>
      <c r="I36">
        <f t="shared" si="2"/>
        <v>0.22836336903834722</v>
      </c>
      <c r="J36">
        <f>XCP_3D('Données géométriques'!$B$9,'Données géométriques'!$B$10,'Données géométriques'!$B$11,'Données géométriques'!$B$12,I36)</f>
        <v>-0.26790301186717269</v>
      </c>
      <c r="K36">
        <f>ZCP_3D('Données géométriques'!$B$9,'Données géométriques'!$B$10,'Données géométriques'!$B$11)</f>
        <v>-0.37564783319086603</v>
      </c>
      <c r="L36">
        <f>'0.1kts'!L36</f>
        <v>9.1175519999999951E-4</v>
      </c>
    </row>
    <row r="37" spans="1:12" x14ac:dyDescent="0.3">
      <c r="A37">
        <v>16.5</v>
      </c>
      <c r="B37">
        <f t="shared" si="0"/>
        <v>0.28797932657906439</v>
      </c>
      <c r="C37">
        <v>1.3208</v>
      </c>
      <c r="D37">
        <v>5.7619999999999998E-2</v>
      </c>
      <c r="E37">
        <v>2.3699999999999999E-2</v>
      </c>
      <c r="F37">
        <f>C37/(1+2/'Données géométriques'!$B$6)</f>
        <v>1.0170159999999999</v>
      </c>
      <c r="G37">
        <f>F37^2/(PI()*'Données géométriques'!$B$6)</f>
        <v>4.9171427140779926E-2</v>
      </c>
      <c r="H37">
        <f t="shared" si="1"/>
        <v>0.10679142714077992</v>
      </c>
      <c r="I37">
        <f t="shared" si="2"/>
        <v>0.23152441606459348</v>
      </c>
      <c r="J37">
        <f>XCP_3D('Données géométriques'!$B$9,'Données géométriques'!$B$10,'Données géométriques'!$B$11,'Données géométriques'!$B$12,I37)</f>
        <v>-0.26869157682601752</v>
      </c>
      <c r="K37">
        <f>ZCP_3D('Données géométriques'!$B$9,'Données géométriques'!$B$10,'Données géométriques'!$B$11)</f>
        <v>-0.37564783319086603</v>
      </c>
      <c r="L37">
        <f>'0.1kts'!L37</f>
        <v>-1.4922400750000014E-3</v>
      </c>
    </row>
    <row r="38" spans="1:12" x14ac:dyDescent="0.3">
      <c r="A38">
        <v>17</v>
      </c>
      <c r="B38">
        <f t="shared" si="0"/>
        <v>0.29670597283903605</v>
      </c>
      <c r="C38">
        <v>1.2909999999999999</v>
      </c>
      <c r="D38">
        <v>6.9510000000000002E-2</v>
      </c>
      <c r="E38">
        <v>1.7500000000000002E-2</v>
      </c>
      <c r="F38">
        <f>C38/(1+2/'Données géométriques'!$B$6)</f>
        <v>0.9940699999999999</v>
      </c>
      <c r="G38">
        <f>F38^2/(PI()*'Données géométriques'!$B$6)</f>
        <v>4.6977638040170473E-2</v>
      </c>
      <c r="H38">
        <f t="shared" si="1"/>
        <v>0.11648763804017048</v>
      </c>
      <c r="I38">
        <f t="shared" si="2"/>
        <v>0.23605480125236356</v>
      </c>
      <c r="J38">
        <f>XCP_3D('Données géométriques'!$B$9,'Données géométriques'!$B$10,'Données géométriques'!$B$11,'Données géométriques'!$B$12,I38)</f>
        <v>-0.26982174128718661</v>
      </c>
      <c r="K38">
        <f>ZCP_3D('Données géométriques'!$B$9,'Données géométriques'!$B$10,'Données géométriques'!$B$11)</f>
        <v>-0.37564783319086603</v>
      </c>
      <c r="L38">
        <f>'0.1kts'!L38</f>
        <v>-4.0497794000000026E-3</v>
      </c>
    </row>
    <row r="39" spans="1:12" x14ac:dyDescent="0.3">
      <c r="A39">
        <v>17.5</v>
      </c>
      <c r="B39">
        <f t="shared" si="0"/>
        <v>0.30543261909900765</v>
      </c>
      <c r="C39">
        <v>1.2477</v>
      </c>
      <c r="D39">
        <v>8.4089999999999998E-2</v>
      </c>
      <c r="E39">
        <v>0.01</v>
      </c>
      <c r="F39">
        <f>C39/(1+2/'Données géométriques'!$B$6)</f>
        <v>0.96072900000000006</v>
      </c>
      <c r="G39">
        <f>F39^2/(PI()*'Données géométriques'!$B$6)</f>
        <v>4.3879234557027198E-2</v>
      </c>
      <c r="H39">
        <f t="shared" si="1"/>
        <v>0.12796923455702719</v>
      </c>
      <c r="I39">
        <f t="shared" si="2"/>
        <v>0.2417711659342501</v>
      </c>
      <c r="J39">
        <f>XCP_3D('Données géométriques'!$B$9,'Données géométriques'!$B$10,'Données géométriques'!$B$11,'Données géométriques'!$B$12,I39)</f>
        <v>-0.27124776400772282</v>
      </c>
      <c r="K39">
        <f>ZCP_3D('Données géométriques'!$B$9,'Données géométriques'!$B$10,'Données géométriques'!$B$11)</f>
        <v>-0.37564783319086603</v>
      </c>
      <c r="L39">
        <f>'0.1kts'!L39</f>
        <v>-6.7655156249999994E-3</v>
      </c>
    </row>
    <row r="40" spans="1:12" x14ac:dyDescent="0.3">
      <c r="A40">
        <v>18</v>
      </c>
      <c r="B40">
        <f t="shared" si="0"/>
        <v>0.31415926535897931</v>
      </c>
      <c r="C40">
        <v>1.1957</v>
      </c>
      <c r="D40">
        <v>0.10084</v>
      </c>
      <c r="E40">
        <v>1.2999999999999999E-3</v>
      </c>
      <c r="F40">
        <f>C40/(1+2/'Données géométriques'!$B$6)</f>
        <v>0.92068899999999998</v>
      </c>
      <c r="G40">
        <f>F40^2/(PI()*'Données géométriques'!$B$6)</f>
        <v>4.0297968339351259E-2</v>
      </c>
      <c r="H40">
        <f t="shared" si="1"/>
        <v>0.14113796833935127</v>
      </c>
      <c r="I40">
        <f t="shared" si="2"/>
        <v>0.24888730977246701</v>
      </c>
      <c r="J40">
        <f>XCP_3D('Données géométriques'!$B$9,'Données géométriques'!$B$10,'Données géométriques'!$B$11,'Données géométriques'!$B$12,I40)</f>
        <v>-0.27302298013906545</v>
      </c>
      <c r="K40">
        <f>ZCP_3D('Données géométriques'!$B$9,'Données géométriques'!$B$10,'Données géométriques'!$B$11)</f>
        <v>-0.37564783319086603</v>
      </c>
      <c r="L40">
        <f>'0.1kts'!L40</f>
        <v>-9.6441016000000015E-3</v>
      </c>
    </row>
    <row r="41" spans="1:12" x14ac:dyDescent="0.3">
      <c r="A41">
        <v>18.5</v>
      </c>
      <c r="B41">
        <f t="shared" si="0"/>
        <v>0.32288591161895097</v>
      </c>
      <c r="C41">
        <v>1.1436999999999999</v>
      </c>
      <c r="D41">
        <v>0.11835</v>
      </c>
      <c r="E41">
        <v>-7.7999999999999996E-3</v>
      </c>
      <c r="F41">
        <f>C41/(1+2/'Données géométriques'!$B$6)</f>
        <v>0.88064900000000002</v>
      </c>
      <c r="G41">
        <f>F41^2/(PI()*'Données géométriques'!$B$6)</f>
        <v>3.6869133850675209E-2</v>
      </c>
      <c r="H41">
        <f t="shared" si="1"/>
        <v>0.15521913385067521</v>
      </c>
      <c r="I41">
        <f t="shared" si="2"/>
        <v>0.25695093761439258</v>
      </c>
      <c r="J41">
        <f>XCP_3D('Données géométriques'!$B$9,'Données géométriques'!$B$10,'Données géométriques'!$B$11,'Données géométriques'!$B$12,I41)</f>
        <v>-0.27503455867760473</v>
      </c>
      <c r="K41">
        <f>ZCP_3D('Données géométriques'!$B$9,'Données géométriques'!$B$10,'Données géométriques'!$B$11)</f>
        <v>-0.37564783319086603</v>
      </c>
      <c r="L41">
        <f>'0.1kts'!L41</f>
        <v>-1.2690190175000003E-2</v>
      </c>
    </row>
    <row r="42" spans="1:12" x14ac:dyDescent="0.3">
      <c r="A42">
        <v>19</v>
      </c>
      <c r="B42">
        <f t="shared" si="0"/>
        <v>0.33161255787892258</v>
      </c>
      <c r="C42">
        <v>1.0965</v>
      </c>
      <c r="D42">
        <v>0.13585</v>
      </c>
      <c r="E42">
        <v>-1.72E-2</v>
      </c>
      <c r="F42">
        <f>C42/(1+2/'Données géométriques'!$B$6)</f>
        <v>0.84430500000000008</v>
      </c>
      <c r="G42">
        <f>F42^2/(PI()*'Données géométriques'!$B$6)</f>
        <v>3.388878237152939E-2</v>
      </c>
      <c r="H42">
        <f t="shared" si="1"/>
        <v>0.1697387823715294</v>
      </c>
      <c r="I42">
        <f t="shared" si="2"/>
        <v>0.26591134712572234</v>
      </c>
      <c r="J42">
        <f>XCP_3D('Données géométriques'!$B$9,'Données géométriques'!$B$10,'Données géométriques'!$B$11,'Données géométriques'!$B$12,I42)</f>
        <v>-0.27726985125594139</v>
      </c>
      <c r="K42">
        <f>ZCP_3D('Données géométriques'!$B$9,'Données géométriques'!$B$10,'Données géométriques'!$B$11)</f>
        <v>-0.37564783319086603</v>
      </c>
      <c r="L42">
        <f>'0.1kts'!L42</f>
        <v>-1.5908434200000002E-2</v>
      </c>
    </row>
    <row r="43" spans="1:12" x14ac:dyDescent="0.3">
      <c r="A43">
        <v>19.5</v>
      </c>
      <c r="B43">
        <f t="shared" si="0"/>
        <v>0.34033920413889424</v>
      </c>
      <c r="C43">
        <v>1.0566</v>
      </c>
      <c r="D43">
        <v>0.15293999999999999</v>
      </c>
      <c r="E43">
        <v>-2.6800000000000001E-2</v>
      </c>
      <c r="F43">
        <f>C43/(1+2/'Données géométriques'!$B$6)</f>
        <v>0.81358200000000003</v>
      </c>
      <c r="G43">
        <f>F43^2/(PI()*'Données géométriques'!$B$6)</f>
        <v>3.1467330790017858E-2</v>
      </c>
      <c r="H43">
        <f t="shared" si="1"/>
        <v>0.18440733079001786</v>
      </c>
      <c r="I43">
        <f t="shared" si="2"/>
        <v>0.27559578436877152</v>
      </c>
      <c r="J43">
        <f>XCP_3D('Données géométriques'!$B$9,'Données géométriques'!$B$10,'Données géométriques'!$B$11,'Données géométriques'!$B$12,I43)</f>
        <v>-0.2796857621211048</v>
      </c>
      <c r="K43">
        <f>ZCP_3D('Données géométriques'!$B$9,'Données géométriques'!$B$10,'Données géométriques'!$B$11)</f>
        <v>-0.37564783319086603</v>
      </c>
      <c r="L43">
        <f>'0.1kts'!L43</f>
        <v>-1.9303486525E-2</v>
      </c>
    </row>
    <row r="44" spans="1:12" x14ac:dyDescent="0.3">
      <c r="A44">
        <v>20</v>
      </c>
      <c r="B44">
        <f t="shared" si="0"/>
        <v>0.3490658503988659</v>
      </c>
      <c r="C44">
        <v>1.0185</v>
      </c>
      <c r="D44">
        <v>0.17083000000000001</v>
      </c>
      <c r="E44">
        <v>-3.7199999999999997E-2</v>
      </c>
      <c r="F44">
        <f>C44/(1+2/'Données géométriques'!$B$6)</f>
        <v>0.78424499999999997</v>
      </c>
      <c r="G44">
        <f>F44^2/(PI()*'Données géométriques'!$B$6)</f>
        <v>2.923888179218221E-2</v>
      </c>
      <c r="H44">
        <f t="shared" si="1"/>
        <v>0.20006888179218221</v>
      </c>
      <c r="I44">
        <f t="shared" si="2"/>
        <v>0.28663204810465803</v>
      </c>
      <c r="J44">
        <f>XCP_3D('Données géométriques'!$B$9,'Données géométriques'!$B$10,'Données géométriques'!$B$11,'Données géométriques'!$B$12,I44)</f>
        <v>-0.28243890397139465</v>
      </c>
      <c r="K44">
        <f>ZCP_3D('Données géométriques'!$B$9,'Données géométriques'!$B$10,'Données géométriques'!$B$11)</f>
        <v>-0.37564783319086603</v>
      </c>
      <c r="L44">
        <f>'0.1kts'!L44</f>
        <v>-2.2879999999999998E-2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7F4AE-F25D-40F3-8D98-0BFD38619A9B}">
  <sheetPr codeName="Feuil7"/>
  <dimension ref="A1:L44"/>
  <sheetViews>
    <sheetView workbookViewId="0">
      <selection activeCell="F27" sqref="F27"/>
    </sheetView>
  </sheetViews>
  <sheetFormatPr baseColWidth="10" defaultRowHeight="14.4" x14ac:dyDescent="0.3"/>
  <sheetData>
    <row r="1" spans="1:12" x14ac:dyDescent="0.3">
      <c r="A1">
        <v>3</v>
      </c>
      <c r="C1" s="2">
        <f>A1*'Données géométriques'!B2/'Données géométriques'!G2</f>
        <v>685203.5749751738</v>
      </c>
    </row>
    <row r="2" spans="1:1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27</v>
      </c>
      <c r="K2" t="s">
        <v>28</v>
      </c>
      <c r="L2" t="s">
        <v>12</v>
      </c>
    </row>
    <row r="3" spans="1:12" x14ac:dyDescent="0.3">
      <c r="A3" t="s">
        <v>9</v>
      </c>
      <c r="B3" t="s">
        <v>9</v>
      </c>
      <c r="C3" t="s">
        <v>10</v>
      </c>
      <c r="D3" t="s">
        <v>11</v>
      </c>
      <c r="E3" t="s">
        <v>10</v>
      </c>
      <c r="F3" t="s">
        <v>9</v>
      </c>
      <c r="G3" t="s">
        <v>10</v>
      </c>
      <c r="H3" t="s">
        <v>11</v>
      </c>
      <c r="I3" t="s">
        <v>10</v>
      </c>
      <c r="J3" t="s">
        <v>11</v>
      </c>
      <c r="K3" t="s">
        <v>11</v>
      </c>
      <c r="L3" t="s">
        <v>11</v>
      </c>
    </row>
    <row r="4" spans="1:12" x14ac:dyDescent="0.3">
      <c r="A4">
        <v>0</v>
      </c>
      <c r="B4">
        <f>A4*PI()/180</f>
        <v>0</v>
      </c>
      <c r="C4">
        <v>0</v>
      </c>
      <c r="D4">
        <v>7.2199999999999999E-3</v>
      </c>
      <c r="E4">
        <v>0</v>
      </c>
      <c r="F4">
        <f>C4/(1+2/'Données géométriques'!$B$6)</f>
        <v>0</v>
      </c>
      <c r="G4">
        <f>F4^2/(PI()*'Données géométriques'!$B$6)</f>
        <v>0</v>
      </c>
      <c r="H4">
        <f>D4+G4</f>
        <v>7.2199999999999999E-3</v>
      </c>
      <c r="I4">
        <v>0</v>
      </c>
      <c r="J4">
        <f>XCP_3D('Données géométriques'!$B$9,'Données géométriques'!$B$10,'Données géométriques'!$B$11,'Données géométriques'!$B$12,I4)</f>
        <v>-0.21093475128380432</v>
      </c>
      <c r="K4">
        <f>ZCP_3D('Données géométriques'!$B$9,'Données géométriques'!$B$10,'Données géométriques'!$B$11)</f>
        <v>-0.37564783319086603</v>
      </c>
      <c r="L4">
        <f>'0.1kts'!L4</f>
        <v>2.4610999999999997E-2</v>
      </c>
    </row>
    <row r="5" spans="1:12" x14ac:dyDescent="0.3">
      <c r="A5">
        <v>0.5</v>
      </c>
      <c r="B5">
        <f t="shared" ref="B5:B44" si="0">A5*PI()/180</f>
        <v>8.7266462599716477E-3</v>
      </c>
      <c r="C5">
        <v>5.4100000000000002E-2</v>
      </c>
      <c r="D5">
        <v>7.2399999999999999E-3</v>
      </c>
      <c r="E5">
        <v>4.0000000000000002E-4</v>
      </c>
      <c r="F5">
        <f>C5/(1+2/'Données géométriques'!$B$6)</f>
        <v>4.1657E-2</v>
      </c>
      <c r="G5">
        <f>F5^2/(PI()*'Données géométriques'!$B$6)</f>
        <v>8.2496063009268949E-5</v>
      </c>
      <c r="H5">
        <f>D5+G5</f>
        <v>7.3224960630092692E-3</v>
      </c>
      <c r="I5">
        <f>0.25-E5/(C5*COS(B5)+D5*SIN(B5))</f>
        <v>0.24261462837443368</v>
      </c>
      <c r="J5">
        <f>XCP_3D('Données géométriques'!$B$9,'Données géométriques'!$B$10,'Données géométriques'!$B$11,'Données géométriques'!$B$12,I5)</f>
        <v>-0.27145817686109502</v>
      </c>
      <c r="K5">
        <f>ZCP_3D('Données géométriques'!$B$9,'Données géométriques'!$B$10,'Données géométriques'!$B$11)</f>
        <v>-0.37564783319086603</v>
      </c>
      <c r="L5">
        <f>'0.1kts'!L5</f>
        <v>2.4663709524999997E-2</v>
      </c>
    </row>
    <row r="6" spans="1:12" x14ac:dyDescent="0.3">
      <c r="A6">
        <v>1</v>
      </c>
      <c r="B6">
        <f t="shared" si="0"/>
        <v>1.7453292519943295E-2</v>
      </c>
      <c r="C6">
        <v>0.1082</v>
      </c>
      <c r="D6">
        <v>7.3000000000000001E-3</v>
      </c>
      <c r="E6">
        <v>8.9999999999999998E-4</v>
      </c>
      <c r="F6">
        <f>C6/(1+2/'Données géométriques'!$B$6)</f>
        <v>8.3313999999999999E-2</v>
      </c>
      <c r="G6">
        <f>F6^2/(PI()*'Données géométriques'!$B$6)</f>
        <v>3.299842520370758E-4</v>
      </c>
      <c r="H6">
        <f t="shared" ref="H6:H44" si="1">D6+G6</f>
        <v>7.6299842520370755E-3</v>
      </c>
      <c r="I6">
        <f t="shared" ref="I6:I44" si="2">0.25-E6/(C6*COS(B6)+D6*SIN(B6))</f>
        <v>0.24169058878318214</v>
      </c>
      <c r="J6">
        <f>XCP_3D('Données géométriques'!$B$9,'Données géométriques'!$B$10,'Données géométriques'!$B$11,'Données géométriques'!$B$12,I6)</f>
        <v>-0.27122766297243694</v>
      </c>
      <c r="K6">
        <f>ZCP_3D('Données géométriques'!$B$9,'Données géométriques'!$B$10,'Données géométriques'!$B$11)</f>
        <v>-0.37564783319086603</v>
      </c>
      <c r="L6">
        <f>'0.1kts'!L6</f>
        <v>2.4711766199999999E-2</v>
      </c>
    </row>
    <row r="7" spans="1:12" x14ac:dyDescent="0.3">
      <c r="A7">
        <v>1.5</v>
      </c>
      <c r="B7">
        <f t="shared" si="0"/>
        <v>2.6179938779914941E-2</v>
      </c>
      <c r="C7">
        <v>0.16200000000000001</v>
      </c>
      <c r="D7">
        <v>7.4000000000000003E-3</v>
      </c>
      <c r="E7">
        <v>1.4E-3</v>
      </c>
      <c r="F7">
        <f>C7/(1+2/'Données géométriques'!$B$6)</f>
        <v>0.12474</v>
      </c>
      <c r="G7">
        <f>F7^2/(PI()*'Données géométriques'!$B$6)</f>
        <v>7.3972231802380559E-4</v>
      </c>
      <c r="H7">
        <f t="shared" si="1"/>
        <v>8.1397223180238055E-3</v>
      </c>
      <c r="I7">
        <f t="shared" si="2"/>
        <v>0.24136539054960535</v>
      </c>
      <c r="J7">
        <f>XCP_3D('Données géométriques'!$B$9,'Données géométriques'!$B$10,'Données géométriques'!$B$11,'Données géométriques'!$B$12,I7)</f>
        <v>-0.27114653797507327</v>
      </c>
      <c r="K7">
        <f>ZCP_3D('Données géométriques'!$B$9,'Données géométriques'!$B$10,'Données géométriques'!$B$11)</f>
        <v>-0.37564783319086603</v>
      </c>
      <c r="L7">
        <f>'0.1kts'!L7</f>
        <v>2.4750517175E-2</v>
      </c>
    </row>
    <row r="8" spans="1:12" x14ac:dyDescent="0.3">
      <c r="A8">
        <v>2</v>
      </c>
      <c r="B8">
        <f t="shared" si="0"/>
        <v>3.4906585039886591E-2</v>
      </c>
      <c r="C8">
        <v>0.21560000000000001</v>
      </c>
      <c r="D8">
        <v>7.5500000000000003E-3</v>
      </c>
      <c r="E8">
        <v>1.9E-3</v>
      </c>
      <c r="F8">
        <f>C8/(1+2/'Données géométriques'!$B$6)</f>
        <v>0.16601200000000002</v>
      </c>
      <c r="G8">
        <f>F8^2/(PI()*'Données géométriques'!$B$6)</f>
        <v>1.3101958088986073E-3</v>
      </c>
      <c r="H8">
        <f t="shared" si="1"/>
        <v>8.8601958088986073E-3</v>
      </c>
      <c r="I8">
        <f t="shared" si="2"/>
        <v>0.2411927824891793</v>
      </c>
      <c r="J8">
        <f>XCP_3D('Données géométriques'!$B$9,'Données géométriques'!$B$10,'Données géométriques'!$B$11,'Données géométriques'!$B$12,I8)</f>
        <v>-0.27110347861311546</v>
      </c>
      <c r="K8">
        <f>ZCP_3D('Données géométriques'!$B$9,'Données géométriques'!$B$10,'Données géométriques'!$B$11)</f>
        <v>-0.37564783319086603</v>
      </c>
      <c r="L8">
        <f>'0.1kts'!L8</f>
        <v>2.47753096E-2</v>
      </c>
    </row>
    <row r="9" spans="1:12" x14ac:dyDescent="0.3">
      <c r="A9">
        <v>2.5</v>
      </c>
      <c r="B9">
        <f t="shared" si="0"/>
        <v>4.3633231299858237E-2</v>
      </c>
      <c r="C9">
        <v>0.26869999999999999</v>
      </c>
      <c r="D9">
        <v>7.7499999999999999E-3</v>
      </c>
      <c r="E9">
        <v>2.5999999999999999E-3</v>
      </c>
      <c r="F9">
        <f>C9/(1+2/'Données géométriques'!$B$6)</f>
        <v>0.206899</v>
      </c>
      <c r="G9">
        <f>F9^2/(PI()*'Données géométriques'!$B$6)</f>
        <v>2.0350450406721602E-3</v>
      </c>
      <c r="H9">
        <f t="shared" si="1"/>
        <v>9.7850450406721592E-3</v>
      </c>
      <c r="I9">
        <f t="shared" si="2"/>
        <v>0.24032674425174669</v>
      </c>
      <c r="J9">
        <f>XCP_3D('Données géométriques'!$B$9,'Données géométriques'!$B$10,'Données géométriques'!$B$11,'Données géométriques'!$B$12,I9)</f>
        <v>-0.27088743392874631</v>
      </c>
      <c r="K9">
        <f>ZCP_3D('Données géométriques'!$B$9,'Données géométriques'!$B$10,'Données géométriques'!$B$11)</f>
        <v>-0.37564783319086603</v>
      </c>
      <c r="L9">
        <f>'0.1kts'!L9</f>
        <v>2.4781490624999996E-2</v>
      </c>
    </row>
    <row r="10" spans="1:12" x14ac:dyDescent="0.3">
      <c r="A10">
        <v>3</v>
      </c>
      <c r="B10">
        <f t="shared" si="0"/>
        <v>5.2359877559829883E-2</v>
      </c>
      <c r="C10">
        <v>0.32140000000000002</v>
      </c>
      <c r="D10">
        <v>8.0199999999999994E-3</v>
      </c>
      <c r="E10">
        <v>3.3999999999999998E-3</v>
      </c>
      <c r="F10">
        <f>C10/(1+2/'Données géométriques'!$B$6)</f>
        <v>0.247478</v>
      </c>
      <c r="G10">
        <f>F10^2/(PI()*'Données géométriques'!$B$6)</f>
        <v>2.9115914654142031E-3</v>
      </c>
      <c r="H10">
        <f t="shared" si="1"/>
        <v>1.0931591465414203E-2</v>
      </c>
      <c r="I10">
        <f t="shared" si="2"/>
        <v>0.23942059942621846</v>
      </c>
      <c r="J10">
        <f>XCP_3D('Données géométriques'!$B$9,'Données géométriques'!$B$10,'Données géométriques'!$B$11,'Données géométriques'!$B$12,I10)</f>
        <v>-0.27066138412590612</v>
      </c>
      <c r="K10">
        <f>ZCP_3D('Données géométriques'!$B$9,'Données géométriques'!$B$10,'Données géométriques'!$B$11)</f>
        <v>-0.37564783319086603</v>
      </c>
      <c r="L10">
        <f>'0.1kts'!L10</f>
        <v>2.4764407400000001E-2</v>
      </c>
    </row>
    <row r="11" spans="1:12" x14ac:dyDescent="0.3">
      <c r="A11">
        <v>3.5</v>
      </c>
      <c r="B11">
        <f t="shared" si="0"/>
        <v>6.1086523819801536E-2</v>
      </c>
      <c r="C11">
        <v>0.37380000000000002</v>
      </c>
      <c r="D11">
        <v>8.3499999999999998E-3</v>
      </c>
      <c r="E11">
        <v>4.1999999999999997E-3</v>
      </c>
      <c r="F11">
        <f>C11/(1+2/'Données géométriques'!$B$6)</f>
        <v>0.28782600000000003</v>
      </c>
      <c r="G11">
        <f>F11^2/(PI()*'Données géométriques'!$B$6)</f>
        <v>3.9383770037347285E-3</v>
      </c>
      <c r="H11">
        <f t="shared" si="1"/>
        <v>1.2288377003734727E-2</v>
      </c>
      <c r="I11">
        <f t="shared" si="2"/>
        <v>0.23875840739505497</v>
      </c>
      <c r="J11">
        <f>XCP_3D('Données géométriques'!$B$9,'Données géométriques'!$B$10,'Données géométriques'!$B$11,'Données géométriques'!$B$12,I11)</f>
        <v>-0.27049619157183619</v>
      </c>
      <c r="K11">
        <f>ZCP_3D('Données géométriques'!$B$9,'Données géométriques'!$B$10,'Données géométriques'!$B$11)</f>
        <v>-0.37564783319086603</v>
      </c>
      <c r="L11">
        <f>'0.1kts'!L11</f>
        <v>2.4719407074999998E-2</v>
      </c>
    </row>
    <row r="12" spans="1:12" x14ac:dyDescent="0.3">
      <c r="A12">
        <v>4</v>
      </c>
      <c r="B12">
        <f t="shared" si="0"/>
        <v>6.9813170079773182E-2</v>
      </c>
      <c r="C12">
        <v>0.42609999999999998</v>
      </c>
      <c r="D12">
        <v>8.7600000000000004E-3</v>
      </c>
      <c r="E12">
        <v>5.1000000000000004E-3</v>
      </c>
      <c r="F12">
        <f>C12/(1+2/'Données géométriques'!$B$6)</f>
        <v>0.32809699999999997</v>
      </c>
      <c r="G12">
        <f>F12^2/(PI()*'Données géométriques'!$B$6)</f>
        <v>5.117546072413005E-3</v>
      </c>
      <c r="H12">
        <f t="shared" si="1"/>
        <v>1.3877546072413005E-2</v>
      </c>
      <c r="I12">
        <f t="shared" si="2"/>
        <v>0.23801897536430358</v>
      </c>
      <c r="J12">
        <f>XCP_3D('Données géométriques'!$B$9,'Données géométriques'!$B$10,'Données géométriques'!$B$11,'Données géométriques'!$B$12,I12)</f>
        <v>-0.27031173047902163</v>
      </c>
      <c r="K12">
        <f>ZCP_3D('Données géométriques'!$B$9,'Données géométriques'!$B$10,'Données géométriques'!$B$11)</f>
        <v>-0.37564783319086603</v>
      </c>
      <c r="L12">
        <f>'0.1kts'!L12</f>
        <v>2.4641836800000001E-2</v>
      </c>
    </row>
    <row r="13" spans="1:12" x14ac:dyDescent="0.3">
      <c r="A13">
        <v>4.5</v>
      </c>
      <c r="B13">
        <f t="shared" si="0"/>
        <v>7.8539816339744828E-2</v>
      </c>
      <c r="C13">
        <v>0.47939999999999999</v>
      </c>
      <c r="D13">
        <v>9.2099999999999994E-3</v>
      </c>
      <c r="E13">
        <v>5.7000000000000002E-3</v>
      </c>
      <c r="F13">
        <f>C13/(1+2/'Données géométriques'!$B$6)</f>
        <v>0.36913800000000002</v>
      </c>
      <c r="G13">
        <f>F13^2/(PI()*'Données géométriques'!$B$6)</f>
        <v>6.4779076481305282E-3</v>
      </c>
      <c r="H13">
        <f t="shared" si="1"/>
        <v>1.5687907648130529E-2</v>
      </c>
      <c r="I13">
        <f t="shared" si="2"/>
        <v>0.23809137744474462</v>
      </c>
      <c r="J13">
        <f>XCP_3D('Données géométriques'!$B$9,'Données géométriques'!$B$10,'Données géométriques'!$B$11,'Données géométriques'!$B$12,I13)</f>
        <v>-0.27032979213489444</v>
      </c>
      <c r="K13">
        <f>ZCP_3D('Données géométriques'!$B$9,'Données géométriques'!$B$10,'Données géométriques'!$B$11)</f>
        <v>-0.37564783319086603</v>
      </c>
      <c r="L13">
        <f>'0.1kts'!L13</f>
        <v>2.4527043724999999E-2</v>
      </c>
    </row>
    <row r="14" spans="1:12" x14ac:dyDescent="0.3">
      <c r="A14">
        <v>5</v>
      </c>
      <c r="B14">
        <f t="shared" si="0"/>
        <v>8.7266462599716474E-2</v>
      </c>
      <c r="C14">
        <v>0.53520000000000001</v>
      </c>
      <c r="D14">
        <v>9.7099999999999999E-3</v>
      </c>
      <c r="E14">
        <v>5.7000000000000002E-3</v>
      </c>
      <c r="F14">
        <f>C14/(1+2/'Données géométriques'!$B$6)</f>
        <v>0.41210400000000003</v>
      </c>
      <c r="G14">
        <f>F14^2/(PI()*'Données géométriques'!$B$6)</f>
        <v>8.0736682914690442E-3</v>
      </c>
      <c r="H14">
        <f t="shared" si="1"/>
        <v>1.7783668291469046E-2</v>
      </c>
      <c r="I14">
        <f t="shared" si="2"/>
        <v>0.23932603628077023</v>
      </c>
      <c r="J14">
        <f>XCP_3D('Données géométriques'!$B$9,'Données géométriques'!$B$10,'Données géométriques'!$B$11,'Données géométriques'!$B$12,I14)</f>
        <v>-0.27063779409947425</v>
      </c>
      <c r="K14">
        <f>ZCP_3D('Données géométriques'!$B$9,'Données géométriques'!$B$10,'Données géométriques'!$B$11)</f>
        <v>-0.37564783319086603</v>
      </c>
      <c r="L14">
        <f>'0.1kts'!L14</f>
        <v>2.4370375E-2</v>
      </c>
    </row>
    <row r="15" spans="1:12" x14ac:dyDescent="0.3">
      <c r="A15">
        <v>5.5</v>
      </c>
      <c r="B15">
        <f t="shared" si="0"/>
        <v>9.599310885968812E-2</v>
      </c>
      <c r="C15">
        <v>0.59389999999999998</v>
      </c>
      <c r="D15">
        <v>1.0240000000000001E-2</v>
      </c>
      <c r="E15">
        <v>5.0000000000000001E-3</v>
      </c>
      <c r="F15">
        <f>C15/(1+2/'Données géométriques'!$B$6)</f>
        <v>0.45730300000000002</v>
      </c>
      <c r="G15">
        <f>F15^2/(PI()*'Données géométriques'!$B$6)</f>
        <v>9.9418073536080408E-3</v>
      </c>
      <c r="H15">
        <f t="shared" si="1"/>
        <v>2.0181807353608042E-2</v>
      </c>
      <c r="I15">
        <f t="shared" si="2"/>
        <v>0.24155615449936241</v>
      </c>
      <c r="J15">
        <f>XCP_3D('Données géométriques'!$B$9,'Données géométriques'!$B$10,'Données géométriques'!$B$11,'Données géométriques'!$B$12,I15)</f>
        <v>-0.27119412656358077</v>
      </c>
      <c r="K15">
        <f>ZCP_3D('Données géométriques'!$B$9,'Données géométriques'!$B$10,'Données géométriques'!$B$11)</f>
        <v>-0.37564783319086603</v>
      </c>
      <c r="L15">
        <f>'0.1kts'!L15</f>
        <v>2.4167177775E-2</v>
      </c>
    </row>
    <row r="16" spans="1:12" x14ac:dyDescent="0.3">
      <c r="A16">
        <v>6</v>
      </c>
      <c r="B16">
        <f t="shared" si="0"/>
        <v>0.10471975511965977</v>
      </c>
      <c r="C16">
        <v>0.65490000000000004</v>
      </c>
      <c r="D16">
        <v>1.081E-2</v>
      </c>
      <c r="E16">
        <v>3.7000000000000002E-3</v>
      </c>
      <c r="F16">
        <f>C16/(1+2/'Données géométriques'!$B$6)</f>
        <v>0.50427300000000008</v>
      </c>
      <c r="G16">
        <f>F16^2/(PI()*'Données géométriques'!$B$6)</f>
        <v>1.2088952570634253E-2</v>
      </c>
      <c r="H16">
        <f t="shared" si="1"/>
        <v>2.2898952570634255E-2</v>
      </c>
      <c r="I16">
        <f t="shared" si="2"/>
        <v>0.2443290007989691</v>
      </c>
      <c r="J16">
        <f>XCP_3D('Données géométriques'!$B$9,'Données géométriques'!$B$10,'Données géométriques'!$B$11,'Données géométriques'!$B$12,I16)</f>
        <v>-0.27188584972048929</v>
      </c>
      <c r="K16">
        <f>ZCP_3D('Données géométriques'!$B$9,'Données géométriques'!$B$10,'Données géométriques'!$B$11)</f>
        <v>-0.37564783319086603</v>
      </c>
      <c r="L16">
        <f>'0.1kts'!L16</f>
        <v>2.3912799200000001E-2</v>
      </c>
    </row>
    <row r="17" spans="1:12" x14ac:dyDescent="0.3">
      <c r="A17">
        <v>6.5</v>
      </c>
      <c r="B17">
        <f t="shared" si="0"/>
        <v>0.11344640137963143</v>
      </c>
      <c r="C17">
        <v>0.71650000000000003</v>
      </c>
      <c r="D17">
        <v>1.137E-2</v>
      </c>
      <c r="E17">
        <v>2.2000000000000001E-3</v>
      </c>
      <c r="F17">
        <f>C17/(1+2/'Données géométriques'!$B$6)</f>
        <v>0.551705</v>
      </c>
      <c r="G17">
        <f>F17^2/(PI()*'Données géométriques'!$B$6)</f>
        <v>1.4470085001489736E-2</v>
      </c>
      <c r="H17">
        <f t="shared" si="1"/>
        <v>2.5840085001489738E-2</v>
      </c>
      <c r="I17">
        <f t="shared" si="2"/>
        <v>0.24691523062939538</v>
      </c>
      <c r="J17">
        <f>XCP_3D('Données géométriques'!$B$9,'Données géométriques'!$B$10,'Données géométriques'!$B$11,'Données géométriques'!$B$12,I17)</f>
        <v>-0.27253101893273679</v>
      </c>
      <c r="K17">
        <f>ZCP_3D('Données géométriques'!$B$9,'Données géométriques'!$B$10,'Données géométriques'!$B$11)</f>
        <v>-0.37564783319086603</v>
      </c>
      <c r="L17">
        <f>'0.1kts'!L17</f>
        <v>2.3602586424999999E-2</v>
      </c>
    </row>
    <row r="18" spans="1:12" x14ac:dyDescent="0.3">
      <c r="A18">
        <v>7</v>
      </c>
      <c r="B18">
        <f t="shared" si="0"/>
        <v>0.12217304763960307</v>
      </c>
      <c r="C18">
        <v>0.77929999999999999</v>
      </c>
      <c r="D18">
        <v>1.1979999999999999E-2</v>
      </c>
      <c r="E18">
        <v>4.0000000000000002E-4</v>
      </c>
      <c r="F18">
        <f>C18/(1+2/'Données géométriques'!$B$6)</f>
        <v>0.60006099999999996</v>
      </c>
      <c r="G18">
        <f>F18^2/(PI()*'Données géométriques'!$B$6)</f>
        <v>1.7117803840052469E-2</v>
      </c>
      <c r="H18">
        <f t="shared" si="1"/>
        <v>2.9097803840052471E-2</v>
      </c>
      <c r="I18">
        <f t="shared" si="2"/>
        <v>0.24948383847334787</v>
      </c>
      <c r="J18">
        <f>XCP_3D('Données géométriques'!$B$9,'Données géométriques'!$B$10,'Données géométriques'!$B$11,'Données géométriques'!$B$12,I18)</f>
        <v>-0.27317179210755294</v>
      </c>
      <c r="K18">
        <f>ZCP_3D('Données géométriques'!$B$9,'Données géométriques'!$B$10,'Données géométriques'!$B$11)</f>
        <v>-0.37564783319086603</v>
      </c>
      <c r="L18">
        <f>'0.1kts'!L18</f>
        <v>2.3231886599999998E-2</v>
      </c>
    </row>
    <row r="19" spans="1:12" x14ac:dyDescent="0.3">
      <c r="A19">
        <v>7.5</v>
      </c>
      <c r="B19">
        <f t="shared" si="0"/>
        <v>0.1308996938995747</v>
      </c>
      <c r="C19">
        <v>0.84299999999999997</v>
      </c>
      <c r="D19">
        <v>1.2619999999999999E-2</v>
      </c>
      <c r="E19">
        <v>-1.6999999999999999E-3</v>
      </c>
      <c r="F19">
        <f>C19/(1+2/'Données géométriques'!$B$6)</f>
        <v>0.64910999999999996</v>
      </c>
      <c r="G19">
        <f>F19^2/(PI()*'Données géométriques'!$B$6)</f>
        <v>2.0030594634251612E-2</v>
      </c>
      <c r="H19">
        <f t="shared" si="1"/>
        <v>3.2650594634251615E-2</v>
      </c>
      <c r="I19">
        <f t="shared" si="2"/>
        <v>0.25203000767208156</v>
      </c>
      <c r="J19">
        <f>XCP_3D('Données géométriques'!$B$9,'Données géométriques'!$B$10,'Données géométriques'!$B$11,'Données géométriques'!$B$12,I19)</f>
        <v>-0.27380696766576001</v>
      </c>
      <c r="K19">
        <f>ZCP_3D('Données géométriques'!$B$9,'Données géométriques'!$B$10,'Données géométriques'!$B$11)</f>
        <v>-0.37564783319086603</v>
      </c>
      <c r="L19">
        <f>'0.1kts'!L19</f>
        <v>2.2796046875E-2</v>
      </c>
    </row>
    <row r="20" spans="1:12" x14ac:dyDescent="0.3">
      <c r="A20">
        <v>8</v>
      </c>
      <c r="B20">
        <f t="shared" si="0"/>
        <v>0.13962634015954636</v>
      </c>
      <c r="C20">
        <v>0.89790000000000003</v>
      </c>
      <c r="D20">
        <v>1.328E-2</v>
      </c>
      <c r="E20">
        <v>-1.9E-3</v>
      </c>
      <c r="F20">
        <f>C20/(1+2/'Données géométriques'!$B$6)</f>
        <v>0.69138300000000008</v>
      </c>
      <c r="G20">
        <f>F20^2/(PI()*'Données géométriques'!$B$6)</f>
        <v>2.272451567644319E-2</v>
      </c>
      <c r="H20">
        <f t="shared" si="1"/>
        <v>3.6004515676443194E-2</v>
      </c>
      <c r="I20">
        <f t="shared" si="2"/>
        <v>0.252132411729935</v>
      </c>
      <c r="J20">
        <f>XCP_3D('Données géométriques'!$B$9,'Données géométriques'!$B$10,'Données géométriques'!$B$11,'Données géométriques'!$B$12,I20)</f>
        <v>-0.2738325137114197</v>
      </c>
      <c r="K20">
        <f>ZCP_3D('Données géométriques'!$B$9,'Données géométriques'!$B$10,'Données géométriques'!$B$11)</f>
        <v>-0.37564783319086603</v>
      </c>
      <c r="L20">
        <f>'0.1kts'!L20</f>
        <v>2.22904144E-2</v>
      </c>
    </row>
    <row r="21" spans="1:12" x14ac:dyDescent="0.3">
      <c r="A21">
        <v>8.5</v>
      </c>
      <c r="B21">
        <f t="shared" si="0"/>
        <v>0.14835298641951802</v>
      </c>
      <c r="C21">
        <v>0.9405</v>
      </c>
      <c r="D21">
        <v>1.3939999999999999E-2</v>
      </c>
      <c r="E21">
        <v>4.0000000000000002E-4</v>
      </c>
      <c r="F21">
        <f>C21/(1+2/'Données géométriques'!$B$6)</f>
        <v>0.72418499999999997</v>
      </c>
      <c r="G21">
        <f>F21^2/(PI()*'Données géométriques'!$B$6)</f>
        <v>2.4931952603084756E-2</v>
      </c>
      <c r="H21">
        <f t="shared" si="1"/>
        <v>3.8871952603084757E-2</v>
      </c>
      <c r="I21">
        <f t="shared" si="2"/>
        <v>0.24957092128515687</v>
      </c>
      <c r="J21">
        <f>XCP_3D('Données géométriques'!$B$9,'Données géométriques'!$B$10,'Données géométriques'!$B$11,'Données géométriques'!$B$12,I21)</f>
        <v>-0.2731935160658932</v>
      </c>
      <c r="K21">
        <f>ZCP_3D('Données géométriques'!$B$9,'Données géométriques'!$B$10,'Données géométriques'!$B$11)</f>
        <v>-0.37564783319086603</v>
      </c>
      <c r="L21">
        <f>'0.1kts'!L21</f>
        <v>2.1710336324999999E-2</v>
      </c>
    </row>
    <row r="22" spans="1:12" x14ac:dyDescent="0.3">
      <c r="A22">
        <v>9</v>
      </c>
      <c r="B22">
        <f t="shared" si="0"/>
        <v>0.15707963267948966</v>
      </c>
      <c r="C22">
        <v>0.9839</v>
      </c>
      <c r="D22">
        <v>1.46E-2</v>
      </c>
      <c r="E22">
        <v>2.5999999999999999E-3</v>
      </c>
      <c r="F22">
        <f>C22/(1+2/'Données géométriques'!$B$6)</f>
        <v>0.75760300000000003</v>
      </c>
      <c r="G22">
        <f>F22^2/(PI()*'Données géométriques'!$B$6)</f>
        <v>2.7286046441300643E-2</v>
      </c>
      <c r="H22">
        <f t="shared" si="1"/>
        <v>4.1886046441300645E-2</v>
      </c>
      <c r="I22">
        <f t="shared" si="2"/>
        <v>0.24733078868932676</v>
      </c>
      <c r="J22">
        <f>XCP_3D('Données géométriques'!$B$9,'Données géométriques'!$B$10,'Données géométriques'!$B$11,'Données géométriques'!$B$12,I22)</f>
        <v>-0.27263468538303198</v>
      </c>
      <c r="K22">
        <f>ZCP_3D('Données géométriques'!$B$9,'Données géométriques'!$B$10,'Données géométriques'!$B$11)</f>
        <v>-0.37564783319086603</v>
      </c>
      <c r="L22">
        <f>'0.1kts'!L22</f>
        <v>2.10511598E-2</v>
      </c>
    </row>
    <row r="23" spans="1:12" x14ac:dyDescent="0.3">
      <c r="A23">
        <v>9.5</v>
      </c>
      <c r="B23">
        <f t="shared" si="0"/>
        <v>0.16580627893946129</v>
      </c>
      <c r="C23">
        <v>1.0271999999999999</v>
      </c>
      <c r="D23">
        <v>1.538E-2</v>
      </c>
      <c r="E23">
        <v>4.7000000000000002E-3</v>
      </c>
      <c r="F23">
        <f>C23/(1+2/'Données géométriques'!$B$6)</f>
        <v>0.79094399999999987</v>
      </c>
      <c r="G23">
        <f>F23^2/(PI()*'Données géométriques'!$B$6)</f>
        <v>2.9740530722605817E-2</v>
      </c>
      <c r="H23">
        <f t="shared" si="1"/>
        <v>4.5120530722605814E-2</v>
      </c>
      <c r="I23">
        <f t="shared" si="2"/>
        <v>0.24537242616766222</v>
      </c>
      <c r="J23">
        <f>XCP_3D('Données géométriques'!$B$9,'Données géométriques'!$B$10,'Données géométriques'!$B$11,'Données géométriques'!$B$12,I23)</f>
        <v>-0.27214614596919839</v>
      </c>
      <c r="K23">
        <f>ZCP_3D('Données géométriques'!$B$9,'Données géométriques'!$B$10,'Données géométriques'!$B$11)</f>
        <v>-0.37564783319086603</v>
      </c>
      <c r="L23">
        <f>'0.1kts'!L23</f>
        <v>2.0308231975E-2</v>
      </c>
    </row>
    <row r="24" spans="1:12" x14ac:dyDescent="0.3">
      <c r="A24">
        <v>10</v>
      </c>
      <c r="B24">
        <f t="shared" si="0"/>
        <v>0.17453292519943295</v>
      </c>
      <c r="C24">
        <v>1.0712999999999999</v>
      </c>
      <c r="D24">
        <v>1.617E-2</v>
      </c>
      <c r="E24">
        <v>6.4999999999999997E-3</v>
      </c>
      <c r="F24">
        <f>C24/(1+2/'Données géométriques'!$B$6)</f>
        <v>0.824901</v>
      </c>
      <c r="G24">
        <f>F24^2/(PI()*'Données géométriques'!$B$6)</f>
        <v>3.2349003182628969E-2</v>
      </c>
      <c r="H24">
        <f t="shared" si="1"/>
        <v>4.8519003182628972E-2</v>
      </c>
      <c r="I24">
        <f t="shared" si="2"/>
        <v>0.24385535953175277</v>
      </c>
      <c r="J24">
        <f>XCP_3D('Données géométriques'!$B$9,'Données géométriques'!$B$10,'Données géométriques'!$B$11,'Données géométriques'!$B$12,I24)</f>
        <v>-0.27176769364647702</v>
      </c>
      <c r="K24">
        <f>ZCP_3D('Données géométriques'!$B$9,'Données géométriques'!$B$10,'Données géométriques'!$B$11)</f>
        <v>-0.37564783319086603</v>
      </c>
      <c r="L24">
        <f>'0.1kts'!L24</f>
        <v>1.9476900000000002E-2</v>
      </c>
    </row>
    <row r="25" spans="1:12" x14ac:dyDescent="0.3">
      <c r="A25">
        <v>10.5</v>
      </c>
      <c r="B25">
        <f t="shared" si="0"/>
        <v>0.18325957145940461</v>
      </c>
      <c r="C25">
        <v>1.1143000000000001</v>
      </c>
      <c r="D25">
        <v>1.712E-2</v>
      </c>
      <c r="E25">
        <v>8.3000000000000001E-3</v>
      </c>
      <c r="F25">
        <f>C25/(1+2/'Données géométriques'!$B$6)</f>
        <v>0.85801100000000008</v>
      </c>
      <c r="G25">
        <f>F25^2/(PI()*'Données géométriques'!$B$6)</f>
        <v>3.4997978004520897E-2</v>
      </c>
      <c r="H25">
        <f t="shared" si="1"/>
        <v>5.2117978004520893E-2</v>
      </c>
      <c r="I25">
        <f t="shared" si="2"/>
        <v>0.24244603567815581</v>
      </c>
      <c r="J25">
        <f>XCP_3D('Données géométriques'!$B$9,'Données géométriques'!$B$10,'Données géométriques'!$B$11,'Données géométriques'!$B$12,I25)</f>
        <v>-0.27141611918479336</v>
      </c>
      <c r="K25">
        <f>ZCP_3D('Données géométriques'!$B$9,'Données géométriques'!$B$10,'Données géométriques'!$B$11)</f>
        <v>-0.37564783319086603</v>
      </c>
      <c r="L25">
        <f>'0.1kts'!L25</f>
        <v>1.8552511024999999E-2</v>
      </c>
    </row>
    <row r="26" spans="1:12" x14ac:dyDescent="0.3">
      <c r="A26">
        <v>11</v>
      </c>
      <c r="B26">
        <f t="shared" si="0"/>
        <v>0.19198621771937624</v>
      </c>
      <c r="C26">
        <v>1.1573</v>
      </c>
      <c r="D26">
        <v>1.805E-2</v>
      </c>
      <c r="E26">
        <v>1.01E-2</v>
      </c>
      <c r="F26">
        <f>C26/(1+2/'Données géométriques'!$B$6)</f>
        <v>0.89112100000000005</v>
      </c>
      <c r="G26">
        <f>F26^2/(PI()*'Données géométriques'!$B$6)</f>
        <v>3.7751185913291803E-2</v>
      </c>
      <c r="H26">
        <f t="shared" si="1"/>
        <v>5.5801185913291806E-2</v>
      </c>
      <c r="I26">
        <f t="shared" si="2"/>
        <v>0.24113631744888875</v>
      </c>
      <c r="J26">
        <f>XCP_3D('Données géométriques'!$B$9,'Données géométriques'!$B$10,'Données géométriques'!$B$11,'Données géométriques'!$B$12,I26)</f>
        <v>-0.27108939266254201</v>
      </c>
      <c r="K26">
        <f>ZCP_3D('Données géométriques'!$B$9,'Données géométriques'!$B$10,'Données géométriques'!$B$11)</f>
        <v>-0.37564783319086603</v>
      </c>
      <c r="L26">
        <f>'0.1kts'!L26</f>
        <v>1.7530412199999998E-2</v>
      </c>
    </row>
    <row r="27" spans="1:12" x14ac:dyDescent="0.3">
      <c r="A27">
        <v>11.5</v>
      </c>
      <c r="B27">
        <f t="shared" si="0"/>
        <v>0.20071286397934787</v>
      </c>
      <c r="C27">
        <v>1.1981999999999999</v>
      </c>
      <c r="D27">
        <v>1.9130000000000001E-2</v>
      </c>
      <c r="E27">
        <v>1.2E-2</v>
      </c>
      <c r="F27">
        <f>C27/(1+2/'Données géométriques'!$B$6)</f>
        <v>0.92261399999999993</v>
      </c>
      <c r="G27">
        <f>F27^2/(PI()*'Données géométriques'!$B$6)</f>
        <v>4.0466656540189272E-2</v>
      </c>
      <c r="H27">
        <f t="shared" si="1"/>
        <v>5.9596656540189273E-2</v>
      </c>
      <c r="I27">
        <f t="shared" si="2"/>
        <v>0.23981289418872861</v>
      </c>
      <c r="J27">
        <f>XCP_3D('Données géométriques'!$B$9,'Données géométriques'!$B$10,'Données géométriques'!$B$11,'Données géométriques'!$B$12,I27)</f>
        <v>-0.27075924723919981</v>
      </c>
      <c r="K27">
        <f>ZCP_3D('Données géométriques'!$B$9,'Données géométriques'!$B$10,'Données géométriques'!$B$11)</f>
        <v>-0.37564783319086603</v>
      </c>
      <c r="L27">
        <f>'0.1kts'!L27</f>
        <v>1.6405950674999999E-2</v>
      </c>
    </row>
    <row r="28" spans="1:12" x14ac:dyDescent="0.3">
      <c r="A28">
        <v>12</v>
      </c>
      <c r="B28">
        <f t="shared" si="0"/>
        <v>0.20943951023931953</v>
      </c>
      <c r="C28">
        <v>1.2365999999999999</v>
      </c>
      <c r="D28">
        <v>2.035E-2</v>
      </c>
      <c r="E28">
        <v>1.41E-2</v>
      </c>
      <c r="F28">
        <f>C28/(1+2/'Données géométriques'!$B$6)</f>
        <v>0.95218199999999997</v>
      </c>
      <c r="G28">
        <f>F28^2/(PI()*'Données géométriques'!$B$6)</f>
        <v>4.3101975643873761E-2</v>
      </c>
      <c r="H28">
        <f t="shared" si="1"/>
        <v>6.3451975643873754E-2</v>
      </c>
      <c r="I28">
        <f t="shared" si="2"/>
        <v>0.23838366841101744</v>
      </c>
      <c r="J28">
        <f>XCP_3D('Données géométriques'!$B$9,'Données géométriques'!$B$10,'Données géométriques'!$B$11,'Données géométriques'!$B$12,I28)</f>
        <v>-0.2704027079795106</v>
      </c>
      <c r="K28">
        <f>ZCP_3D('Données géométriques'!$B$9,'Données géométriques'!$B$10,'Données géométriques'!$B$11)</f>
        <v>-0.37564783319086603</v>
      </c>
      <c r="L28">
        <f>'0.1kts'!L28</f>
        <v>1.5174473599999998E-2</v>
      </c>
    </row>
    <row r="29" spans="1:12" x14ac:dyDescent="0.3">
      <c r="A29">
        <v>12.5</v>
      </c>
      <c r="B29">
        <f t="shared" si="0"/>
        <v>0.21816615649929119</v>
      </c>
      <c r="C29">
        <v>1.2730999999999999</v>
      </c>
      <c r="D29">
        <v>2.1590000000000002E-2</v>
      </c>
      <c r="E29">
        <v>1.6500000000000001E-2</v>
      </c>
      <c r="F29">
        <f>C29/(1+2/'Données géométriques'!$B$6)</f>
        <v>0.98028699999999991</v>
      </c>
      <c r="G29">
        <f>F29^2/(PI()*'Données géométriques'!$B$6)</f>
        <v>4.56839585811687E-2</v>
      </c>
      <c r="H29">
        <f t="shared" si="1"/>
        <v>6.7273958581168705E-2</v>
      </c>
      <c r="I29">
        <f t="shared" si="2"/>
        <v>0.23677455824869617</v>
      </c>
      <c r="J29">
        <f>XCP_3D('Données géométriques'!$B$9,'Données géométriques'!$B$10,'Données géométriques'!$B$11,'Données géométriques'!$B$12,I29)</f>
        <v>-0.27000129418262847</v>
      </c>
      <c r="K29">
        <f>ZCP_3D('Données géométriques'!$B$9,'Données géométriques'!$B$10,'Données géométriques'!$B$11)</f>
        <v>-0.37564783319086603</v>
      </c>
      <c r="L29">
        <f>'0.1kts'!L29</f>
        <v>1.3831328124999999E-2</v>
      </c>
    </row>
    <row r="30" spans="1:12" x14ac:dyDescent="0.3">
      <c r="A30">
        <v>13</v>
      </c>
      <c r="B30">
        <f t="shared" si="0"/>
        <v>0.22689280275926285</v>
      </c>
      <c r="C30">
        <v>1.3046</v>
      </c>
      <c r="D30">
        <v>2.298E-2</v>
      </c>
      <c r="E30">
        <v>1.9300000000000001E-2</v>
      </c>
      <c r="F30">
        <f>C30/(1+2/'Données géométriques'!$B$6)</f>
        <v>1.004542</v>
      </c>
      <c r="G30">
        <f>F30^2/(PI()*'Données géométriques'!$B$6)</f>
        <v>4.7972620366866545E-2</v>
      </c>
      <c r="H30">
        <f t="shared" si="1"/>
        <v>7.0952620366866545E-2</v>
      </c>
      <c r="I30">
        <f t="shared" si="2"/>
        <v>0.2348785492289148</v>
      </c>
      <c r="J30">
        <f>XCP_3D('Données géométriques'!$B$9,'Données géométriques'!$B$10,'Données géométriques'!$B$11,'Données géométriques'!$B$12,I30)</f>
        <v>-0.26952830967393887</v>
      </c>
      <c r="K30">
        <f>ZCP_3D('Données géométriques'!$B$9,'Données géométriques'!$B$10,'Données géométriques'!$B$11)</f>
        <v>-0.37564783319086603</v>
      </c>
      <c r="L30">
        <f>'0.1kts'!L30</f>
        <v>1.23718614E-2</v>
      </c>
    </row>
    <row r="31" spans="1:12" x14ac:dyDescent="0.3">
      <c r="A31">
        <v>13.5</v>
      </c>
      <c r="B31">
        <f t="shared" si="0"/>
        <v>0.23561944901923448</v>
      </c>
      <c r="C31">
        <v>1.3271999999999999</v>
      </c>
      <c r="D31">
        <v>2.4660000000000001E-2</v>
      </c>
      <c r="E31">
        <v>2.3199999999999998E-2</v>
      </c>
      <c r="F31">
        <f>C31/(1+2/'Données géométriques'!$B$6)</f>
        <v>1.021944</v>
      </c>
      <c r="G31">
        <f>F31^2/(PI()*'Données géométriques'!$B$6)</f>
        <v>4.964910668917244E-2</v>
      </c>
      <c r="H31">
        <f t="shared" si="1"/>
        <v>7.4309106689172441E-2</v>
      </c>
      <c r="I31">
        <f t="shared" si="2"/>
        <v>0.23210271665821391</v>
      </c>
      <c r="J31">
        <f>XCP_3D('Données géométriques'!$B$9,'Données géométriques'!$B$10,'Données géométriques'!$B$11,'Données géométriques'!$B$12,I31)</f>
        <v>-0.268835841552236</v>
      </c>
      <c r="K31">
        <f>ZCP_3D('Données géométriques'!$B$9,'Données géométriques'!$B$10,'Données géométriques'!$B$11)</f>
        <v>-0.37564783319086603</v>
      </c>
      <c r="L31">
        <f>'0.1kts'!L31</f>
        <v>1.0791420575E-2</v>
      </c>
    </row>
    <row r="32" spans="1:12" x14ac:dyDescent="0.3">
      <c r="A32">
        <v>14</v>
      </c>
      <c r="B32">
        <f t="shared" si="0"/>
        <v>0.24434609527920614</v>
      </c>
      <c r="C32">
        <v>1.3471</v>
      </c>
      <c r="D32">
        <v>2.6679999999999999E-2</v>
      </c>
      <c r="E32">
        <v>2.6599999999999999E-2</v>
      </c>
      <c r="F32">
        <f>C32/(1+2/'Données géométriques'!$B$6)</f>
        <v>1.0372669999999999</v>
      </c>
      <c r="G32">
        <f>F32^2/(PI()*'Données géométriques'!$B$6)</f>
        <v>5.1149143419941846E-2</v>
      </c>
      <c r="H32">
        <f t="shared" si="1"/>
        <v>7.7829143419941849E-2</v>
      </c>
      <c r="I32">
        <f t="shared" si="2"/>
        <v>0.22974937721195099</v>
      </c>
      <c r="J32">
        <f>XCP_3D('Données géométriques'!$B$9,'Données géométriques'!$B$10,'Données géométriques'!$B$11,'Données géométriques'!$B$12,I32)</f>
        <v>-0.26824876992432839</v>
      </c>
      <c r="K32">
        <f>ZCP_3D('Données géométriques'!$B$9,'Données géométriques'!$B$10,'Données géométriques'!$B$11)</f>
        <v>-0.37564783319086603</v>
      </c>
      <c r="L32">
        <f>'0.1kts'!L32</f>
        <v>9.0853527999999965E-3</v>
      </c>
    </row>
    <row r="33" spans="1:12" x14ac:dyDescent="0.3">
      <c r="A33">
        <v>14.5</v>
      </c>
      <c r="B33">
        <f t="shared" si="0"/>
        <v>0.2530727415391778</v>
      </c>
      <c r="C33">
        <v>1.3638999999999999</v>
      </c>
      <c r="D33">
        <v>2.9159999999999998E-2</v>
      </c>
      <c r="E33">
        <v>2.93E-2</v>
      </c>
      <c r="F33">
        <f>C33/(1+2/'Données géométriques'!$B$6)</f>
        <v>1.050203</v>
      </c>
      <c r="G33">
        <f>F33^2/(PI()*'Données géométriques'!$B$6)</f>
        <v>5.2432884657174376E-2</v>
      </c>
      <c r="H33">
        <f t="shared" si="1"/>
        <v>8.1592884657174375E-2</v>
      </c>
      <c r="I33">
        <f t="shared" si="2"/>
        <v>0.22793271983610786</v>
      </c>
      <c r="J33">
        <f>XCP_3D('Données géométriques'!$B$9,'Données géométriques'!$B$10,'Données géométriques'!$B$11,'Données géométriques'!$B$12,I33)</f>
        <v>-0.26779558073197574</v>
      </c>
      <c r="K33">
        <f>ZCP_3D('Données géométriques'!$B$9,'Données géométriques'!$B$10,'Données géométriques'!$B$11)</f>
        <v>-0.37564783319086603</v>
      </c>
      <c r="L33">
        <f>'0.1kts'!L33</f>
        <v>7.2490052249999971E-3</v>
      </c>
    </row>
    <row r="34" spans="1:12" x14ac:dyDescent="0.3">
      <c r="A34">
        <v>15</v>
      </c>
      <c r="B34">
        <f t="shared" si="0"/>
        <v>0.26179938779914941</v>
      </c>
      <c r="C34">
        <v>1.3762000000000001</v>
      </c>
      <c r="D34">
        <v>3.236E-2</v>
      </c>
      <c r="E34">
        <v>3.1E-2</v>
      </c>
      <c r="F34">
        <f>C34/(1+2/'Données géométriques'!$B$6)</f>
        <v>1.059674</v>
      </c>
      <c r="G34">
        <f>F34^2/(PI()*'Données géométriques'!$B$6)</f>
        <v>5.3382855371261008E-2</v>
      </c>
      <c r="H34">
        <f t="shared" si="1"/>
        <v>8.5742855371261001E-2</v>
      </c>
      <c r="I34">
        <f t="shared" si="2"/>
        <v>0.22682559213356623</v>
      </c>
      <c r="J34">
        <f>XCP_3D('Données géométriques'!$B$9,'Données géométriques'!$B$10,'Données géométriques'!$B$11,'Données géométriques'!$B$12,I34)</f>
        <v>-0.26751939309416262</v>
      </c>
      <c r="K34">
        <f>ZCP_3D('Données géométriques'!$B$9,'Données géométriques'!$B$10,'Données géométriques'!$B$11)</f>
        <v>-0.37564783319086603</v>
      </c>
      <c r="L34">
        <f>'0.1kts'!L34</f>
        <v>5.2777249999999987E-3</v>
      </c>
    </row>
    <row r="35" spans="1:12" x14ac:dyDescent="0.3">
      <c r="A35">
        <v>15.5</v>
      </c>
      <c r="B35">
        <f t="shared" si="0"/>
        <v>0.27052603405912107</v>
      </c>
      <c r="C35">
        <v>1.3835</v>
      </c>
      <c r="D35">
        <v>3.6580000000000001E-2</v>
      </c>
      <c r="E35">
        <v>3.15E-2</v>
      </c>
      <c r="F35">
        <f>C35/(1+2/'Données géométriques'!$B$6)</f>
        <v>1.0652949999999999</v>
      </c>
      <c r="G35">
        <f>F35^2/(PI()*'Données géométriques'!$B$6)</f>
        <v>5.3950692029989367E-2</v>
      </c>
      <c r="H35">
        <f t="shared" si="1"/>
        <v>9.0530692029989368E-2</v>
      </c>
      <c r="I35">
        <f t="shared" si="2"/>
        <v>0.22654432030915386</v>
      </c>
      <c r="J35">
        <f>XCP_3D('Données géométriques'!$B$9,'Données géométriques'!$B$10,'Données géométriques'!$B$11,'Données géométriques'!$B$12,I35)</f>
        <v>-0.26744922612012129</v>
      </c>
      <c r="K35">
        <f>ZCP_3D('Données géométriques'!$B$9,'Données géométriques'!$B$10,'Données géométriques'!$B$11)</f>
        <v>-0.37564783319086603</v>
      </c>
      <c r="L35">
        <f>'0.1kts'!L35</f>
        <v>3.1668592749999986E-3</v>
      </c>
    </row>
    <row r="36" spans="1:12" x14ac:dyDescent="0.3">
      <c r="A36">
        <v>16</v>
      </c>
      <c r="B36">
        <f t="shared" si="0"/>
        <v>0.27925268031909273</v>
      </c>
      <c r="C36">
        <v>1.3837999999999999</v>
      </c>
      <c r="D36">
        <v>4.224E-2</v>
      </c>
      <c r="E36">
        <v>3.0300000000000001E-2</v>
      </c>
      <c r="F36">
        <f>C36/(1+2/'Données géométriques'!$B$6)</f>
        <v>1.065526</v>
      </c>
      <c r="G36">
        <f>F36^2/(PI()*'Données géométriques'!$B$6)</f>
        <v>5.3974092047943949E-2</v>
      </c>
      <c r="H36">
        <f t="shared" si="1"/>
        <v>9.6214092047943955E-2</v>
      </c>
      <c r="I36">
        <f t="shared" si="2"/>
        <v>0.22741901346084109</v>
      </c>
      <c r="J36">
        <f>XCP_3D('Données géométriques'!$B$9,'Données géométriques'!$B$10,'Données géométriques'!$B$11,'Données géométriques'!$B$12,I36)</f>
        <v>-0.26766742988723696</v>
      </c>
      <c r="K36">
        <f>ZCP_3D('Données géométriques'!$B$9,'Données géométriques'!$B$10,'Données géométriques'!$B$11)</f>
        <v>-0.37564783319086603</v>
      </c>
      <c r="L36">
        <f>'0.1kts'!L36</f>
        <v>9.1175519999999951E-4</v>
      </c>
    </row>
    <row r="37" spans="1:12" x14ac:dyDescent="0.3">
      <c r="A37">
        <v>16.5</v>
      </c>
      <c r="B37">
        <f t="shared" si="0"/>
        <v>0.28797932657906439</v>
      </c>
      <c r="C37">
        <v>1.3746</v>
      </c>
      <c r="D37">
        <v>4.99E-2</v>
      </c>
      <c r="E37">
        <v>2.7199999999999998E-2</v>
      </c>
      <c r="F37">
        <f>C37/(1+2/'Données géométriques'!$B$6)</f>
        <v>1.0584420000000001</v>
      </c>
      <c r="G37">
        <f>F37^2/(PI()*'Données géométriques'!$B$6)</f>
        <v>5.3258799394890352E-2</v>
      </c>
      <c r="H37">
        <f t="shared" si="1"/>
        <v>0.10315879939489035</v>
      </c>
      <c r="I37">
        <f t="shared" si="2"/>
        <v>0.22958212373970879</v>
      </c>
      <c r="J37">
        <f>XCP_3D('Données géométriques'!$B$9,'Données géométriques'!$B$10,'Données géométriques'!$B$11,'Données géométriques'!$B$12,I37)</f>
        <v>-0.26820704633516407</v>
      </c>
      <c r="K37">
        <f>ZCP_3D('Données géométriques'!$B$9,'Données géométriques'!$B$10,'Données géométriques'!$B$11)</f>
        <v>-0.37564783319086603</v>
      </c>
      <c r="L37">
        <f>'0.1kts'!L37</f>
        <v>-1.4922400750000014E-3</v>
      </c>
    </row>
    <row r="38" spans="1:12" x14ac:dyDescent="0.3">
      <c r="A38">
        <v>17</v>
      </c>
      <c r="B38">
        <f t="shared" si="0"/>
        <v>0.29670597283903605</v>
      </c>
      <c r="C38">
        <v>1.3517999999999999</v>
      </c>
      <c r="D38">
        <v>6.0249999999999998E-2</v>
      </c>
      <c r="E38">
        <v>2.2100000000000002E-2</v>
      </c>
      <c r="F38">
        <f>C38/(1+2/'Données géométriques'!$B$6)</f>
        <v>1.040886</v>
      </c>
      <c r="G38">
        <f>F38^2/(PI()*'Données géométriques'!$B$6)</f>
        <v>5.1506682356511645E-2</v>
      </c>
      <c r="H38">
        <f t="shared" si="1"/>
        <v>0.11175668235651165</v>
      </c>
      <c r="I38">
        <f t="shared" si="2"/>
        <v>0.23313425347418076</v>
      </c>
      <c r="J38">
        <f>XCP_3D('Données géométriques'!$B$9,'Données géométriques'!$B$10,'Données géométriques'!$B$11,'Données géométriques'!$B$12,I38)</f>
        <v>-0.26909317204434113</v>
      </c>
      <c r="K38">
        <f>ZCP_3D('Données géométriques'!$B$9,'Données géométriques'!$B$10,'Données géométriques'!$B$11)</f>
        <v>-0.37564783319086603</v>
      </c>
      <c r="L38">
        <f>'0.1kts'!L38</f>
        <v>-4.0497794000000026E-3</v>
      </c>
    </row>
    <row r="39" spans="1:12" x14ac:dyDescent="0.3">
      <c r="A39">
        <v>17.5</v>
      </c>
      <c r="B39">
        <f t="shared" si="0"/>
        <v>0.30543261909900765</v>
      </c>
      <c r="C39">
        <v>1.3127</v>
      </c>
      <c r="D39">
        <v>7.3709999999999998E-2</v>
      </c>
      <c r="E39">
        <v>1.5100000000000001E-2</v>
      </c>
      <c r="F39">
        <f>C39/(1+2/'Données géométriques'!$B$6)</f>
        <v>1.0107790000000001</v>
      </c>
      <c r="G39">
        <f>F39^2/(PI()*'Données géométriques'!$B$6)</f>
        <v>4.8570174448028185E-2</v>
      </c>
      <c r="H39">
        <f t="shared" si="1"/>
        <v>0.12228017444802819</v>
      </c>
      <c r="I39">
        <f t="shared" si="2"/>
        <v>0.23814858316616638</v>
      </c>
      <c r="J39">
        <f>XCP_3D('Données géométriques'!$B$9,'Données géométriques'!$B$10,'Données géométriques'!$B$11,'Données géométriques'!$B$12,I39)</f>
        <v>-0.27034406285816676</v>
      </c>
      <c r="K39">
        <f>ZCP_3D('Données géométriques'!$B$9,'Données géométriques'!$B$10,'Données géométriques'!$B$11)</f>
        <v>-0.37564783319086603</v>
      </c>
      <c r="L39">
        <f>'0.1kts'!L39</f>
        <v>-6.7655156249999994E-3</v>
      </c>
    </row>
    <row r="40" spans="1:12" x14ac:dyDescent="0.3">
      <c r="A40">
        <v>18</v>
      </c>
      <c r="B40">
        <f t="shared" si="0"/>
        <v>0.31415926535897931</v>
      </c>
      <c r="C40">
        <v>1.2593000000000001</v>
      </c>
      <c r="D40">
        <v>9.0130000000000002E-2</v>
      </c>
      <c r="E40">
        <v>6.7000000000000002E-3</v>
      </c>
      <c r="F40">
        <f>C40/(1+2/'Données géométriques'!$B$6)</f>
        <v>0.96966100000000011</v>
      </c>
      <c r="G40">
        <f>F40^2/(PI()*'Données géométriques'!$B$6)</f>
        <v>4.4698927160095103E-2</v>
      </c>
      <c r="H40">
        <f t="shared" si="1"/>
        <v>0.13482892716009509</v>
      </c>
      <c r="I40">
        <f t="shared" si="2"/>
        <v>0.24453292034628632</v>
      </c>
      <c r="J40">
        <f>XCP_3D('Données géométriques'!$B$9,'Données géométriques'!$B$10,'Données géométriques'!$B$11,'Données géométriques'!$B$12,I40)</f>
        <v>-0.27193672014668285</v>
      </c>
      <c r="K40">
        <f>ZCP_3D('Données géométriques'!$B$9,'Données géométriques'!$B$10,'Données géométriques'!$B$11)</f>
        <v>-0.37564783319086603</v>
      </c>
      <c r="L40">
        <f>'0.1kts'!L40</f>
        <v>-9.6441016000000015E-3</v>
      </c>
    </row>
    <row r="41" spans="1:12" x14ac:dyDescent="0.3">
      <c r="A41">
        <v>18.5</v>
      </c>
      <c r="B41">
        <f t="shared" si="0"/>
        <v>0.32288591161895097</v>
      </c>
      <c r="C41">
        <v>1.1992</v>
      </c>
      <c r="D41">
        <v>0.10847999999999999</v>
      </c>
      <c r="E41">
        <v>-2.8E-3</v>
      </c>
      <c r="F41">
        <f>C41/(1+2/'Données géométriques'!$B$6)</f>
        <v>0.92338400000000009</v>
      </c>
      <c r="G41">
        <f>F41^2/(PI()*'Données géométriques'!$B$6)</f>
        <v>4.0534230472715975E-2</v>
      </c>
      <c r="H41">
        <f t="shared" si="1"/>
        <v>0.14901423047271597</v>
      </c>
      <c r="I41">
        <f t="shared" si="2"/>
        <v>0.25238979026337272</v>
      </c>
      <c r="J41">
        <f>XCP_3D('Données géométriques'!$B$9,'Données géométriques'!$B$10,'Données géométriques'!$B$11,'Données géométriques'!$B$12,I41)</f>
        <v>-0.27389672018824407</v>
      </c>
      <c r="K41">
        <f>ZCP_3D('Données géométriques'!$B$9,'Données géométriques'!$B$10,'Données géométriques'!$B$11)</f>
        <v>-0.37564783319086603</v>
      </c>
      <c r="L41">
        <f>'0.1kts'!L41</f>
        <v>-1.2690190175000003E-2</v>
      </c>
    </row>
    <row r="42" spans="1:12" x14ac:dyDescent="0.3">
      <c r="A42">
        <v>19</v>
      </c>
      <c r="B42">
        <f t="shared" si="0"/>
        <v>0.33161255787892258</v>
      </c>
      <c r="C42">
        <v>1.1422000000000001</v>
      </c>
      <c r="D42">
        <v>0.12717000000000001</v>
      </c>
      <c r="E42">
        <v>-1.26E-2</v>
      </c>
      <c r="F42">
        <f>C42/(1+2/'Données géométriques'!$B$6)</f>
        <v>0.87949400000000011</v>
      </c>
      <c r="G42">
        <f>F42^2/(PI()*'Données géométriques'!$B$6)</f>
        <v>3.6772487117320701E-2</v>
      </c>
      <c r="H42">
        <f t="shared" si="1"/>
        <v>0.16394248711732071</v>
      </c>
      <c r="I42">
        <f t="shared" si="2"/>
        <v>0.26123621738235897</v>
      </c>
      <c r="J42">
        <f>XCP_3D('Données géométriques'!$B$9,'Données géométriques'!$B$10,'Données géométriques'!$B$11,'Données géométriques'!$B$12,I42)</f>
        <v>-0.27610357835235499</v>
      </c>
      <c r="K42">
        <f>ZCP_3D('Données géométriques'!$B$9,'Données géométriques'!$B$10,'Données géométriques'!$B$11)</f>
        <v>-0.37564783319086603</v>
      </c>
      <c r="L42">
        <f>'0.1kts'!L42</f>
        <v>-1.5908434200000002E-2</v>
      </c>
    </row>
    <row r="43" spans="1:12" x14ac:dyDescent="0.3">
      <c r="A43">
        <v>19.5</v>
      </c>
      <c r="B43">
        <f t="shared" si="0"/>
        <v>0.34033920413889424</v>
      </c>
      <c r="C43">
        <v>1.0971</v>
      </c>
      <c r="D43">
        <v>0.14449999999999999</v>
      </c>
      <c r="E43">
        <v>-2.2100000000000002E-2</v>
      </c>
      <c r="F43">
        <f>C43/(1+2/'Données géométriques'!$B$6)</f>
        <v>0.84476699999999993</v>
      </c>
      <c r="G43">
        <f>F43^2/(PI()*'Données géométriques'!$B$6)</f>
        <v>3.3925880105338639E-2</v>
      </c>
      <c r="H43">
        <f t="shared" si="1"/>
        <v>0.17842588010533864</v>
      </c>
      <c r="I43">
        <f t="shared" si="2"/>
        <v>0.27041745715762661</v>
      </c>
      <c r="J43">
        <f>XCP_3D('Données géométriques'!$B$9,'Données géométriques'!$B$10,'Données géométriques'!$B$11,'Données géométriques'!$B$12,I43)</f>
        <v>-0.27839395995864447</v>
      </c>
      <c r="K43">
        <f>ZCP_3D('Données géométriques'!$B$9,'Données géométriques'!$B$10,'Données géométriques'!$B$11)</f>
        <v>-0.37564783319086603</v>
      </c>
      <c r="L43">
        <f>'0.1kts'!L43</f>
        <v>-1.9303486525E-2</v>
      </c>
    </row>
    <row r="44" spans="1:12" x14ac:dyDescent="0.3">
      <c r="A44">
        <v>20</v>
      </c>
      <c r="B44">
        <f t="shared" si="0"/>
        <v>0.3490658503988659</v>
      </c>
      <c r="C44">
        <v>1.0631999999999999</v>
      </c>
      <c r="D44">
        <v>0.16039999999999999</v>
      </c>
      <c r="E44">
        <v>-3.1300000000000001E-2</v>
      </c>
      <c r="F44">
        <f>C44/(1+2/'Données géométriques'!$B$6)</f>
        <v>0.81866399999999995</v>
      </c>
      <c r="G44">
        <f>F44^2/(PI()*'Données géométriques'!$B$6)</f>
        <v>3.1861676859227174E-2</v>
      </c>
      <c r="H44">
        <f t="shared" si="1"/>
        <v>0.19226167685922715</v>
      </c>
      <c r="I44">
        <f t="shared" si="2"/>
        <v>0.27969805075027127</v>
      </c>
      <c r="J44">
        <f>XCP_3D('Données géométriques'!$B$9,'Données géométriques'!$B$10,'Données géométriques'!$B$11,'Données géométriques'!$B$12,I44)</f>
        <v>-0.28070912668779391</v>
      </c>
      <c r="K44">
        <f>ZCP_3D('Données géométriques'!$B$9,'Données géométriques'!$B$10,'Données géométriques'!$B$11)</f>
        <v>-0.37564783319086603</v>
      </c>
      <c r="L44">
        <f>'0.1kts'!L44</f>
        <v>-2.2879999999999998E-2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58C03-BC6C-416B-BB91-84FB8042E63A}">
  <sheetPr codeName="Feuil8"/>
  <dimension ref="A1:L44"/>
  <sheetViews>
    <sheetView workbookViewId="0">
      <selection activeCell="N8" sqref="N8"/>
    </sheetView>
  </sheetViews>
  <sheetFormatPr baseColWidth="10" defaultRowHeight="14.4" x14ac:dyDescent="0.3"/>
  <sheetData>
    <row r="1" spans="1:12" x14ac:dyDescent="0.3">
      <c r="A1">
        <v>3.5</v>
      </c>
      <c r="C1" s="2">
        <f>A1*'Données géométriques'!B2/'Données géométriques'!G2</f>
        <v>799404.17080436938</v>
      </c>
    </row>
    <row r="2" spans="1:1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27</v>
      </c>
      <c r="K2" t="s">
        <v>28</v>
      </c>
      <c r="L2" t="s">
        <v>12</v>
      </c>
    </row>
    <row r="3" spans="1:12" x14ac:dyDescent="0.3">
      <c r="A3" t="s">
        <v>9</v>
      </c>
      <c r="B3" t="s">
        <v>9</v>
      </c>
      <c r="C3" t="s">
        <v>10</v>
      </c>
      <c r="D3" t="s">
        <v>11</v>
      </c>
      <c r="E3" t="s">
        <v>10</v>
      </c>
      <c r="F3" t="s">
        <v>9</v>
      </c>
      <c r="G3" t="s">
        <v>10</v>
      </c>
      <c r="H3" t="s">
        <v>11</v>
      </c>
      <c r="I3" t="s">
        <v>10</v>
      </c>
      <c r="J3" t="s">
        <v>11</v>
      </c>
      <c r="K3" t="s">
        <v>11</v>
      </c>
      <c r="L3" t="s">
        <v>11</v>
      </c>
    </row>
    <row r="4" spans="1:12" x14ac:dyDescent="0.3">
      <c r="A4">
        <v>0</v>
      </c>
      <c r="B4">
        <f>A4*PI()/180</f>
        <v>0</v>
      </c>
      <c r="C4">
        <v>0</v>
      </c>
      <c r="D4">
        <v>7.0899999999999999E-3</v>
      </c>
      <c r="E4">
        <v>0</v>
      </c>
      <c r="F4">
        <f>C4/(1+2/'Données géométriques'!$B$6)</f>
        <v>0</v>
      </c>
      <c r="G4">
        <f>F4^2/(PI()*'Données géométriques'!$B$6)</f>
        <v>0</v>
      </c>
      <c r="H4">
        <f>D4+G4</f>
        <v>7.0899999999999999E-3</v>
      </c>
      <c r="I4">
        <v>0</v>
      </c>
      <c r="J4">
        <f>XCP_3D('Données géométriques'!$B$9,'Données géométriques'!$B$10,'Données géométriques'!$B$11,'Données géométriques'!$B$12,I4)</f>
        <v>-0.21093475128380432</v>
      </c>
      <c r="K4">
        <f>ZCP_3D('Données géométriques'!$B$9,'Données géométriques'!$B$10,'Données géométriques'!$B$11)</f>
        <v>-0.37564783319086603</v>
      </c>
      <c r="L4">
        <f>'0.1kts'!L4</f>
        <v>2.4610999999999997E-2</v>
      </c>
    </row>
    <row r="5" spans="1:12" x14ac:dyDescent="0.3">
      <c r="A5">
        <v>0.5</v>
      </c>
      <c r="B5">
        <f t="shared" ref="B5:B44" si="0">A5*PI()/180</f>
        <v>8.7266462599716477E-3</v>
      </c>
      <c r="C5">
        <v>5.4600000000000003E-2</v>
      </c>
      <c r="D5">
        <v>7.1199999999999996E-3</v>
      </c>
      <c r="E5">
        <v>2.9999999999999997E-4</v>
      </c>
      <c r="F5">
        <f>C5/(1+2/'Données géométriques'!$B$6)</f>
        <v>4.2042000000000003E-2</v>
      </c>
      <c r="G5">
        <f>F5^2/(PI()*'Données géométriques'!$B$6)</f>
        <v>8.4027990611181544E-5</v>
      </c>
      <c r="H5">
        <f>D5+G5</f>
        <v>7.2040279906111808E-3</v>
      </c>
      <c r="I5">
        <f>0.25-E5/(C5*COS(B5)+D5*SIN(B5))</f>
        <v>0.24451153121120353</v>
      </c>
      <c r="J5">
        <f>XCP_3D('Données géométriques'!$B$9,'Données géométriques'!$B$10,'Données géométriques'!$B$11,'Données géométriques'!$B$12,I5)</f>
        <v>-0.27193138434424508</v>
      </c>
      <c r="K5">
        <f>ZCP_3D('Données géométriques'!$B$9,'Données géométriques'!$B$10,'Données géométriques'!$B$11)</f>
        <v>-0.37564783319086603</v>
      </c>
      <c r="L5">
        <f>'0.1kts'!L5</f>
        <v>2.4663709524999997E-2</v>
      </c>
    </row>
    <row r="6" spans="1:12" x14ac:dyDescent="0.3">
      <c r="A6">
        <v>1</v>
      </c>
      <c r="B6">
        <f t="shared" si="0"/>
        <v>1.7453292519943295E-2</v>
      </c>
      <c r="C6">
        <v>0.109</v>
      </c>
      <c r="D6">
        <v>7.1700000000000002E-3</v>
      </c>
      <c r="E6">
        <v>6.9999999999999999E-4</v>
      </c>
      <c r="F6">
        <f>C6/(1+2/'Données géométriques'!$B$6)</f>
        <v>8.3930000000000005E-2</v>
      </c>
      <c r="G6">
        <f>F6^2/(PI()*'Données géométriques'!$B$6)</f>
        <v>3.3488191054872863E-4</v>
      </c>
      <c r="H6">
        <f t="shared" ref="H6:H44" si="1">D6+G6</f>
        <v>7.504881910548729E-3</v>
      </c>
      <c r="I6">
        <f t="shared" ref="I6:I44" si="2">0.25-E6/(C6*COS(B6)+D6*SIN(B6))</f>
        <v>0.24358436976657258</v>
      </c>
      <c r="J6">
        <f>XCP_3D('Données géométriques'!$B$9,'Données géométriques'!$B$10,'Données géométriques'!$B$11,'Données géométriques'!$B$12,I6)</f>
        <v>-0.27170009166800213</v>
      </c>
      <c r="K6">
        <f>ZCP_3D('Données géométriques'!$B$9,'Données géométriques'!$B$10,'Données géométriques'!$B$11)</f>
        <v>-0.37564783319086603</v>
      </c>
      <c r="L6">
        <f>'0.1kts'!L6</f>
        <v>2.4711766199999999E-2</v>
      </c>
    </row>
    <row r="7" spans="1:12" x14ac:dyDescent="0.3">
      <c r="A7">
        <v>1.5</v>
      </c>
      <c r="B7">
        <f t="shared" si="0"/>
        <v>2.6179938779914941E-2</v>
      </c>
      <c r="C7">
        <v>0.16309999999999999</v>
      </c>
      <c r="D7">
        <v>7.2700000000000004E-3</v>
      </c>
      <c r="E7">
        <v>1.1000000000000001E-3</v>
      </c>
      <c r="F7">
        <f>C7/(1+2/'Données géométriques'!$B$6)</f>
        <v>0.125587</v>
      </c>
      <c r="G7">
        <f>F7^2/(PI()*'Données géométriques'!$B$6)</f>
        <v>7.4980203522196482E-4</v>
      </c>
      <c r="H7">
        <f t="shared" si="1"/>
        <v>8.0198020352219655E-3</v>
      </c>
      <c r="I7">
        <f t="shared" si="2"/>
        <v>0.24326122501515388</v>
      </c>
      <c r="J7">
        <f>XCP_3D('Données géométriques'!$B$9,'Données géométriques'!$B$10,'Données géométriques'!$B$11,'Données géométriques'!$B$12,I7)</f>
        <v>-0.27161947893890132</v>
      </c>
      <c r="K7">
        <f>ZCP_3D('Données géométriques'!$B$9,'Données géométriques'!$B$10,'Données géométriques'!$B$11)</f>
        <v>-0.37564783319086603</v>
      </c>
      <c r="L7">
        <f>'0.1kts'!L7</f>
        <v>2.4750517175E-2</v>
      </c>
    </row>
    <row r="8" spans="1:12" x14ac:dyDescent="0.3">
      <c r="A8">
        <v>2</v>
      </c>
      <c r="B8">
        <f t="shared" si="0"/>
        <v>3.4906585039886591E-2</v>
      </c>
      <c r="C8">
        <v>0.217</v>
      </c>
      <c r="D8">
        <v>7.4099999999999999E-3</v>
      </c>
      <c r="E8">
        <v>1.5E-3</v>
      </c>
      <c r="F8">
        <f>C8/(1+2/'Données géométriques'!$B$6)</f>
        <v>0.16708999999999999</v>
      </c>
      <c r="G8">
        <f>F8^2/(PI()*'Données géométriques'!$B$6)</f>
        <v>1.3272665841115292E-3</v>
      </c>
      <c r="H8">
        <f t="shared" si="1"/>
        <v>8.7372665841115287E-3</v>
      </c>
      <c r="I8">
        <f t="shared" si="2"/>
        <v>0.24309158214655896</v>
      </c>
      <c r="J8">
        <f>XCP_3D('Données géométriques'!$B$9,'Données géométriques'!$B$10,'Données géométriques'!$B$11,'Données géométriques'!$B$12,I8)</f>
        <v>-0.27157715928323661</v>
      </c>
      <c r="K8">
        <f>ZCP_3D('Données géométriques'!$B$9,'Données géométriques'!$B$10,'Données géométriques'!$B$11)</f>
        <v>-0.37564783319086603</v>
      </c>
      <c r="L8">
        <f>'0.1kts'!L8</f>
        <v>2.47753096E-2</v>
      </c>
    </row>
    <row r="9" spans="1:12" x14ac:dyDescent="0.3">
      <c r="A9">
        <v>2.5</v>
      </c>
      <c r="B9">
        <f t="shared" si="0"/>
        <v>4.3633231299858237E-2</v>
      </c>
      <c r="C9">
        <v>0.27050000000000002</v>
      </c>
      <c r="D9">
        <v>7.6099999999999996E-3</v>
      </c>
      <c r="E9">
        <v>2.0999999999999999E-3</v>
      </c>
      <c r="F9">
        <f>C9/(1+2/'Données géométriques'!$B$6)</f>
        <v>0.20828500000000003</v>
      </c>
      <c r="G9">
        <f>F9^2/(PI()*'Données géométriques'!$B$6)</f>
        <v>2.0624015752317244E-3</v>
      </c>
      <c r="H9">
        <f t="shared" si="1"/>
        <v>9.672401575231724E-3</v>
      </c>
      <c r="I9">
        <f t="shared" si="2"/>
        <v>0.24223873610704605</v>
      </c>
      <c r="J9">
        <f>XCP_3D('Données géométriques'!$B$9,'Données géométriques'!$B$10,'Données géométriques'!$B$11,'Données géométriques'!$B$12,I9)</f>
        <v>-0.27136440556699498</v>
      </c>
      <c r="K9">
        <f>ZCP_3D('Données géométriques'!$B$9,'Données géométriques'!$B$10,'Données géométriques'!$B$11)</f>
        <v>-0.37564783319086603</v>
      </c>
      <c r="L9">
        <f>'0.1kts'!L9</f>
        <v>2.4781490624999996E-2</v>
      </c>
    </row>
    <row r="10" spans="1:12" x14ac:dyDescent="0.3">
      <c r="A10">
        <v>3</v>
      </c>
      <c r="B10">
        <f t="shared" si="0"/>
        <v>5.2359877559829883E-2</v>
      </c>
      <c r="C10">
        <v>0.3236</v>
      </c>
      <c r="D10">
        <v>7.8600000000000007E-3</v>
      </c>
      <c r="E10">
        <v>2.7000000000000001E-3</v>
      </c>
      <c r="F10">
        <f>C10/(1+2/'Données géométriques'!$B$6)</f>
        <v>0.249172</v>
      </c>
      <c r="G10">
        <f>F10^2/(PI()*'Données géométriques'!$B$6)</f>
        <v>2.9515878824724175E-3</v>
      </c>
      <c r="H10">
        <f t="shared" si="1"/>
        <v>1.0811587882472419E-2</v>
      </c>
      <c r="I10">
        <f t="shared" si="2"/>
        <v>0.24165553757633129</v>
      </c>
      <c r="J10">
        <f>XCP_3D('Données géométriques'!$B$9,'Données géométriques'!$B$10,'Données géométriques'!$B$11,'Données géométriques'!$B$12,I10)</f>
        <v>-0.27121891898563233</v>
      </c>
      <c r="K10">
        <f>ZCP_3D('Données géométriques'!$B$9,'Données géométriques'!$B$10,'Données géométriques'!$B$11)</f>
        <v>-0.37564783319086603</v>
      </c>
      <c r="L10">
        <f>'0.1kts'!L10</f>
        <v>2.4764407400000001E-2</v>
      </c>
    </row>
    <row r="11" spans="1:12" x14ac:dyDescent="0.3">
      <c r="A11">
        <v>3.5</v>
      </c>
      <c r="B11">
        <f t="shared" si="0"/>
        <v>6.1086523819801536E-2</v>
      </c>
      <c r="C11">
        <v>0.37630000000000002</v>
      </c>
      <c r="D11">
        <v>8.1600000000000006E-3</v>
      </c>
      <c r="E11">
        <v>3.5000000000000001E-3</v>
      </c>
      <c r="F11">
        <f>C11/(1+2/'Données géométriques'!$B$6)</f>
        <v>0.28975100000000004</v>
      </c>
      <c r="G11">
        <f>F11^2/(PI()*'Données géométriques'!$B$6)</f>
        <v>3.9912334386102864E-3</v>
      </c>
      <c r="H11">
        <f t="shared" si="1"/>
        <v>1.2151233438610288E-2</v>
      </c>
      <c r="I11">
        <f t="shared" si="2"/>
        <v>0.24069387234242751</v>
      </c>
      <c r="J11">
        <f>XCP_3D('Données géométriques'!$B$9,'Données géométriques'!$B$10,'Données géométriques'!$B$11,'Données géométriques'!$B$12,I11)</f>
        <v>-0.27097901888313464</v>
      </c>
      <c r="K11">
        <f>ZCP_3D('Données géométriques'!$B$9,'Données géométriques'!$B$10,'Données géométriques'!$B$11)</f>
        <v>-0.37564783319086603</v>
      </c>
      <c r="L11">
        <f>'0.1kts'!L11</f>
        <v>2.4719407074999998E-2</v>
      </c>
    </row>
    <row r="12" spans="1:12" x14ac:dyDescent="0.3">
      <c r="A12">
        <v>4</v>
      </c>
      <c r="B12">
        <f t="shared" si="0"/>
        <v>6.9813170079773182E-2</v>
      </c>
      <c r="C12">
        <v>0.42849999999999999</v>
      </c>
      <c r="D12">
        <v>8.5199999999999998E-3</v>
      </c>
      <c r="E12">
        <v>4.3E-3</v>
      </c>
      <c r="F12">
        <f>C12/(1+2/'Données géométriques'!$B$6)</f>
        <v>0.32994499999999999</v>
      </c>
      <c r="G12">
        <f>F12^2/(PI()*'Données géométriques'!$B$6)</f>
        <v>5.1753573840712724E-3</v>
      </c>
      <c r="H12">
        <f t="shared" si="1"/>
        <v>1.3695357384071273E-2</v>
      </c>
      <c r="I12">
        <f t="shared" si="2"/>
        <v>0.23995445679392677</v>
      </c>
      <c r="J12">
        <f>XCP_3D('Données géométriques'!$B$9,'Données géométriques'!$B$10,'Données géométriques'!$B$11,'Données géométriques'!$B$12,I12)</f>
        <v>-0.2707945619020371</v>
      </c>
      <c r="K12">
        <f>ZCP_3D('Données géométriques'!$B$9,'Données géométriques'!$B$10,'Données géométriques'!$B$11)</f>
        <v>-0.37564783319086603</v>
      </c>
      <c r="L12">
        <f>'0.1kts'!L12</f>
        <v>2.4641836800000001E-2</v>
      </c>
    </row>
    <row r="13" spans="1:12" x14ac:dyDescent="0.3">
      <c r="A13">
        <v>4.5</v>
      </c>
      <c r="B13">
        <f t="shared" si="0"/>
        <v>7.8539816339744828E-2</v>
      </c>
      <c r="C13">
        <v>0.48099999999999998</v>
      </c>
      <c r="D13">
        <v>8.9200000000000008E-3</v>
      </c>
      <c r="E13">
        <v>5.1000000000000004E-3</v>
      </c>
      <c r="F13">
        <f>C13/(1+2/'Données géométriques'!$B$6)</f>
        <v>0.37036999999999998</v>
      </c>
      <c r="G13">
        <f>F13^2/(PI()*'Données géométriques'!$B$6)</f>
        <v>6.5212199062759353E-3</v>
      </c>
      <c r="H13">
        <f t="shared" si="1"/>
        <v>1.5441219906275935E-2</v>
      </c>
      <c r="I13">
        <f t="shared" si="2"/>
        <v>0.23937980326407104</v>
      </c>
      <c r="J13">
        <f>XCP_3D('Données géométriques'!$B$9,'Données géométriques'!$B$10,'Données géométriques'!$B$11,'Données géométriques'!$B$12,I13)</f>
        <v>-0.27065120698407491</v>
      </c>
      <c r="K13">
        <f>ZCP_3D('Données géométriques'!$B$9,'Données géométriques'!$B$10,'Données géométriques'!$B$11)</f>
        <v>-0.37564783319086603</v>
      </c>
      <c r="L13">
        <f>'0.1kts'!L13</f>
        <v>2.4527043724999999E-2</v>
      </c>
    </row>
    <row r="14" spans="1:12" x14ac:dyDescent="0.3">
      <c r="A14">
        <v>5</v>
      </c>
      <c r="B14">
        <f t="shared" si="0"/>
        <v>8.7266462599716474E-2</v>
      </c>
      <c r="C14">
        <v>0.53439999999999999</v>
      </c>
      <c r="D14">
        <v>9.3699999999999999E-3</v>
      </c>
      <c r="E14">
        <v>5.7000000000000002E-3</v>
      </c>
      <c r="F14">
        <f>C14/(1+2/'Données géométriques'!$B$6)</f>
        <v>0.41148800000000002</v>
      </c>
      <c r="G14">
        <f>F14^2/(PI()*'Données géométriques'!$B$6)</f>
        <v>8.0495498036971102E-3</v>
      </c>
      <c r="H14">
        <f t="shared" si="1"/>
        <v>1.7419549803697108E-2</v>
      </c>
      <c r="I14">
        <f t="shared" si="2"/>
        <v>0.23930948853576722</v>
      </c>
      <c r="J14">
        <f>XCP_3D('Données géométriques'!$B$9,'Données géométriques'!$B$10,'Données géométriques'!$B$11,'Données géométriques'!$B$12,I14)</f>
        <v>-0.27063366604578049</v>
      </c>
      <c r="K14">
        <f>ZCP_3D('Données géométriques'!$B$9,'Données géométriques'!$B$10,'Données géométriques'!$B$11)</f>
        <v>-0.37564783319086603</v>
      </c>
      <c r="L14">
        <f>'0.1kts'!L14</f>
        <v>2.4370375E-2</v>
      </c>
    </row>
    <row r="15" spans="1:12" x14ac:dyDescent="0.3">
      <c r="A15">
        <v>5.5</v>
      </c>
      <c r="B15">
        <f t="shared" si="0"/>
        <v>9.599310885968812E-2</v>
      </c>
      <c r="C15">
        <v>0.59089999999999998</v>
      </c>
      <c r="D15">
        <v>9.8700000000000003E-3</v>
      </c>
      <c r="E15">
        <v>5.5999999999999999E-3</v>
      </c>
      <c r="F15">
        <f>C15/(1+2/'Données géométriques'!$B$6)</f>
        <v>0.45499299999999998</v>
      </c>
      <c r="G15">
        <f>F15^2/(PI()*'Données géométriques'!$B$6)</f>
        <v>9.8416218252135937E-3</v>
      </c>
      <c r="H15">
        <f t="shared" si="1"/>
        <v>1.9711621825213594E-2</v>
      </c>
      <c r="I15">
        <f t="shared" si="2"/>
        <v>0.2404943871160784</v>
      </c>
      <c r="J15">
        <f>XCP_3D('Données géométriques'!$B$9,'Données géométriques'!$B$10,'Données géométriques'!$B$11,'Données géométriques'!$B$12,I15)</f>
        <v>-0.27092925465691575</v>
      </c>
      <c r="K15">
        <f>ZCP_3D('Données géométriques'!$B$9,'Données géométriques'!$B$10,'Données géométriques'!$B$11)</f>
        <v>-0.37564783319086603</v>
      </c>
      <c r="L15">
        <f>'0.1kts'!L15</f>
        <v>2.4167177775E-2</v>
      </c>
    </row>
    <row r="16" spans="1:12" x14ac:dyDescent="0.3">
      <c r="A16">
        <v>6</v>
      </c>
      <c r="B16">
        <f t="shared" si="0"/>
        <v>0.10471975511965977</v>
      </c>
      <c r="C16">
        <v>0.6502</v>
      </c>
      <c r="D16">
        <v>1.0370000000000001E-2</v>
      </c>
      <c r="E16">
        <v>4.7000000000000002E-3</v>
      </c>
      <c r="F16">
        <f>C16/(1+2/'Données géométriques'!$B$6)</f>
        <v>0.50065400000000004</v>
      </c>
      <c r="G16">
        <f>F16^2/(PI()*'Données géométriques'!$B$6)</f>
        <v>1.1916058404078524E-2</v>
      </c>
      <c r="H16">
        <f t="shared" si="1"/>
        <v>2.2286058404078525E-2</v>
      </c>
      <c r="I16">
        <f t="shared" si="2"/>
        <v>0.24274380166253304</v>
      </c>
      <c r="J16">
        <f>XCP_3D('Données géométriques'!$B$9,'Données géométriques'!$B$10,'Données géométriques'!$B$11,'Données géométriques'!$B$12,I16)</f>
        <v>-0.27149040084503795</v>
      </c>
      <c r="K16">
        <f>ZCP_3D('Données géométriques'!$B$9,'Données géométriques'!$B$10,'Données géométriques'!$B$11)</f>
        <v>-0.37564783319086603</v>
      </c>
      <c r="L16">
        <f>'0.1kts'!L16</f>
        <v>2.3912799200000001E-2</v>
      </c>
    </row>
    <row r="17" spans="1:12" x14ac:dyDescent="0.3">
      <c r="A17">
        <v>6.5</v>
      </c>
      <c r="B17">
        <f t="shared" si="0"/>
        <v>0.11344640137963143</v>
      </c>
      <c r="C17">
        <v>0.71</v>
      </c>
      <c r="D17">
        <v>1.091E-2</v>
      </c>
      <c r="E17">
        <v>3.7000000000000002E-3</v>
      </c>
      <c r="F17">
        <f>C17/(1+2/'Données géométriques'!$B$6)</f>
        <v>0.54669999999999996</v>
      </c>
      <c r="G17">
        <f>F17^2/(PI()*'Données géométriques'!$B$6)</f>
        <v>1.4208734206515788E-2</v>
      </c>
      <c r="H17">
        <f t="shared" si="1"/>
        <v>2.5118734206515787E-2</v>
      </c>
      <c r="I17">
        <f t="shared" si="2"/>
        <v>0.24476418352839571</v>
      </c>
      <c r="J17">
        <f>XCP_3D('Données géométriques'!$B$9,'Données géométriques'!$B$10,'Données géométriques'!$B$11,'Données géométriques'!$B$12,I17)</f>
        <v>-0.27199441180396305</v>
      </c>
      <c r="K17">
        <f>ZCP_3D('Données géométriques'!$B$9,'Données géométriques'!$B$10,'Données géométriques'!$B$11)</f>
        <v>-0.37564783319086603</v>
      </c>
      <c r="L17">
        <f>'0.1kts'!L17</f>
        <v>2.3602586424999999E-2</v>
      </c>
    </row>
    <row r="18" spans="1:12" x14ac:dyDescent="0.3">
      <c r="A18">
        <v>7</v>
      </c>
      <c r="B18">
        <f t="shared" si="0"/>
        <v>0.12217304763960307</v>
      </c>
      <c r="C18">
        <v>0.77349999999999997</v>
      </c>
      <c r="D18">
        <v>1.15E-2</v>
      </c>
      <c r="E18">
        <v>1.6999999999999999E-3</v>
      </c>
      <c r="F18">
        <f>C18/(1+2/'Données géométriques'!$B$6)</f>
        <v>0.59559499999999999</v>
      </c>
      <c r="G18">
        <f>F18^2/(PI()*'Données géométriques'!$B$6)</f>
        <v>1.6863950893494069E-2</v>
      </c>
      <c r="H18">
        <f t="shared" si="1"/>
        <v>2.8363950893494069E-2</v>
      </c>
      <c r="I18">
        <f t="shared" si="2"/>
        <v>0.24778972753853523</v>
      </c>
      <c r="J18">
        <f>XCP_3D('Données géométriques'!$B$9,'Données géométriques'!$B$10,'Données géométriques'!$B$11,'Données géométriques'!$B$12,I18)</f>
        <v>-0.27274917374455626</v>
      </c>
      <c r="K18">
        <f>ZCP_3D('Données géométriques'!$B$9,'Données géométriques'!$B$10,'Données géométriques'!$B$11)</f>
        <v>-0.37564783319086603</v>
      </c>
      <c r="L18">
        <f>'0.1kts'!L18</f>
        <v>2.3231886599999998E-2</v>
      </c>
    </row>
    <row r="19" spans="1:12" x14ac:dyDescent="0.3">
      <c r="A19">
        <v>7.5</v>
      </c>
      <c r="B19">
        <f t="shared" si="0"/>
        <v>0.1308996938995747</v>
      </c>
      <c r="C19">
        <v>0.83560000000000001</v>
      </c>
      <c r="D19">
        <v>1.2109999999999999E-2</v>
      </c>
      <c r="E19">
        <v>0</v>
      </c>
      <c r="F19">
        <f>C19/(1+2/'Données géométriques'!$B$6)</f>
        <v>0.64341199999999998</v>
      </c>
      <c r="G19">
        <f>F19^2/(PI()*'Données géométriques'!$B$6)</f>
        <v>1.9680474060617365E-2</v>
      </c>
      <c r="H19">
        <f t="shared" si="1"/>
        <v>3.1790474060617364E-2</v>
      </c>
      <c r="I19">
        <f t="shared" si="2"/>
        <v>0.25</v>
      </c>
      <c r="J19">
        <f>XCP_3D('Données géométriques'!$B$9,'Données géométriques'!$B$10,'Données géométriques'!$B$11,'Données géométriques'!$B$12,I19)</f>
        <v>-0.27330055542225368</v>
      </c>
      <c r="K19">
        <f>ZCP_3D('Données géométriques'!$B$9,'Données géométriques'!$B$10,'Données géométriques'!$B$11)</f>
        <v>-0.37564783319086603</v>
      </c>
      <c r="L19">
        <f>'0.1kts'!L19</f>
        <v>2.2796046875E-2</v>
      </c>
    </row>
    <row r="20" spans="1:12" x14ac:dyDescent="0.3">
      <c r="A20">
        <v>8</v>
      </c>
      <c r="B20">
        <f t="shared" si="0"/>
        <v>0.13962634015954636</v>
      </c>
      <c r="C20">
        <v>0.89859999999999995</v>
      </c>
      <c r="D20">
        <v>1.2749999999999999E-2</v>
      </c>
      <c r="E20">
        <v>-1.9E-3</v>
      </c>
      <c r="F20">
        <f>C20/(1+2/'Données géométriques'!$B$6)</f>
        <v>0.69192199999999993</v>
      </c>
      <c r="G20">
        <f>F20^2/(PI()*'Données géométriques'!$B$6)</f>
        <v>2.2759961408840332E-2</v>
      </c>
      <c r="H20">
        <f t="shared" si="1"/>
        <v>3.5509961408840329E-2</v>
      </c>
      <c r="I20">
        <f t="shared" si="2"/>
        <v>0.25213093031719963</v>
      </c>
      <c r="J20">
        <f>XCP_3D('Données géométriques'!$B$9,'Données géométriques'!$B$10,'Données géométriques'!$B$11,'Données géométriques'!$B$12,I20)</f>
        <v>-0.2738321441534346</v>
      </c>
      <c r="K20">
        <f>ZCP_3D('Données géométriques'!$B$9,'Données géométriques'!$B$10,'Données géométriques'!$B$11)</f>
        <v>-0.37564783319086603</v>
      </c>
      <c r="L20">
        <f>'0.1kts'!L20</f>
        <v>2.22904144E-2</v>
      </c>
    </row>
    <row r="21" spans="1:12" x14ac:dyDescent="0.3">
      <c r="A21">
        <v>8.5</v>
      </c>
      <c r="B21">
        <f t="shared" si="0"/>
        <v>0.14835298641951802</v>
      </c>
      <c r="C21">
        <v>0.9456</v>
      </c>
      <c r="D21">
        <v>1.338E-2</v>
      </c>
      <c r="E21">
        <v>-5.0000000000000001E-4</v>
      </c>
      <c r="F21">
        <f>C21/(1+2/'Données géométriques'!$B$6)</f>
        <v>0.72811199999999998</v>
      </c>
      <c r="G21">
        <f>F21^2/(PI()*'Données géométriques'!$B$6)</f>
        <v>2.5203080112097331E-2</v>
      </c>
      <c r="H21">
        <f t="shared" si="1"/>
        <v>3.858308011209733E-2</v>
      </c>
      <c r="I21">
        <f t="shared" si="2"/>
        <v>0.25053350912654476</v>
      </c>
      <c r="J21">
        <f>XCP_3D('Données géométriques'!$B$9,'Données géométriques'!$B$10,'Données géométriques'!$B$11,'Données géométriques'!$B$12,I21)</f>
        <v>-0.27343364632502032</v>
      </c>
      <c r="K21">
        <f>ZCP_3D('Données géométriques'!$B$9,'Données géométriques'!$B$10,'Données géométriques'!$B$11)</f>
        <v>-0.37564783319086603</v>
      </c>
      <c r="L21">
        <f>'0.1kts'!L21</f>
        <v>2.1710336324999999E-2</v>
      </c>
    </row>
    <row r="22" spans="1:12" x14ac:dyDescent="0.3">
      <c r="A22">
        <v>9</v>
      </c>
      <c r="B22">
        <f t="shared" si="0"/>
        <v>0.15707963267948966</v>
      </c>
      <c r="C22">
        <v>0.98860000000000003</v>
      </c>
      <c r="D22">
        <v>1.405E-2</v>
      </c>
      <c r="E22">
        <v>1.8E-3</v>
      </c>
      <c r="F22">
        <f>C22/(1+2/'Données géométriques'!$B$6)</f>
        <v>0.76122200000000007</v>
      </c>
      <c r="G22">
        <f>F22^2/(PI()*'Données géométriques'!$B$6)</f>
        <v>2.7547354956763956E-2</v>
      </c>
      <c r="H22">
        <f t="shared" si="1"/>
        <v>4.1597354956763956E-2</v>
      </c>
      <c r="I22">
        <f t="shared" si="2"/>
        <v>0.24816068763699506</v>
      </c>
      <c r="J22">
        <f>XCP_3D('Données géométriques'!$B$9,'Données géométriques'!$B$10,'Données géométriques'!$B$11,'Données géométriques'!$B$12,I22)</f>
        <v>-0.27284171464393209</v>
      </c>
      <c r="K22">
        <f>ZCP_3D('Données géométriques'!$B$9,'Données géométriques'!$B$10,'Données géométriques'!$B$11)</f>
        <v>-0.37564783319086603</v>
      </c>
      <c r="L22">
        <f>'0.1kts'!L22</f>
        <v>2.10511598E-2</v>
      </c>
    </row>
    <row r="23" spans="1:12" x14ac:dyDescent="0.3">
      <c r="A23">
        <v>9.5</v>
      </c>
      <c r="B23">
        <f t="shared" si="0"/>
        <v>0.16580627893946129</v>
      </c>
      <c r="C23">
        <v>1.0325</v>
      </c>
      <c r="D23">
        <v>1.473E-2</v>
      </c>
      <c r="E23">
        <v>3.8E-3</v>
      </c>
      <c r="F23">
        <f>C23/(1+2/'Données géométriques'!$B$6)</f>
        <v>0.79502499999999998</v>
      </c>
      <c r="G23">
        <f>F23^2/(PI()*'Données géométriques'!$B$6)</f>
        <v>3.0048224371047309E-2</v>
      </c>
      <c r="H23">
        <f t="shared" si="1"/>
        <v>4.4778224371047309E-2</v>
      </c>
      <c r="I23">
        <f t="shared" si="2"/>
        <v>0.24627732383622697</v>
      </c>
      <c r="J23">
        <f>XCP_3D('Données géométriques'!$B$9,'Données géométriques'!$B$10,'Données géométriques'!$B$11,'Données géométriques'!$B$12,I23)</f>
        <v>-0.27237188465225043</v>
      </c>
      <c r="K23">
        <f>ZCP_3D('Données géométriques'!$B$9,'Données géométriques'!$B$10,'Données géométriques'!$B$11)</f>
        <v>-0.37564783319086603</v>
      </c>
      <c r="L23">
        <f>'0.1kts'!L23</f>
        <v>2.0308231975E-2</v>
      </c>
    </row>
    <row r="24" spans="1:12" x14ac:dyDescent="0.3">
      <c r="A24">
        <v>10</v>
      </c>
      <c r="B24">
        <f t="shared" si="0"/>
        <v>0.17453292519943295</v>
      </c>
      <c r="C24">
        <v>1.0764</v>
      </c>
      <c r="D24">
        <v>1.553E-2</v>
      </c>
      <c r="E24">
        <v>5.7000000000000002E-3</v>
      </c>
      <c r="F24">
        <f>C24/(1+2/'Données géométriques'!$B$6)</f>
        <v>0.82882800000000001</v>
      </c>
      <c r="G24">
        <f>F24^2/(PI()*'Données géométriques'!$B$6)</f>
        <v>3.2657735779578388E-2</v>
      </c>
      <c r="H24">
        <f t="shared" si="1"/>
        <v>4.818773577957839E-2</v>
      </c>
      <c r="I24">
        <f t="shared" si="2"/>
        <v>0.24463652492306928</v>
      </c>
      <c r="J24">
        <f>XCP_3D('Données géométriques'!$B$9,'Données géométriques'!$B$10,'Données géométriques'!$B$11,'Données géométriques'!$B$12,I24)</f>
        <v>-0.27196256567765625</v>
      </c>
      <c r="K24">
        <f>ZCP_3D('Données géométriques'!$B$9,'Données géométriques'!$B$10,'Données géométriques'!$B$11)</f>
        <v>-0.37564783319086603</v>
      </c>
      <c r="L24">
        <f>'0.1kts'!L24</f>
        <v>1.9476900000000002E-2</v>
      </c>
    </row>
    <row r="25" spans="1:12" x14ac:dyDescent="0.3">
      <c r="A25">
        <v>10.5</v>
      </c>
      <c r="B25">
        <f t="shared" si="0"/>
        <v>0.18325957145940461</v>
      </c>
      <c r="C25">
        <v>1.1207</v>
      </c>
      <c r="D25">
        <v>1.635E-2</v>
      </c>
      <c r="E25">
        <v>7.4000000000000003E-3</v>
      </c>
      <c r="F25">
        <f>C25/(1+2/'Données géométriques'!$B$6)</f>
        <v>0.86293900000000001</v>
      </c>
      <c r="G25">
        <f>F25^2/(PI()*'Données géométriques'!$B$6)</f>
        <v>3.5401155417911098E-2</v>
      </c>
      <c r="H25">
        <f t="shared" si="1"/>
        <v>5.1751155417911102E-2</v>
      </c>
      <c r="I25">
        <f t="shared" si="2"/>
        <v>0.24330264209187127</v>
      </c>
      <c r="J25">
        <f>XCP_3D('Données géométriques'!$B$9,'Données géométriques'!$B$10,'Données géométriques'!$B$11,'Données géométriques'!$B$12,I25)</f>
        <v>-0.27162981097607836</v>
      </c>
      <c r="K25">
        <f>ZCP_3D('Données géométriques'!$B$9,'Données géométriques'!$B$10,'Données géométriques'!$B$11)</f>
        <v>-0.37564783319086603</v>
      </c>
      <c r="L25">
        <f>'0.1kts'!L25</f>
        <v>1.8552511024999999E-2</v>
      </c>
    </row>
    <row r="26" spans="1:12" x14ac:dyDescent="0.3">
      <c r="A26">
        <v>11</v>
      </c>
      <c r="B26">
        <f t="shared" si="0"/>
        <v>0.19198621771937624</v>
      </c>
      <c r="C26">
        <v>1.1641999999999999</v>
      </c>
      <c r="D26">
        <v>1.7260000000000001E-2</v>
      </c>
      <c r="E26">
        <v>9.1000000000000004E-3</v>
      </c>
      <c r="F26">
        <f>C26/(1+2/'Données géométriques'!$B$6)</f>
        <v>0.89643399999999995</v>
      </c>
      <c r="G26">
        <f>F26^2/(PI()*'Données géométriques'!$B$6)</f>
        <v>3.8202684579383729E-2</v>
      </c>
      <c r="H26">
        <f t="shared" si="1"/>
        <v>5.5462684579383734E-2</v>
      </c>
      <c r="I26">
        <f t="shared" si="2"/>
        <v>0.24206005550808735</v>
      </c>
      <c r="J26">
        <f>XCP_3D('Données géométriques'!$B$9,'Données géométriques'!$B$10,'Données géométriques'!$B$11,'Données géométriques'!$B$12,I26)</f>
        <v>-0.271319831330044</v>
      </c>
      <c r="K26">
        <f>ZCP_3D('Données géométriques'!$B$9,'Données géométriques'!$B$10,'Données géométriques'!$B$11)</f>
        <v>-0.37564783319086603</v>
      </c>
      <c r="L26">
        <f>'0.1kts'!L26</f>
        <v>1.7530412199999998E-2</v>
      </c>
    </row>
    <row r="27" spans="1:12" x14ac:dyDescent="0.3">
      <c r="A27">
        <v>11.5</v>
      </c>
      <c r="B27">
        <f t="shared" si="0"/>
        <v>0.20071286397934787</v>
      </c>
      <c r="C27">
        <v>1.2058</v>
      </c>
      <c r="D27">
        <v>1.831E-2</v>
      </c>
      <c r="E27">
        <v>1.0999999999999999E-2</v>
      </c>
      <c r="F27">
        <f>C27/(1+2/'Données géométriques'!$B$6)</f>
        <v>0.92846600000000001</v>
      </c>
      <c r="G27">
        <f>F27^2/(PI()*'Données géométriques'!$B$6)</f>
        <v>4.0981632254227622E-2</v>
      </c>
      <c r="H27">
        <f t="shared" si="1"/>
        <v>5.9291632254227622E-2</v>
      </c>
      <c r="I27">
        <f t="shared" si="2"/>
        <v>0.24071920770669097</v>
      </c>
      <c r="J27">
        <f>XCP_3D('Données géométriques'!$B$9,'Données géométriques'!$B$10,'Données géométriques'!$B$11,'Données géométriques'!$B$12,I27)</f>
        <v>-0.2709853391245971</v>
      </c>
      <c r="K27">
        <f>ZCP_3D('Données géométriques'!$B$9,'Données géométriques'!$B$10,'Données géométriques'!$B$11)</f>
        <v>-0.37564783319086603</v>
      </c>
      <c r="L27">
        <f>'0.1kts'!L27</f>
        <v>1.6405950674999999E-2</v>
      </c>
    </row>
    <row r="28" spans="1:12" x14ac:dyDescent="0.3">
      <c r="A28">
        <v>12</v>
      </c>
      <c r="B28">
        <f t="shared" si="0"/>
        <v>0.20943951023931953</v>
      </c>
      <c r="C28">
        <v>1.2465999999999999</v>
      </c>
      <c r="D28">
        <v>1.9359999999999999E-2</v>
      </c>
      <c r="E28">
        <v>1.29E-2</v>
      </c>
      <c r="F28">
        <f>C28/(1+2/'Données géométriques'!$B$6)</f>
        <v>0.9598819999999999</v>
      </c>
      <c r="G28">
        <f>F28^2/(PI()*'Données géométriques'!$B$6)</f>
        <v>4.3801898849222295E-2</v>
      </c>
      <c r="H28">
        <f t="shared" si="1"/>
        <v>6.3161898849222298E-2</v>
      </c>
      <c r="I28">
        <f t="shared" si="2"/>
        <v>0.2394554773296303</v>
      </c>
      <c r="J28">
        <f>XCP_3D('Données géométriques'!$B$9,'Données géométriques'!$B$10,'Données géométriques'!$B$11,'Données géométriques'!$B$12,I28)</f>
        <v>-0.27067008487987876</v>
      </c>
      <c r="K28">
        <f>ZCP_3D('Données géométriques'!$B$9,'Données géométriques'!$B$10,'Données géométriques'!$B$11)</f>
        <v>-0.37564783319086603</v>
      </c>
      <c r="L28">
        <f>'0.1kts'!L28</f>
        <v>1.5174473599999998E-2</v>
      </c>
    </row>
    <row r="29" spans="1:12" x14ac:dyDescent="0.3">
      <c r="A29">
        <v>12.5</v>
      </c>
      <c r="B29">
        <f t="shared" si="0"/>
        <v>0.21816615649929119</v>
      </c>
      <c r="C29">
        <v>1.2847</v>
      </c>
      <c r="D29">
        <v>2.053E-2</v>
      </c>
      <c r="E29">
        <v>1.4999999999999999E-2</v>
      </c>
      <c r="F29">
        <f>C29/(1+2/'Données géométriques'!$B$6)</f>
        <v>0.98921899999999996</v>
      </c>
      <c r="G29">
        <f>F29^2/(PI()*'Données géométriques'!$B$6)</f>
        <v>4.6520260830920229E-2</v>
      </c>
      <c r="H29">
        <f t="shared" si="1"/>
        <v>6.7050260830920222E-2</v>
      </c>
      <c r="I29">
        <f t="shared" si="2"/>
        <v>0.23808285737217866</v>
      </c>
      <c r="J29">
        <f>XCP_3D('Données géométriques'!$B$9,'Données géométriques'!$B$10,'Données géométriques'!$B$11,'Données géométriques'!$B$12,I29)</f>
        <v>-0.2703276666901871</v>
      </c>
      <c r="K29">
        <f>ZCP_3D('Données géométriques'!$B$9,'Données géométriques'!$B$10,'Données géométriques'!$B$11)</f>
        <v>-0.37564783319086603</v>
      </c>
      <c r="L29">
        <f>'0.1kts'!L29</f>
        <v>1.3831328124999999E-2</v>
      </c>
    </row>
    <row r="30" spans="1:12" x14ac:dyDescent="0.3">
      <c r="A30">
        <v>13</v>
      </c>
      <c r="B30">
        <f t="shared" si="0"/>
        <v>0.22689280275926285</v>
      </c>
      <c r="C30">
        <v>1.3180000000000001</v>
      </c>
      <c r="D30">
        <v>2.1940000000000001E-2</v>
      </c>
      <c r="E30">
        <v>1.7600000000000001E-2</v>
      </c>
      <c r="F30">
        <f>C30/(1+2/'Données géométriques'!$B$6)</f>
        <v>1.0148600000000001</v>
      </c>
      <c r="G30">
        <f>F30^2/(PI()*'Données géométriques'!$B$6)</f>
        <v>4.8963168418487475E-2</v>
      </c>
      <c r="H30">
        <f t="shared" si="1"/>
        <v>7.0903168418487483E-2</v>
      </c>
      <c r="I30">
        <f t="shared" si="2"/>
        <v>0.23634764814288511</v>
      </c>
      <c r="J30">
        <f>XCP_3D('Données géométriques'!$B$9,'Données géométriques'!$B$10,'Données géométriques'!$B$11,'Données géométriques'!$B$12,I30)</f>
        <v>-0.26989479581445264</v>
      </c>
      <c r="K30">
        <f>ZCP_3D('Données géométriques'!$B$9,'Données géométriques'!$B$10,'Données géométriques'!$B$11)</f>
        <v>-0.37564783319086603</v>
      </c>
      <c r="L30">
        <f>'0.1kts'!L30</f>
        <v>1.23718614E-2</v>
      </c>
    </row>
    <row r="31" spans="1:12" x14ac:dyDescent="0.3">
      <c r="A31">
        <v>13.5</v>
      </c>
      <c r="B31">
        <f t="shared" si="0"/>
        <v>0.23561944901923448</v>
      </c>
      <c r="C31">
        <v>1.3453999999999999</v>
      </c>
      <c r="D31">
        <v>2.3349999999999999E-2</v>
      </c>
      <c r="E31">
        <v>2.1100000000000001E-2</v>
      </c>
      <c r="F31">
        <f>C31/(1+2/'Données géométriques'!$B$6)</f>
        <v>1.0359579999999999</v>
      </c>
      <c r="G31">
        <f>F31^2/(PI()*'Données géométriques'!$B$6)</f>
        <v>5.1020127493247192E-2</v>
      </c>
      <c r="H31">
        <f t="shared" si="1"/>
        <v>7.4370127493247187E-2</v>
      </c>
      <c r="I31">
        <f t="shared" si="2"/>
        <v>0.2339382185039231</v>
      </c>
      <c r="J31">
        <f>XCP_3D('Données géométriques'!$B$9,'Données géométriques'!$B$10,'Données géométriques'!$B$11,'Données géométriques'!$B$12,I31)</f>
        <v>-0.26929373174665822</v>
      </c>
      <c r="K31">
        <f>ZCP_3D('Données géométriques'!$B$9,'Données géométriques'!$B$10,'Données géométriques'!$B$11)</f>
        <v>-0.37564783319086603</v>
      </c>
      <c r="L31">
        <f>'0.1kts'!L31</f>
        <v>1.0791420575E-2</v>
      </c>
    </row>
    <row r="32" spans="1:12" x14ac:dyDescent="0.3">
      <c r="A32">
        <v>14</v>
      </c>
      <c r="B32">
        <f t="shared" si="0"/>
        <v>0.24434609527920614</v>
      </c>
      <c r="C32">
        <v>1.3684000000000001</v>
      </c>
      <c r="D32">
        <v>2.5049999999999999E-2</v>
      </c>
      <c r="E32">
        <v>2.47E-2</v>
      </c>
      <c r="F32">
        <f>C32/(1+2/'Données géométriques'!$B$6)</f>
        <v>1.053668</v>
      </c>
      <c r="G32">
        <f>F32^2/(PI()*'Données géométriques'!$B$6)</f>
        <v>5.2779445577876796E-2</v>
      </c>
      <c r="H32">
        <f t="shared" si="1"/>
        <v>7.7829445577876799E-2</v>
      </c>
      <c r="I32">
        <f t="shared" si="2"/>
        <v>0.23148165940806434</v>
      </c>
      <c r="J32">
        <f>XCP_3D('Données géométriques'!$B$9,'Données géométriques'!$B$10,'Données géométriques'!$B$11,'Données géométriques'!$B$12,I32)</f>
        <v>-0.26868091061295041</v>
      </c>
      <c r="K32">
        <f>ZCP_3D('Données géométriques'!$B$9,'Données géométriques'!$B$10,'Données géométriques'!$B$11)</f>
        <v>-0.37564783319086603</v>
      </c>
      <c r="L32">
        <f>'0.1kts'!L32</f>
        <v>9.0853527999999965E-3</v>
      </c>
    </row>
    <row r="33" spans="1:12" x14ac:dyDescent="0.3">
      <c r="A33">
        <v>14.5</v>
      </c>
      <c r="B33">
        <f t="shared" si="0"/>
        <v>0.2530727415391778</v>
      </c>
      <c r="C33">
        <v>1.3877999999999999</v>
      </c>
      <c r="D33">
        <v>2.717E-2</v>
      </c>
      <c r="E33">
        <v>2.7699999999999999E-2</v>
      </c>
      <c r="F33">
        <f>C33/(1+2/'Données géométriques'!$B$6)</f>
        <v>1.0686059999999999</v>
      </c>
      <c r="G33">
        <f>F33^2/(PI()*'Données géométriques'!$B$6)</f>
        <v>5.4286577092393692E-2</v>
      </c>
      <c r="H33">
        <f t="shared" si="1"/>
        <v>8.1456577092393692E-2</v>
      </c>
      <c r="I33">
        <f t="shared" si="2"/>
        <v>0.22948753068506325</v>
      </c>
      <c r="J33">
        <f>XCP_3D('Données géométriques'!$B$9,'Données géométriques'!$B$10,'Données géométriques'!$B$11,'Données géométriques'!$B$12,I33)</f>
        <v>-0.26818344884748846</v>
      </c>
      <c r="K33">
        <f>ZCP_3D('Données géométriques'!$B$9,'Données géométriques'!$B$10,'Données géométriques'!$B$11)</f>
        <v>-0.37564783319086603</v>
      </c>
      <c r="L33">
        <f>'0.1kts'!L33</f>
        <v>7.2490052249999971E-3</v>
      </c>
    </row>
    <row r="34" spans="1:12" x14ac:dyDescent="0.3">
      <c r="A34">
        <v>15</v>
      </c>
      <c r="B34">
        <f t="shared" si="0"/>
        <v>0.26179938779914941</v>
      </c>
      <c r="C34">
        <v>1.4029</v>
      </c>
      <c r="D34">
        <v>2.989E-2</v>
      </c>
      <c r="E34">
        <v>0.03</v>
      </c>
      <c r="F34">
        <f>C34/(1+2/'Données géométriques'!$B$6)</f>
        <v>1.080233</v>
      </c>
      <c r="G34">
        <f>F34^2/(PI()*'Données géométriques'!$B$6)</f>
        <v>5.5474337357632478E-2</v>
      </c>
      <c r="H34">
        <f t="shared" si="1"/>
        <v>8.5364337357632478E-2</v>
      </c>
      <c r="I34">
        <f t="shared" si="2"/>
        <v>0.22798703858127917</v>
      </c>
      <c r="J34">
        <f>XCP_3D('Données géométriques'!$B$9,'Données géométriques'!$B$10,'Données géométriques'!$B$11,'Données géométriques'!$B$12,I34)</f>
        <v>-0.26780913126086536</v>
      </c>
      <c r="K34">
        <f>ZCP_3D('Données géométriques'!$B$9,'Données géométriques'!$B$10,'Données géométriques'!$B$11)</f>
        <v>-0.37564783319086603</v>
      </c>
      <c r="L34">
        <f>'0.1kts'!L34</f>
        <v>5.2777249999999987E-3</v>
      </c>
    </row>
    <row r="35" spans="1:12" x14ac:dyDescent="0.3">
      <c r="A35">
        <v>15.5</v>
      </c>
      <c r="B35">
        <f t="shared" si="0"/>
        <v>0.27052603405912107</v>
      </c>
      <c r="C35">
        <v>1.4123000000000001</v>
      </c>
      <c r="D35">
        <v>3.3550000000000003E-2</v>
      </c>
      <c r="E35">
        <v>3.1300000000000001E-2</v>
      </c>
      <c r="F35">
        <f>C35/(1+2/'Données géométriques'!$B$6)</f>
        <v>1.0874710000000001</v>
      </c>
      <c r="G35">
        <f>F35^2/(PI()*'Données géométriques'!$B$6)</f>
        <v>5.622022910184777E-2</v>
      </c>
      <c r="H35">
        <f t="shared" si="1"/>
        <v>8.9770229101847773E-2</v>
      </c>
      <c r="I35">
        <f t="shared" si="2"/>
        <v>0.2271516358632632</v>
      </c>
      <c r="J35">
        <f>XCP_3D('Données géométriques'!$B$9,'Données géométriques'!$B$10,'Données géométriques'!$B$11,'Données géométriques'!$B$12,I35)</f>
        <v>-0.26760072901171084</v>
      </c>
      <c r="K35">
        <f>ZCP_3D('Données géométriques'!$B$9,'Données géométriques'!$B$10,'Données géométriques'!$B$11)</f>
        <v>-0.37564783319086603</v>
      </c>
      <c r="L35">
        <f>'0.1kts'!L35</f>
        <v>3.1668592749999986E-3</v>
      </c>
    </row>
    <row r="36" spans="1:12" x14ac:dyDescent="0.3">
      <c r="A36">
        <v>16</v>
      </c>
      <c r="B36">
        <f t="shared" si="0"/>
        <v>0.27925268031909273</v>
      </c>
      <c r="C36">
        <v>1.4132</v>
      </c>
      <c r="D36">
        <v>3.8690000000000002E-2</v>
      </c>
      <c r="E36">
        <v>3.1099999999999999E-2</v>
      </c>
      <c r="F36">
        <f>C36/(1+2/'Données géométriques'!$B$6)</f>
        <v>1.0881639999999999</v>
      </c>
      <c r="G36">
        <f>F36^2/(PI()*'Données géométriques'!$B$6)</f>
        <v>5.6291905556222793E-2</v>
      </c>
      <c r="H36">
        <f t="shared" si="1"/>
        <v>9.4981905556222795E-2</v>
      </c>
      <c r="I36">
        <f t="shared" si="2"/>
        <v>0.22728466988569815</v>
      </c>
      <c r="J36">
        <f>XCP_3D('Données géométriques'!$B$9,'Données géométriques'!$B$10,'Données géométriques'!$B$11,'Données géométriques'!$B$12,I36)</f>
        <v>-0.26763391610685822</v>
      </c>
      <c r="K36">
        <f>ZCP_3D('Données géométriques'!$B$9,'Données géométriques'!$B$10,'Données géométriques'!$B$11)</f>
        <v>-0.37564783319086603</v>
      </c>
      <c r="L36">
        <f>'0.1kts'!L36</f>
        <v>9.1175519999999951E-4</v>
      </c>
    </row>
    <row r="37" spans="1:12" x14ac:dyDescent="0.3">
      <c r="A37">
        <v>16.5</v>
      </c>
      <c r="B37">
        <f t="shared" si="0"/>
        <v>0.28797932657906439</v>
      </c>
      <c r="C37">
        <v>1.4098999999999999</v>
      </c>
      <c r="D37">
        <v>4.5130000000000003E-2</v>
      </c>
      <c r="E37">
        <v>2.92E-2</v>
      </c>
      <c r="F37">
        <f>C37/(1+2/'Données géométriques'!$B$6)</f>
        <v>1.085623</v>
      </c>
      <c r="G37">
        <f>F37^2/(PI()*'Données géométriques'!$B$6)</f>
        <v>5.6029315125997112E-2</v>
      </c>
      <c r="H37">
        <f t="shared" si="1"/>
        <v>0.10115931512599712</v>
      </c>
      <c r="I37">
        <f t="shared" si="2"/>
        <v>0.22860269057486332</v>
      </c>
      <c r="J37">
        <f>XCP_3D('Données géométriques'!$B$9,'Données géométriques'!$B$10,'Données géométriques'!$B$11,'Données géométriques'!$B$12,I37)</f>
        <v>-0.267962713787462</v>
      </c>
      <c r="K37">
        <f>ZCP_3D('Données géométriques'!$B$9,'Données géométriques'!$B$10,'Données géométriques'!$B$11)</f>
        <v>-0.37564783319086603</v>
      </c>
      <c r="L37">
        <f>'0.1kts'!L37</f>
        <v>-1.4922400750000014E-3</v>
      </c>
    </row>
    <row r="38" spans="1:12" x14ac:dyDescent="0.3">
      <c r="A38">
        <v>17</v>
      </c>
      <c r="B38">
        <f t="shared" si="0"/>
        <v>0.29670597283903605</v>
      </c>
      <c r="C38">
        <v>1.3965000000000001</v>
      </c>
      <c r="D38">
        <v>5.3650000000000003E-2</v>
      </c>
      <c r="E38">
        <v>2.5399999999999999E-2</v>
      </c>
      <c r="F38">
        <f>C38/(1+2/'Données géométriques'!$B$6)</f>
        <v>1.0753050000000002</v>
      </c>
      <c r="G38">
        <f>F38^2/(PI()*'Données géométriques'!$B$6)</f>
        <v>5.4969346372825099E-2</v>
      </c>
      <c r="H38">
        <f t="shared" si="1"/>
        <v>0.10861934637282511</v>
      </c>
      <c r="I38">
        <f t="shared" si="2"/>
        <v>0.23120141231629812</v>
      </c>
      <c r="J38">
        <f>XCP_3D('Données géométriques'!$B$9,'Données géométriques'!$B$10,'Données géométriques'!$B$11,'Données géométriques'!$B$12,I38)</f>
        <v>-0.26861099927200932</v>
      </c>
      <c r="K38">
        <f>ZCP_3D('Données géométriques'!$B$9,'Données géométriques'!$B$10,'Données géométriques'!$B$11)</f>
        <v>-0.37564783319086603</v>
      </c>
      <c r="L38">
        <f>'0.1kts'!L38</f>
        <v>-4.0497794000000026E-3</v>
      </c>
    </row>
    <row r="39" spans="1:12" x14ac:dyDescent="0.3">
      <c r="A39">
        <v>17.5</v>
      </c>
      <c r="B39">
        <f t="shared" si="0"/>
        <v>0.30543261909900765</v>
      </c>
      <c r="C39">
        <v>1.3687</v>
      </c>
      <c r="D39">
        <v>6.4930000000000002E-2</v>
      </c>
      <c r="E39">
        <v>1.9699999999999999E-2</v>
      </c>
      <c r="F39">
        <f>C39/(1+2/'Données géométriques'!$B$6)</f>
        <v>1.0538990000000001</v>
      </c>
      <c r="G39">
        <f>F39^2/(PI()*'Données géométriques'!$B$6)</f>
        <v>5.2802590227587168E-2</v>
      </c>
      <c r="H39">
        <f t="shared" si="1"/>
        <v>0.11773259022758717</v>
      </c>
      <c r="I39">
        <f t="shared" si="2"/>
        <v>0.23513069759854305</v>
      </c>
      <c r="J39">
        <f>XCP_3D('Données géométriques'!$B$9,'Données géométriques'!$B$10,'Données géométriques'!$B$11,'Données géométriques'!$B$12,I39)</f>
        <v>-0.26959121141727532</v>
      </c>
      <c r="K39">
        <f>ZCP_3D('Données géométriques'!$B$9,'Données géométriques'!$B$10,'Données géométriques'!$B$11)</f>
        <v>-0.37564783319086603</v>
      </c>
      <c r="L39">
        <f>'0.1kts'!L39</f>
        <v>-6.7655156249999994E-3</v>
      </c>
    </row>
    <row r="40" spans="1:12" x14ac:dyDescent="0.3">
      <c r="A40">
        <v>18</v>
      </c>
      <c r="B40">
        <f t="shared" si="0"/>
        <v>0.31415926535897931</v>
      </c>
      <c r="C40">
        <v>1.3218000000000001</v>
      </c>
      <c r="D40">
        <v>7.9759999999999998E-2</v>
      </c>
      <c r="E40">
        <v>1.21E-2</v>
      </c>
      <c r="F40">
        <f>C40/(1+2/'Données géométriques'!$B$6)</f>
        <v>1.0177860000000001</v>
      </c>
      <c r="G40">
        <f>F40^2/(PI()*'Données géométriques'!$B$6)</f>
        <v>4.9245912363977989E-2</v>
      </c>
      <c r="H40">
        <f t="shared" si="1"/>
        <v>0.12900591236397799</v>
      </c>
      <c r="I40">
        <f t="shared" si="2"/>
        <v>0.24055980878996081</v>
      </c>
      <c r="J40">
        <f>XCP_3D('Données géométriques'!$B$9,'Données géométriques'!$B$10,'Données géométriques'!$B$11,'Données géométriques'!$B$12,I40)</f>
        <v>-0.27094557495811344</v>
      </c>
      <c r="K40">
        <f>ZCP_3D('Données géométriques'!$B$9,'Données géométriques'!$B$10,'Données géométriques'!$B$11)</f>
        <v>-0.37564783319086603</v>
      </c>
      <c r="L40">
        <f>'0.1kts'!L40</f>
        <v>-9.6441016000000015E-3</v>
      </c>
    </row>
    <row r="41" spans="1:12" x14ac:dyDescent="0.3">
      <c r="A41">
        <v>18.5</v>
      </c>
      <c r="B41">
        <f t="shared" si="0"/>
        <v>0.32288591161895097</v>
      </c>
      <c r="C41">
        <v>1.2578</v>
      </c>
      <c r="D41">
        <v>9.8199999999999996E-2</v>
      </c>
      <c r="E41">
        <v>2.5999999999999999E-3</v>
      </c>
      <c r="F41">
        <f>C41/(1+2/'Données géométriques'!$B$6)</f>
        <v>0.96850599999999998</v>
      </c>
      <c r="G41">
        <f>F41^2/(PI()*'Données géométriques'!$B$6)</f>
        <v>4.459250540388237E-2</v>
      </c>
      <c r="H41">
        <f t="shared" si="1"/>
        <v>0.14279250540388236</v>
      </c>
      <c r="I41">
        <f t="shared" si="2"/>
        <v>0.24787574898059953</v>
      </c>
      <c r="J41">
        <f>XCP_3D('Données géométriques'!$B$9,'Données géométriques'!$B$10,'Données géométriques'!$B$11,'Données géométriques'!$B$12,I41)</f>
        <v>-0.27277063293018683</v>
      </c>
      <c r="K41">
        <f>ZCP_3D('Données géométriques'!$B$9,'Données géométriques'!$B$10,'Données géométriques'!$B$11)</f>
        <v>-0.37564783319086603</v>
      </c>
      <c r="L41">
        <f>'0.1kts'!L41</f>
        <v>-1.2690190175000003E-2</v>
      </c>
    </row>
    <row r="42" spans="1:12" x14ac:dyDescent="0.3">
      <c r="A42">
        <v>19</v>
      </c>
      <c r="B42">
        <f t="shared" si="0"/>
        <v>0.33161255787892258</v>
      </c>
      <c r="C42">
        <v>1.1897</v>
      </c>
      <c r="D42">
        <v>0.11831</v>
      </c>
      <c r="E42">
        <v>-7.9000000000000008E-3</v>
      </c>
      <c r="F42">
        <f>C42/(1+2/'Données géométriques'!$B$6)</f>
        <v>0.91606900000000002</v>
      </c>
      <c r="G42">
        <f>F42^2/(PI()*'Données géométriques'!$B$6)</f>
        <v>3.989455416070152E-2</v>
      </c>
      <c r="H42">
        <f t="shared" si="1"/>
        <v>0.1582045541607015</v>
      </c>
      <c r="I42">
        <f t="shared" si="2"/>
        <v>0.2567904335335236</v>
      </c>
      <c r="J42">
        <f>XCP_3D('Données géométriques'!$B$9,'Données géométriques'!$B$10,'Données géométriques'!$B$11,'Données géométriques'!$B$12,I42)</f>
        <v>-0.27499451881332065</v>
      </c>
      <c r="K42">
        <f>ZCP_3D('Données géométriques'!$B$9,'Données géométriques'!$B$10,'Données géométriques'!$B$11)</f>
        <v>-0.37564783319086603</v>
      </c>
      <c r="L42">
        <f>'0.1kts'!L42</f>
        <v>-1.5908434200000002E-2</v>
      </c>
    </row>
    <row r="43" spans="1:12" x14ac:dyDescent="0.3">
      <c r="A43">
        <v>19.5</v>
      </c>
      <c r="B43">
        <f t="shared" si="0"/>
        <v>0.34033920413889424</v>
      </c>
      <c r="C43">
        <v>1.1331</v>
      </c>
      <c r="D43">
        <v>0.13730999999999999</v>
      </c>
      <c r="E43">
        <v>-1.8200000000000001E-2</v>
      </c>
      <c r="F43">
        <f>C43/(1+2/'Données géométriques'!$B$6)</f>
        <v>0.87248700000000001</v>
      </c>
      <c r="G43">
        <f>F43^2/(PI()*'Données géométriques'!$B$6)</f>
        <v>3.6188882456033696E-2</v>
      </c>
      <c r="H43">
        <f t="shared" si="1"/>
        <v>0.17349888245603368</v>
      </c>
      <c r="I43">
        <f t="shared" si="2"/>
        <v>0.26633837172315056</v>
      </c>
      <c r="J43">
        <f>XCP_3D('Données géométriques'!$B$9,'Données géométriques'!$B$10,'Données géométriques'!$B$11,'Données géométriques'!$B$12,I43)</f>
        <v>-0.27737637818556221</v>
      </c>
      <c r="K43">
        <f>ZCP_3D('Données géométriques'!$B$9,'Données géométriques'!$B$10,'Données géométriques'!$B$11)</f>
        <v>-0.37564783319086603</v>
      </c>
      <c r="L43">
        <f>'0.1kts'!L43</f>
        <v>-1.9303486525E-2</v>
      </c>
    </row>
    <row r="44" spans="1:12" x14ac:dyDescent="0.3">
      <c r="A44">
        <v>20</v>
      </c>
      <c r="B44">
        <f t="shared" si="0"/>
        <v>0.3490658503988659</v>
      </c>
      <c r="C44">
        <v>1.0906</v>
      </c>
      <c r="D44">
        <v>0.15461</v>
      </c>
      <c r="E44">
        <v>-2.8000000000000001E-2</v>
      </c>
      <c r="F44">
        <f>C44/(1+2/'Données géométriques'!$B$6)</f>
        <v>0.83976200000000001</v>
      </c>
      <c r="G44">
        <f>F44^2/(PI()*'Données géométriques'!$B$6)</f>
        <v>3.3525068935226832E-2</v>
      </c>
      <c r="H44">
        <f t="shared" si="1"/>
        <v>0.18813506893522683</v>
      </c>
      <c r="I44">
        <f t="shared" si="2"/>
        <v>0.27598105130359352</v>
      </c>
      <c r="J44">
        <f>XCP_3D('Données géométriques'!$B$9,'Données géométriques'!$B$10,'Données géométriques'!$B$11,'Données géométriques'!$B$12,I44)</f>
        <v>-0.27978187204989646</v>
      </c>
      <c r="K44">
        <f>ZCP_3D('Données géométriques'!$B$9,'Données géométriques'!$B$10,'Données géométriques'!$B$11)</f>
        <v>-0.37564783319086603</v>
      </c>
      <c r="L44">
        <f>'0.1kts'!L44</f>
        <v>-2.2879999999999998E-2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6605-9AD9-4C2B-88FD-3009A593BBA7}">
  <sheetPr codeName="Feuil9"/>
  <dimension ref="A1:L43"/>
  <sheetViews>
    <sheetView topLeftCell="A13" workbookViewId="0">
      <selection activeCell="J22" sqref="J22"/>
    </sheetView>
  </sheetViews>
  <sheetFormatPr baseColWidth="10" defaultRowHeight="14.4" x14ac:dyDescent="0.3"/>
  <sheetData>
    <row r="1" spans="1:12" x14ac:dyDescent="0.3">
      <c r="A1">
        <v>4</v>
      </c>
      <c r="C1" s="2">
        <f>A1*'Données géométriques'!B2/'Données géométriques'!G2</f>
        <v>913604.76663356507</v>
      </c>
    </row>
    <row r="2" spans="1:1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27</v>
      </c>
      <c r="K2" t="s">
        <v>28</v>
      </c>
      <c r="L2" t="s">
        <v>12</v>
      </c>
    </row>
    <row r="3" spans="1:12" x14ac:dyDescent="0.3">
      <c r="A3" t="s">
        <v>9</v>
      </c>
      <c r="B3" t="s">
        <v>9</v>
      </c>
      <c r="C3" t="s">
        <v>10</v>
      </c>
      <c r="D3" t="s">
        <v>11</v>
      </c>
      <c r="E3" t="s">
        <v>10</v>
      </c>
      <c r="F3" t="s">
        <v>9</v>
      </c>
      <c r="G3" t="s">
        <v>10</v>
      </c>
      <c r="H3" t="s">
        <v>11</v>
      </c>
      <c r="I3" t="s">
        <v>10</v>
      </c>
      <c r="J3" t="s">
        <v>11</v>
      </c>
      <c r="K3" t="s">
        <v>11</v>
      </c>
      <c r="L3" t="s">
        <v>11</v>
      </c>
    </row>
    <row r="4" spans="1:12" x14ac:dyDescent="0.3">
      <c r="A4">
        <v>0</v>
      </c>
      <c r="B4">
        <f>A4*PI()/180</f>
        <v>0</v>
      </c>
      <c r="C4">
        <v>0</v>
      </c>
      <c r="D4">
        <v>7.0000000000000001E-3</v>
      </c>
      <c r="E4">
        <v>0</v>
      </c>
      <c r="F4">
        <f>C4/(1+2/'Données géométriques'!$B$6)</f>
        <v>0</v>
      </c>
      <c r="G4">
        <f>F4^2/(PI()*'Données géométriques'!$B$6)</f>
        <v>0</v>
      </c>
      <c r="H4">
        <f>D4+G4</f>
        <v>7.0000000000000001E-3</v>
      </c>
      <c r="I4">
        <v>0</v>
      </c>
      <c r="J4">
        <f>XCP_3D('Données géométriques'!$B$9,'Données géométriques'!$B$10,'Données géométriques'!$B$11,'Données géométriques'!$B$12,I4)</f>
        <v>-0.21093475128380432</v>
      </c>
      <c r="K4">
        <f>ZCP_3D('Données géométriques'!$B$9,'Données géométriques'!$B$10,'Données géométriques'!$B$11)</f>
        <v>-0.37564783319086603</v>
      </c>
      <c r="L4">
        <f>'0.1kts'!L4</f>
        <v>2.4610999999999997E-2</v>
      </c>
    </row>
    <row r="5" spans="1:12" x14ac:dyDescent="0.3">
      <c r="A5">
        <v>0.5</v>
      </c>
      <c r="B5">
        <f t="shared" ref="B5:B43" si="0">A5*PI()/180</f>
        <v>8.7266462599716477E-3</v>
      </c>
      <c r="C5">
        <v>5.4800000000000001E-2</v>
      </c>
      <c r="D5">
        <v>7.0200000000000002E-3</v>
      </c>
      <c r="E5">
        <v>2.9999999999999997E-4</v>
      </c>
      <c r="F5">
        <f>C5/(1+2/'Données géométriques'!$B$6)</f>
        <v>4.2196000000000004E-2</v>
      </c>
      <c r="G5">
        <f>F5^2/(PI()*'Données géométriques'!$B$6)</f>
        <v>8.4644707739605594E-5</v>
      </c>
      <c r="H5">
        <f>D5+G5</f>
        <v>7.1046447077396059E-3</v>
      </c>
      <c r="I5">
        <f>0.25-E5/(C5*COS(B5)+D5*SIN(B5))</f>
        <v>0.24453145244508656</v>
      </c>
      <c r="J5">
        <f>XCP_3D('Données géométriques'!$B$9,'Données géométriques'!$B$10,'Données géométriques'!$B$11,'Données géométriques'!$B$12,I5)</f>
        <v>-0.27193635395932897</v>
      </c>
      <c r="K5">
        <f>ZCP_3D('Données géométriques'!$B$9,'Données géométriques'!$B$10,'Données géométriques'!$B$11)</f>
        <v>-0.37564783319086603</v>
      </c>
      <c r="L5">
        <f>'0.1kts'!L5</f>
        <v>2.4663709524999997E-2</v>
      </c>
    </row>
    <row r="6" spans="1:12" x14ac:dyDescent="0.3">
      <c r="A6">
        <v>1</v>
      </c>
      <c r="B6">
        <f t="shared" si="0"/>
        <v>1.7453292519943295E-2</v>
      </c>
      <c r="C6">
        <v>0.1095</v>
      </c>
      <c r="D6">
        <v>7.0699999999999999E-3</v>
      </c>
      <c r="E6">
        <v>5.0000000000000001E-4</v>
      </c>
      <c r="F6">
        <f>C6/(1+2/'Données géométriques'!$B$6)</f>
        <v>8.4315000000000001E-2</v>
      </c>
      <c r="G6">
        <f>F6^2/(PI()*'Données géométriques'!$B$6)</f>
        <v>3.3796126823978565E-4</v>
      </c>
      <c r="H6">
        <f t="shared" ref="H6:H43" si="1">D6+G6</f>
        <v>7.4079612682397857E-3</v>
      </c>
      <c r="I6">
        <f t="shared" ref="I6:I43" si="2">0.25-E6/(C6*COS(B6)+D6*SIN(B6))</f>
        <v>0.24543823553475058</v>
      </c>
      <c r="J6">
        <f>XCP_3D('Données géométriques'!$B$9,'Données géométriques'!$B$10,'Données géométriques'!$B$11,'Données géométriques'!$B$12,I6)</f>
        <v>-0.27216256298559177</v>
      </c>
      <c r="K6">
        <f>ZCP_3D('Données géométriques'!$B$9,'Données géométriques'!$B$10,'Données géométriques'!$B$11)</f>
        <v>-0.37564783319086603</v>
      </c>
      <c r="L6">
        <f>'0.1kts'!L6</f>
        <v>2.4711766199999999E-2</v>
      </c>
    </row>
    <row r="7" spans="1:12" x14ac:dyDescent="0.3">
      <c r="A7">
        <v>1.5</v>
      </c>
      <c r="B7">
        <f t="shared" si="0"/>
        <v>2.6179938779914941E-2</v>
      </c>
      <c r="C7">
        <v>0.16389999999999999</v>
      </c>
      <c r="D7">
        <v>7.1700000000000002E-3</v>
      </c>
      <c r="E7">
        <v>8.9999999999999998E-4</v>
      </c>
      <c r="F7">
        <f>C7/(1+2/'Données géométriques'!$B$6)</f>
        <v>0.12620299999999998</v>
      </c>
      <c r="G7">
        <f>F7^2/(PI()*'Données géométriques'!$B$6)</f>
        <v>7.5717558187624859E-4</v>
      </c>
      <c r="H7">
        <f t="shared" si="1"/>
        <v>7.9271755818762484E-3</v>
      </c>
      <c r="I7">
        <f t="shared" si="2"/>
        <v>0.24451324979186312</v>
      </c>
      <c r="J7">
        <f>XCP_3D('Données géométriques'!$B$9,'Données géométriques'!$B$10,'Données géométriques'!$B$11,'Données géométriques'!$B$12,I7)</f>
        <v>-0.27193181306690645</v>
      </c>
      <c r="K7">
        <f>ZCP_3D('Données géométriques'!$B$9,'Données géométriques'!$B$10,'Données géométriques'!$B$11)</f>
        <v>-0.37564783319086603</v>
      </c>
      <c r="L7">
        <f>'0.1kts'!L7</f>
        <v>2.4750517175E-2</v>
      </c>
    </row>
    <row r="8" spans="1:12" x14ac:dyDescent="0.3">
      <c r="A8">
        <v>2</v>
      </c>
      <c r="B8">
        <f t="shared" si="0"/>
        <v>3.4906585039886591E-2</v>
      </c>
      <c r="C8">
        <v>0.21809999999999999</v>
      </c>
      <c r="D8">
        <v>7.3200000000000001E-3</v>
      </c>
      <c r="E8">
        <v>1.1999999999999999E-3</v>
      </c>
      <c r="F8">
        <f>C8/(1+2/'Données géométriques'!$B$6)</f>
        <v>0.167937</v>
      </c>
      <c r="G8">
        <f>F8^2/(PI()*'Données géométriques'!$B$6)</f>
        <v>1.3407568485006994E-3</v>
      </c>
      <c r="H8">
        <f t="shared" si="1"/>
        <v>8.6607568485006989E-3</v>
      </c>
      <c r="I8">
        <f t="shared" si="2"/>
        <v>0.24450102794249637</v>
      </c>
      <c r="J8">
        <f>XCP_3D('Données géométriques'!$B$9,'Données géométriques'!$B$10,'Données géométriques'!$B$11,'Données géométriques'!$B$12,I8)</f>
        <v>-0.27192876416504858</v>
      </c>
      <c r="K8">
        <f>ZCP_3D('Données géométriques'!$B$9,'Données géométriques'!$B$10,'Données géométriques'!$B$11)</f>
        <v>-0.37564783319086603</v>
      </c>
      <c r="L8">
        <f>'0.1kts'!L8</f>
        <v>2.47753096E-2</v>
      </c>
    </row>
    <row r="9" spans="1:12" x14ac:dyDescent="0.3">
      <c r="A9">
        <v>2.5</v>
      </c>
      <c r="B9">
        <f t="shared" si="0"/>
        <v>4.3633231299858237E-2</v>
      </c>
      <c r="C9">
        <v>0.27200000000000002</v>
      </c>
      <c r="D9">
        <v>7.4999999999999997E-3</v>
      </c>
      <c r="E9">
        <v>1.6999999999999999E-3</v>
      </c>
      <c r="F9">
        <f>C9/(1+2/'Données géométriques'!$B$6)</f>
        <v>0.20944000000000002</v>
      </c>
      <c r="G9">
        <f>F9^2/(PI()*'Données géométriques'!$B$6)</f>
        <v>2.0853382097497804E-3</v>
      </c>
      <c r="H9">
        <f t="shared" si="1"/>
        <v>9.5853382097497806E-3</v>
      </c>
      <c r="I9">
        <f t="shared" si="2"/>
        <v>0.24375156811922596</v>
      </c>
      <c r="J9">
        <f>XCP_3D('Données géométriques'!$B$9,'Données géométriques'!$B$10,'Données géométriques'!$B$11,'Données géométriques'!$B$12,I9)</f>
        <v>-0.27174180150685845</v>
      </c>
      <c r="K9">
        <f>ZCP_3D('Données géométriques'!$B$9,'Données géométriques'!$B$10,'Données géométriques'!$B$11)</f>
        <v>-0.37564783319086603</v>
      </c>
      <c r="L9">
        <f>'0.1kts'!L9</f>
        <v>2.4781490624999996E-2</v>
      </c>
    </row>
    <row r="10" spans="1:12" x14ac:dyDescent="0.3">
      <c r="A10">
        <v>3</v>
      </c>
      <c r="B10">
        <f t="shared" si="0"/>
        <v>5.2359877559829883E-2</v>
      </c>
      <c r="C10">
        <v>0.32529999999999998</v>
      </c>
      <c r="D10">
        <v>7.7299999999999999E-3</v>
      </c>
      <c r="E10">
        <v>2.2000000000000001E-3</v>
      </c>
      <c r="F10">
        <f>C10/(1+2/'Données géométriques'!$B$6)</f>
        <v>0.25048100000000001</v>
      </c>
      <c r="G10">
        <f>F10^2/(PI()*'Données géométriques'!$B$6)</f>
        <v>2.9826810801816691E-3</v>
      </c>
      <c r="H10">
        <f t="shared" si="1"/>
        <v>1.0712681080181669E-2</v>
      </c>
      <c r="I10">
        <f t="shared" si="2"/>
        <v>0.2432361541801959</v>
      </c>
      <c r="J10">
        <f>XCP_3D('Données géométriques'!$B$9,'Données géométriques'!$B$10,'Données géométriques'!$B$11,'Données géométriques'!$B$12,I10)</f>
        <v>-0.27161322468777149</v>
      </c>
      <c r="K10">
        <f>ZCP_3D('Données géométriques'!$B$9,'Données géométriques'!$B$10,'Données géométriques'!$B$11)</f>
        <v>-0.37564783319086603</v>
      </c>
      <c r="L10">
        <f>'0.1kts'!L10</f>
        <v>2.4764407400000001E-2</v>
      </c>
    </row>
    <row r="11" spans="1:12" x14ac:dyDescent="0.3">
      <c r="A11">
        <v>3.5</v>
      </c>
      <c r="B11">
        <f t="shared" si="0"/>
        <v>6.1086523819801536E-2</v>
      </c>
      <c r="C11">
        <v>0.37840000000000001</v>
      </c>
      <c r="D11">
        <v>8.0199999999999994E-3</v>
      </c>
      <c r="E11">
        <v>2.8999999999999998E-3</v>
      </c>
      <c r="F11">
        <f>C11/(1+2/'Données géométriques'!$B$6)</f>
        <v>0.29136800000000002</v>
      </c>
      <c r="G11">
        <f>F11^2/(PI()*'Données géométriques'!$B$6)</f>
        <v>4.0359051239542264E-3</v>
      </c>
      <c r="H11">
        <f t="shared" si="1"/>
        <v>1.2055905123954226E-2</v>
      </c>
      <c r="I11">
        <f t="shared" si="2"/>
        <v>0.24233177129860092</v>
      </c>
      <c r="J11">
        <f>XCP_3D('Données géométriques'!$B$9,'Données géométriques'!$B$10,'Données géométriques'!$B$11,'Données géométriques'!$B$12,I11)</f>
        <v>-0.27138761442513204</v>
      </c>
      <c r="K11">
        <f>ZCP_3D('Données géométriques'!$B$9,'Données géométriques'!$B$10,'Données géométriques'!$B$11)</f>
        <v>-0.37564783319086603</v>
      </c>
      <c r="L11">
        <f>'0.1kts'!L11</f>
        <v>2.4719407074999998E-2</v>
      </c>
    </row>
    <row r="12" spans="1:12" x14ac:dyDescent="0.3">
      <c r="A12">
        <v>4</v>
      </c>
      <c r="B12">
        <f t="shared" si="0"/>
        <v>6.9813170079773182E-2</v>
      </c>
      <c r="C12">
        <v>0.43099999999999999</v>
      </c>
      <c r="D12">
        <v>8.3300000000000006E-3</v>
      </c>
      <c r="E12">
        <v>3.7000000000000002E-3</v>
      </c>
      <c r="F12">
        <f>C12/(1+2/'Données géométriques'!$B$6)</f>
        <v>0.33187</v>
      </c>
      <c r="G12">
        <f>F12^2/(PI()*'Données géométriques'!$B$6)</f>
        <v>5.2359227830521314E-3</v>
      </c>
      <c r="H12">
        <f t="shared" si="1"/>
        <v>1.3565922783052131E-2</v>
      </c>
      <c r="I12">
        <f t="shared" si="2"/>
        <v>0.24140596501042391</v>
      </c>
      <c r="J12">
        <f>XCP_3D('Données géométriques'!$B$9,'Données géométriques'!$B$10,'Données géométriques'!$B$11,'Données géométriques'!$B$12,I12)</f>
        <v>-0.27115665981057863</v>
      </c>
      <c r="K12">
        <f>ZCP_3D('Données géométriques'!$B$9,'Données géométriques'!$B$10,'Données géométriques'!$B$11)</f>
        <v>-0.37564783319086603</v>
      </c>
      <c r="L12">
        <f>'0.1kts'!L12</f>
        <v>2.4641836800000001E-2</v>
      </c>
    </row>
    <row r="13" spans="1:12" x14ac:dyDescent="0.3">
      <c r="A13">
        <v>4.5</v>
      </c>
      <c r="B13">
        <f t="shared" si="0"/>
        <v>7.8539816339744828E-2</v>
      </c>
      <c r="C13">
        <v>0.48330000000000001</v>
      </c>
      <c r="D13">
        <v>8.6999999999999994E-3</v>
      </c>
      <c r="E13">
        <v>4.4999999999999997E-3</v>
      </c>
      <c r="F13">
        <f>C13/(1+2/'Données géométriques'!$B$6)</f>
        <v>0.372141</v>
      </c>
      <c r="G13">
        <f>F13^2/(PI()*'Données géométriques'!$B$6)</f>
        <v>6.5837341088335428E-3</v>
      </c>
      <c r="H13">
        <f t="shared" si="1"/>
        <v>1.5283734108833543E-2</v>
      </c>
      <c r="I13">
        <f t="shared" si="2"/>
        <v>0.24067343482563661</v>
      </c>
      <c r="J13">
        <f>XCP_3D('Données géométriques'!$B$9,'Données géométriques'!$B$10,'Données géométriques'!$B$11,'Données géométriques'!$B$12,I13)</f>
        <v>-0.27097392047445773</v>
      </c>
      <c r="K13">
        <f>ZCP_3D('Données géométriques'!$B$9,'Données géométriques'!$B$10,'Données géométriques'!$B$11)</f>
        <v>-0.37564783319086603</v>
      </c>
      <c r="L13">
        <f>'0.1kts'!L13</f>
        <v>2.4527043724999999E-2</v>
      </c>
    </row>
    <row r="14" spans="1:12" x14ac:dyDescent="0.3">
      <c r="A14">
        <v>5</v>
      </c>
      <c r="B14">
        <f t="shared" si="0"/>
        <v>8.7266462599716474E-2</v>
      </c>
      <c r="C14">
        <v>0.53600000000000003</v>
      </c>
      <c r="D14">
        <v>9.1000000000000004E-3</v>
      </c>
      <c r="E14">
        <v>5.3E-3</v>
      </c>
      <c r="F14">
        <f>C14/(1+2/'Données géométriques'!$B$6)</f>
        <v>0.41272000000000003</v>
      </c>
      <c r="G14">
        <f>F14^2/(PI()*'Données géométriques'!$B$6)</f>
        <v>8.0978228577567157E-3</v>
      </c>
      <c r="H14">
        <f t="shared" si="1"/>
        <v>1.7197822857756714E-2</v>
      </c>
      <c r="I14">
        <f t="shared" si="2"/>
        <v>0.24008889096854028</v>
      </c>
      <c r="J14">
        <f>XCP_3D('Données géométriques'!$B$9,'Données géométriques'!$B$10,'Données géométriques'!$B$11,'Données géométriques'!$B$12,I14)</f>
        <v>-0.27082809828365001</v>
      </c>
      <c r="K14">
        <f>ZCP_3D('Données géométriques'!$B$9,'Données géométriques'!$B$10,'Données géométriques'!$B$11)</f>
        <v>-0.37564783319086603</v>
      </c>
      <c r="L14">
        <f>'0.1kts'!L14</f>
        <v>2.4370375E-2</v>
      </c>
    </row>
    <row r="15" spans="1:12" x14ac:dyDescent="0.3">
      <c r="A15">
        <v>5.5</v>
      </c>
      <c r="B15">
        <f t="shared" si="0"/>
        <v>9.599310885968812E-2</v>
      </c>
      <c r="C15">
        <v>0.59040000000000004</v>
      </c>
      <c r="D15">
        <v>9.5499999999999995E-3</v>
      </c>
      <c r="E15">
        <v>5.5999999999999999E-3</v>
      </c>
      <c r="F15">
        <f>C15/(1+2/'Données géométriques'!$B$6)</f>
        <v>0.45460800000000001</v>
      </c>
      <c r="G15">
        <f>F15^2/(PI()*'Données géométriques'!$B$6)</f>
        <v>9.8249735632435931E-3</v>
      </c>
      <c r="H15">
        <f t="shared" si="1"/>
        <v>1.9374973563243594E-2</v>
      </c>
      <c r="I15">
        <f t="shared" si="2"/>
        <v>0.24048585416971022</v>
      </c>
      <c r="J15">
        <f>XCP_3D('Données géométriques'!$B$9,'Données géométriques'!$B$10,'Données géométriques'!$B$11,'Données géométriques'!$B$12,I15)</f>
        <v>-0.27092712600066698</v>
      </c>
      <c r="K15">
        <f>ZCP_3D('Données géométriques'!$B$9,'Données géométriques'!$B$10,'Données géométriques'!$B$11)</f>
        <v>-0.37564783319086603</v>
      </c>
      <c r="L15">
        <f>'0.1kts'!L15</f>
        <v>2.4167177775E-2</v>
      </c>
    </row>
    <row r="16" spans="1:12" x14ac:dyDescent="0.3">
      <c r="A16">
        <v>6</v>
      </c>
      <c r="B16">
        <f t="shared" si="0"/>
        <v>0.10471975511965977</v>
      </c>
      <c r="C16">
        <v>0.64759999999999995</v>
      </c>
      <c r="D16">
        <v>1.004E-2</v>
      </c>
      <c r="E16">
        <v>5.3E-3</v>
      </c>
      <c r="F16">
        <f>C16/(1+2/'Données géométriques'!$B$6)</f>
        <v>0.49865199999999998</v>
      </c>
      <c r="G16">
        <f>F16^2/(PI()*'Données géométriques'!$B$6)</f>
        <v>1.182094979932081E-2</v>
      </c>
      <c r="H16">
        <f t="shared" si="1"/>
        <v>2.1860949799320809E-2</v>
      </c>
      <c r="I16">
        <f t="shared" si="2"/>
        <v>0.24178424300079204</v>
      </c>
      <c r="J16">
        <f>XCP_3D('Données géométriques'!$B$9,'Données géométriques'!$B$10,'Données géométriques'!$B$11,'Données géométriques'!$B$12,I16)</f>
        <v>-0.27125102625480629</v>
      </c>
      <c r="K16">
        <f>ZCP_3D('Données géométriques'!$B$9,'Données géométriques'!$B$10,'Données géométriques'!$B$11)</f>
        <v>-0.37564783319086603</v>
      </c>
      <c r="L16">
        <f>'0.1kts'!L16</f>
        <v>2.3912799200000001E-2</v>
      </c>
    </row>
    <row r="17" spans="1:12" x14ac:dyDescent="0.3">
      <c r="A17">
        <v>6.5</v>
      </c>
      <c r="B17">
        <f t="shared" si="0"/>
        <v>0.11344640137963143</v>
      </c>
      <c r="C17">
        <v>0.7077</v>
      </c>
      <c r="D17">
        <v>1.057E-2</v>
      </c>
      <c r="E17">
        <v>4.1999999999999997E-3</v>
      </c>
      <c r="F17">
        <f>C17/(1+2/'Données géométriques'!$B$6)</f>
        <v>0.544929</v>
      </c>
      <c r="G17">
        <f>F17^2/(PI()*'Données géométriques'!$B$6)</f>
        <v>1.4116826724439755E-2</v>
      </c>
      <c r="H17">
        <f t="shared" si="1"/>
        <v>2.4686826724439753E-2</v>
      </c>
      <c r="I17">
        <f t="shared" si="2"/>
        <v>0.24403703309313532</v>
      </c>
      <c r="J17">
        <f>XCP_3D('Données géométriques'!$B$9,'Données géométriques'!$B$10,'Données géométriques'!$B$11,'Données géométriques'!$B$12,I17)</f>
        <v>-0.27181301451746281</v>
      </c>
      <c r="K17">
        <f>ZCP_3D('Données géométriques'!$B$9,'Données géométriques'!$B$10,'Données géométriques'!$B$11)</f>
        <v>-0.37564783319086603</v>
      </c>
      <c r="L17">
        <f>'0.1kts'!L17</f>
        <v>2.3602586424999999E-2</v>
      </c>
    </row>
    <row r="18" spans="1:12" x14ac:dyDescent="0.3">
      <c r="A18">
        <v>7</v>
      </c>
      <c r="B18">
        <f t="shared" si="0"/>
        <v>0.12217304763960307</v>
      </c>
      <c r="C18">
        <v>0.76870000000000005</v>
      </c>
      <c r="D18">
        <v>1.112E-2</v>
      </c>
      <c r="E18">
        <v>2.8E-3</v>
      </c>
      <c r="F18">
        <f>C18/(1+2/'Données géométriques'!$B$6)</f>
        <v>0.59189900000000006</v>
      </c>
      <c r="G18">
        <f>F18^2/(PI()*'Données géométriques'!$B$6)</f>
        <v>1.6655299817342945E-2</v>
      </c>
      <c r="H18">
        <f t="shared" si="1"/>
        <v>2.7775299817342947E-2</v>
      </c>
      <c r="I18">
        <f t="shared" si="2"/>
        <v>0.2463366388854718</v>
      </c>
      <c r="J18">
        <f>XCP_3D('Données géométriques'!$B$9,'Données géométriques'!$B$10,'Données géométriques'!$B$11,'Données géométriques'!$B$12,I18)</f>
        <v>-0.27238668157522455</v>
      </c>
      <c r="K18">
        <f>ZCP_3D('Données géométriques'!$B$9,'Données géométriques'!$B$10,'Données géométriques'!$B$11)</f>
        <v>-0.37564783319086603</v>
      </c>
      <c r="L18">
        <f>'0.1kts'!L18</f>
        <v>2.3231886599999998E-2</v>
      </c>
    </row>
    <row r="19" spans="1:12" x14ac:dyDescent="0.3">
      <c r="A19">
        <v>7.5</v>
      </c>
      <c r="B19">
        <f t="shared" si="0"/>
        <v>0.1308996938995747</v>
      </c>
      <c r="C19">
        <v>0.82979999999999998</v>
      </c>
      <c r="D19">
        <v>1.17E-2</v>
      </c>
      <c r="E19">
        <v>1.4E-3</v>
      </c>
      <c r="F19">
        <f>C19/(1+2/'Données géométriques'!$B$6)</f>
        <v>0.63894600000000001</v>
      </c>
      <c r="G19">
        <f>F19^2/(PI()*'Données géométriques'!$B$6)</f>
        <v>1.9408213178856441E-2</v>
      </c>
      <c r="H19">
        <f t="shared" si="1"/>
        <v>3.1108213178856439E-2</v>
      </c>
      <c r="I19">
        <f t="shared" si="2"/>
        <v>0.24830144107451002</v>
      </c>
      <c r="J19">
        <f>XCP_3D('Données géométriques'!$B$9,'Données géométriques'!$B$10,'Données géométriques'!$B$11,'Données géométriques'!$B$12,I19)</f>
        <v>-0.27287682744919478</v>
      </c>
      <c r="K19">
        <f>ZCP_3D('Données géométriques'!$B$9,'Données géométriques'!$B$10,'Données géométriques'!$B$11)</f>
        <v>-0.37564783319086603</v>
      </c>
      <c r="L19">
        <f>'0.1kts'!L19</f>
        <v>2.2796046875E-2</v>
      </c>
    </row>
    <row r="20" spans="1:12" x14ac:dyDescent="0.3">
      <c r="A20">
        <v>8.5</v>
      </c>
      <c r="B20">
        <f t="shared" si="0"/>
        <v>0.14835298641951802</v>
      </c>
      <c r="C20">
        <v>0.94969999999999999</v>
      </c>
      <c r="D20">
        <v>1.294E-2</v>
      </c>
      <c r="E20">
        <v>-1.1999999999999999E-3</v>
      </c>
      <c r="F20">
        <f>C20/(1+2/'Données géométriques'!$B$6)</f>
        <v>0.73126899999999995</v>
      </c>
      <c r="G20">
        <f>F20^2/(PI()*'Données géométriques'!$B$6)</f>
        <v>2.5422108553201473E-2</v>
      </c>
      <c r="H20">
        <f t="shared" si="1"/>
        <v>3.8362108553201477E-2</v>
      </c>
      <c r="I20">
        <f t="shared" si="2"/>
        <v>0.25127499383806218</v>
      </c>
      <c r="J20">
        <f>XCP_3D('Données géométriques'!$B$9,'Données géométriques'!$B$10,'Données géométriques'!$B$11,'Données géométriques'!$B$12,I20)</f>
        <v>-0.27361861948618371</v>
      </c>
      <c r="K20">
        <f>ZCP_3D('Données géométriques'!$B$9,'Données géométriques'!$B$10,'Données géométriques'!$B$11)</f>
        <v>-0.37564783319086603</v>
      </c>
      <c r="L20">
        <f>'0.1kts'!L20</f>
        <v>2.22904144E-2</v>
      </c>
    </row>
    <row r="21" spans="1:12" x14ac:dyDescent="0.3">
      <c r="A21">
        <v>9</v>
      </c>
      <c r="B21">
        <f t="shared" si="0"/>
        <v>0.15707963267948966</v>
      </c>
      <c r="C21">
        <v>0.9929</v>
      </c>
      <c r="D21">
        <v>1.358E-2</v>
      </c>
      <c r="E21">
        <v>1E-3</v>
      </c>
      <c r="F21">
        <f>C21/(1+2/'Données géométriques'!$B$6)</f>
        <v>0.76453300000000002</v>
      </c>
      <c r="G21">
        <f>F21^2/(PI()*'Données géométriques'!$B$6)</f>
        <v>2.778751526100896E-2</v>
      </c>
      <c r="H21">
        <f t="shared" si="1"/>
        <v>4.1367515261008958E-2</v>
      </c>
      <c r="I21">
        <f t="shared" si="2"/>
        <v>0.24898249912062168</v>
      </c>
      <c r="J21">
        <f>XCP_3D('Données géométriques'!$B$9,'Données géométriques'!$B$10,'Données géométriques'!$B$11,'Données géométriques'!$B$12,I21)</f>
        <v>-0.27304672638003757</v>
      </c>
      <c r="K21">
        <f>ZCP_3D('Données géométriques'!$B$9,'Données géométriques'!$B$10,'Données géométriques'!$B$11)</f>
        <v>-0.37564783319086603</v>
      </c>
      <c r="L21">
        <f>'0.1kts'!L21</f>
        <v>2.1710336324999999E-2</v>
      </c>
    </row>
    <row r="22" spans="1:12" x14ac:dyDescent="0.3">
      <c r="A22">
        <v>9.5</v>
      </c>
      <c r="B22">
        <f t="shared" si="0"/>
        <v>0.16580627893946129</v>
      </c>
      <c r="C22">
        <v>1.0367</v>
      </c>
      <c r="D22">
        <v>1.423E-2</v>
      </c>
      <c r="E22">
        <v>3.0999999999999999E-3</v>
      </c>
      <c r="F22">
        <f>C22/(1+2/'Données géométriques'!$B$6)</f>
        <v>0.79825899999999994</v>
      </c>
      <c r="G22">
        <f>F22^2/(PI()*'Données géométriques'!$B$6)</f>
        <v>3.0293181708568657E-2</v>
      </c>
      <c r="H22">
        <f t="shared" si="1"/>
        <v>4.4523181708568657E-2</v>
      </c>
      <c r="I22">
        <f t="shared" si="2"/>
        <v>0.24697511075426939</v>
      </c>
      <c r="J22">
        <f>XCP_3D('Données géométriques'!$B$9,'Données géométriques'!$B$10,'Données géométriques'!$B$11,'Données géométriques'!$B$12,I22)</f>
        <v>-0.2725459568212949</v>
      </c>
      <c r="K22">
        <f>ZCP_3D('Données géométriques'!$B$9,'Données géométriques'!$B$10,'Données géométriques'!$B$11)</f>
        <v>-0.37564783319086603</v>
      </c>
      <c r="L22">
        <f>'0.1kts'!L22</f>
        <v>2.10511598E-2</v>
      </c>
    </row>
    <row r="23" spans="1:12" x14ac:dyDescent="0.3">
      <c r="A23">
        <v>10</v>
      </c>
      <c r="B23">
        <f t="shared" si="0"/>
        <v>0.17453292519943295</v>
      </c>
      <c r="C23">
        <v>1.0809</v>
      </c>
      <c r="D23">
        <v>1.498E-2</v>
      </c>
      <c r="E23">
        <v>5.0000000000000001E-3</v>
      </c>
      <c r="F23">
        <f>C23/(1+2/'Données géométriques'!$B$6)</f>
        <v>0.83229299999999995</v>
      </c>
      <c r="G23">
        <f>F23^2/(PI()*'Données géométriques'!$B$6)</f>
        <v>3.293136454443997E-2</v>
      </c>
      <c r="H23">
        <f t="shared" si="1"/>
        <v>4.791136454443997E-2</v>
      </c>
      <c r="I23">
        <f t="shared" si="2"/>
        <v>0.24531431548281177</v>
      </c>
      <c r="J23">
        <f>XCP_3D('Données géométriques'!$B$9,'Données géométriques'!$B$10,'Données géométriques'!$B$11,'Données géométriques'!$B$12,I23)</f>
        <v>-0.27213164949083885</v>
      </c>
      <c r="K23">
        <f>ZCP_3D('Données géométriques'!$B$9,'Données géométriques'!$B$10,'Données géométriques'!$B$11)</f>
        <v>-0.37564783319086603</v>
      </c>
      <c r="L23">
        <f>'0.1kts'!L23</f>
        <v>2.0308231975E-2</v>
      </c>
    </row>
    <row r="24" spans="1:12" x14ac:dyDescent="0.3">
      <c r="A24">
        <v>10.5</v>
      </c>
      <c r="B24">
        <f t="shared" si="0"/>
        <v>0.18325957145940461</v>
      </c>
      <c r="C24">
        <v>1.1256999999999999</v>
      </c>
      <c r="D24">
        <v>1.576E-2</v>
      </c>
      <c r="E24">
        <v>6.7000000000000002E-3</v>
      </c>
      <c r="F24">
        <f>C24/(1+2/'Données géométriques'!$B$6)</f>
        <v>0.86678899999999992</v>
      </c>
      <c r="G24">
        <f>F24^2/(PI()*'Données géométriques'!$B$6)</f>
        <v>3.5717744393526214E-2</v>
      </c>
      <c r="H24">
        <f t="shared" si="1"/>
        <v>5.1477744393526217E-2</v>
      </c>
      <c r="I24">
        <f t="shared" si="2"/>
        <v>0.24396245229977653</v>
      </c>
      <c r="J24">
        <f>XCP_3D('Données géométriques'!$B$9,'Données géométriques'!$B$10,'Données géométriques'!$B$11,'Données géométriques'!$B$12,I24)</f>
        <v>-0.27179440935285926</v>
      </c>
      <c r="K24">
        <f>ZCP_3D('Données géométriques'!$B$9,'Données géométriques'!$B$10,'Données géométriques'!$B$11)</f>
        <v>-0.37564783319086603</v>
      </c>
      <c r="L24">
        <f>'0.1kts'!L24</f>
        <v>1.9476900000000002E-2</v>
      </c>
    </row>
    <row r="25" spans="1:12" x14ac:dyDescent="0.3">
      <c r="A25">
        <v>11</v>
      </c>
      <c r="B25">
        <f t="shared" si="0"/>
        <v>0.19198621771937624</v>
      </c>
      <c r="C25">
        <v>1.1692</v>
      </c>
      <c r="D25">
        <v>1.668E-2</v>
      </c>
      <c r="E25">
        <v>8.3999999999999995E-3</v>
      </c>
      <c r="F25">
        <f>C25/(1+2/'Données géométriques'!$B$6)</f>
        <v>0.90028399999999997</v>
      </c>
      <c r="G25">
        <f>F25^2/(PI()*'Données géométriques'!$B$6)</f>
        <v>3.8531534613082244E-2</v>
      </c>
      <c r="H25">
        <f t="shared" si="1"/>
        <v>5.5211534613082244E-2</v>
      </c>
      <c r="I25">
        <f t="shared" si="2"/>
        <v>0.24270137174033046</v>
      </c>
      <c r="J25">
        <f>XCP_3D('Données géométriques'!$B$9,'Données géométriques'!$B$10,'Données géométriques'!$B$11,'Données géométriques'!$B$12,I25)</f>
        <v>-0.27147981614016559</v>
      </c>
      <c r="K25">
        <f>ZCP_3D('Données géométriques'!$B$9,'Données géométriques'!$B$10,'Données géométriques'!$B$11)</f>
        <v>-0.37564783319086603</v>
      </c>
      <c r="L25">
        <f>'0.1kts'!L25</f>
        <v>1.8552511024999999E-2</v>
      </c>
    </row>
    <row r="26" spans="1:12" x14ac:dyDescent="0.3">
      <c r="A26">
        <v>11.5</v>
      </c>
      <c r="B26">
        <f t="shared" si="0"/>
        <v>0.20071286397934787</v>
      </c>
      <c r="C26">
        <v>1.2125999999999999</v>
      </c>
      <c r="D26">
        <v>1.7579999999999998E-2</v>
      </c>
      <c r="E26">
        <v>0.01</v>
      </c>
      <c r="F26">
        <f>C26/(1+2/'Données géométriques'!$B$6)</f>
        <v>0.93370199999999992</v>
      </c>
      <c r="G26">
        <f>F26^2/(PI()*'Données géométriques'!$B$6)</f>
        <v>4.1445160004821263E-2</v>
      </c>
      <c r="H26">
        <f t="shared" si="1"/>
        <v>5.9025160004821262E-2</v>
      </c>
      <c r="I26">
        <f t="shared" si="2"/>
        <v>0.24160905996221155</v>
      </c>
      <c r="J26">
        <f>XCP_3D('Données géométriques'!$B$9,'Données géométriques'!$B$10,'Données géométriques'!$B$11,'Données géométriques'!$B$12,I26)</f>
        <v>-0.27120732453051655</v>
      </c>
      <c r="K26">
        <f>ZCP_3D('Données géométriques'!$B$9,'Données géométriques'!$B$10,'Données géométriques'!$B$11)</f>
        <v>-0.37564783319086603</v>
      </c>
      <c r="L26">
        <f>'0.1kts'!L26</f>
        <v>1.7530412199999998E-2</v>
      </c>
    </row>
    <row r="27" spans="1:12" x14ac:dyDescent="0.3">
      <c r="A27">
        <v>12</v>
      </c>
      <c r="B27">
        <f t="shared" si="0"/>
        <v>0.20943951023931953</v>
      </c>
      <c r="C27">
        <v>1.2543</v>
      </c>
      <c r="D27">
        <v>1.8589999999999999E-2</v>
      </c>
      <c r="E27">
        <v>1.18E-2</v>
      </c>
      <c r="F27">
        <f>C27/(1+2/'Données géométriques'!$B$6)</f>
        <v>0.96581099999999998</v>
      </c>
      <c r="G27">
        <f>F27^2/(PI()*'Données géométriques'!$B$6)</f>
        <v>4.4344681233676735E-2</v>
      </c>
      <c r="H27">
        <f t="shared" si="1"/>
        <v>6.2934681233676737E-2</v>
      </c>
      <c r="I27">
        <f t="shared" si="2"/>
        <v>0.24041239392579761</v>
      </c>
      <c r="J27">
        <f>XCP_3D('Données géométriques'!$B$9,'Données géométriques'!$B$10,'Données géométriques'!$B$11,'Données géométriques'!$B$12,I27)</f>
        <v>-0.2709088003719311</v>
      </c>
      <c r="K27">
        <f>ZCP_3D('Données géométriques'!$B$9,'Données géométriques'!$B$10,'Données géométriques'!$B$11)</f>
        <v>-0.37564783319086603</v>
      </c>
      <c r="L27">
        <f>'0.1kts'!L27</f>
        <v>1.6405950674999999E-2</v>
      </c>
    </row>
    <row r="28" spans="1:12" x14ac:dyDescent="0.3">
      <c r="A28">
        <v>12.5</v>
      </c>
      <c r="B28">
        <f t="shared" si="0"/>
        <v>0.21816615649929119</v>
      </c>
      <c r="C28">
        <v>1.2928999999999999</v>
      </c>
      <c r="D28">
        <v>1.9769999999999999E-2</v>
      </c>
      <c r="E28">
        <v>1.3899999999999999E-2</v>
      </c>
      <c r="F28">
        <f>C28/(1+2/'Données géométriques'!$B$6)</f>
        <v>0.995533</v>
      </c>
      <c r="G28">
        <f>F28^2/(PI()*'Données géométriques'!$B$6)</f>
        <v>4.7116016341699568E-2</v>
      </c>
      <c r="H28">
        <f t="shared" si="1"/>
        <v>6.6886016341699564E-2</v>
      </c>
      <c r="I28">
        <f t="shared" si="2"/>
        <v>0.23902515001872432</v>
      </c>
      <c r="J28">
        <f>XCP_3D('Données géométriques'!$B$9,'Données géométriques'!$B$10,'Données géométriques'!$B$11,'Données géométriques'!$B$12,I28)</f>
        <v>-0.27056273404472897</v>
      </c>
      <c r="K28">
        <f>ZCP_3D('Données géométriques'!$B$9,'Données géométriques'!$B$10,'Données géométriques'!$B$11)</f>
        <v>-0.37564783319086603</v>
      </c>
      <c r="L28">
        <f>'0.1kts'!L28</f>
        <v>1.5174473599999998E-2</v>
      </c>
    </row>
    <row r="29" spans="1:12" x14ac:dyDescent="0.3">
      <c r="A29">
        <v>13</v>
      </c>
      <c r="B29">
        <f t="shared" si="0"/>
        <v>0.22689280275926285</v>
      </c>
      <c r="C29">
        <v>1.3293999999999999</v>
      </c>
      <c r="D29">
        <v>2.0979999999999999E-2</v>
      </c>
      <c r="E29">
        <v>1.6299999999999999E-2</v>
      </c>
      <c r="F29">
        <f>C29/(1+2/'Données géométriques'!$B$6)</f>
        <v>1.023638</v>
      </c>
      <c r="G29">
        <f>F29^2/(PI()*'Données géométriques'!$B$6)</f>
        <v>4.9813842319493151E-2</v>
      </c>
      <c r="H29">
        <f t="shared" si="1"/>
        <v>7.079384231949315E-2</v>
      </c>
      <c r="I29">
        <f t="shared" si="2"/>
        <v>0.23746199211796648</v>
      </c>
      <c r="J29">
        <f>XCP_3D('Données géométriques'!$B$9,'Données géométriques'!$B$10,'Données géométriques'!$B$11,'Données géométriques'!$B$12,I29)</f>
        <v>-0.27017278364682512</v>
      </c>
      <c r="K29">
        <f>ZCP_3D('Données géométriques'!$B$9,'Données géométriques'!$B$10,'Données géométriques'!$B$11)</f>
        <v>-0.37564783319086603</v>
      </c>
      <c r="L29">
        <f>'0.1kts'!L29</f>
        <v>1.3831328124999999E-2</v>
      </c>
    </row>
    <row r="30" spans="1:12" x14ac:dyDescent="0.3">
      <c r="A30">
        <v>13.5</v>
      </c>
      <c r="B30">
        <f t="shared" si="0"/>
        <v>0.23561944901923448</v>
      </c>
      <c r="C30">
        <v>1.3608</v>
      </c>
      <c r="D30">
        <v>2.2290000000000001E-2</v>
      </c>
      <c r="E30">
        <v>1.9300000000000001E-2</v>
      </c>
      <c r="F30">
        <f>C30/(1+2/'Données géométriques'!$B$6)</f>
        <v>1.0478160000000001</v>
      </c>
      <c r="G30">
        <f>F30^2/(PI()*'Données géométriques'!$B$6)</f>
        <v>5.2194806759759731E-2</v>
      </c>
      <c r="H30">
        <f t="shared" si="1"/>
        <v>7.4484806759759728E-2</v>
      </c>
      <c r="I30">
        <f t="shared" si="2"/>
        <v>0.23547129265198105</v>
      </c>
      <c r="J30">
        <f>XCP_3D('Données géométriques'!$B$9,'Données géométriques'!$B$10,'Données géométriques'!$B$11,'Données géométriques'!$B$12,I30)</f>
        <v>-0.26967617735484706</v>
      </c>
      <c r="K30">
        <f>ZCP_3D('Données géométriques'!$B$9,'Données géométriques'!$B$10,'Données géométriques'!$B$11)</f>
        <v>-0.37564783319086603</v>
      </c>
      <c r="L30">
        <f>'0.1kts'!L30</f>
        <v>1.23718614E-2</v>
      </c>
    </row>
    <row r="31" spans="1:12" x14ac:dyDescent="0.3">
      <c r="A31">
        <v>14</v>
      </c>
      <c r="B31">
        <f t="shared" si="0"/>
        <v>0.24434609527920614</v>
      </c>
      <c r="C31">
        <v>1.3852</v>
      </c>
      <c r="D31">
        <v>2.383E-2</v>
      </c>
      <c r="E31">
        <v>2.29E-2</v>
      </c>
      <c r="F31">
        <f>C31/(1+2/'Données géométriques'!$B$6)</f>
        <v>1.0666040000000001</v>
      </c>
      <c r="G31">
        <f>F31^2/(PI()*'Données géométriques'!$B$6)</f>
        <v>5.4083359215222247E-2</v>
      </c>
      <c r="H31">
        <f t="shared" si="1"/>
        <v>7.7913359215222244E-2</v>
      </c>
      <c r="I31">
        <f t="shared" si="2"/>
        <v>0.23303475789888739</v>
      </c>
      <c r="J31">
        <f>XCP_3D('Données géométriques'!$B$9,'Données géométriques'!$B$10,'Données géométriques'!$B$11,'Données géométriques'!$B$12,I31)</f>
        <v>-0.26906835155809572</v>
      </c>
      <c r="K31">
        <f>ZCP_3D('Données géométriques'!$B$9,'Données géométriques'!$B$10,'Données géométriques'!$B$11)</f>
        <v>-0.37564783319086603</v>
      </c>
      <c r="L31">
        <f>'0.1kts'!L31</f>
        <v>1.0791420575E-2</v>
      </c>
    </row>
    <row r="32" spans="1:12" x14ac:dyDescent="0.3">
      <c r="A32">
        <v>14.5</v>
      </c>
      <c r="B32">
        <f t="shared" si="0"/>
        <v>0.2530727415391778</v>
      </c>
      <c r="C32">
        <v>1.4059999999999999</v>
      </c>
      <c r="D32">
        <v>2.5749999999999999E-2</v>
      </c>
      <c r="E32">
        <v>2.63E-2</v>
      </c>
      <c r="F32">
        <f>C32/(1+2/'Données géométriques'!$B$6)</f>
        <v>1.0826199999999999</v>
      </c>
      <c r="G32">
        <f>F32^2/(PI()*'Données géométriques'!$B$6)</f>
        <v>5.5719772453623966E-2</v>
      </c>
      <c r="H32">
        <f t="shared" si="1"/>
        <v>8.1469772453623968E-2</v>
      </c>
      <c r="I32">
        <f t="shared" si="2"/>
        <v>0.23077011475164502</v>
      </c>
      <c r="J32">
        <f>XCP_3D('Données géométriques'!$B$9,'Données géométriques'!$B$10,'Données géométriques'!$B$11,'Données géométriques'!$B$12,I32)</f>
        <v>-0.26850340639423942</v>
      </c>
      <c r="K32">
        <f>ZCP_3D('Données géométriques'!$B$9,'Données géométriques'!$B$10,'Données géométriques'!$B$11)</f>
        <v>-0.37564783319086603</v>
      </c>
      <c r="L32">
        <f>'0.1kts'!L32</f>
        <v>9.0853527999999965E-3</v>
      </c>
    </row>
    <row r="33" spans="1:12" x14ac:dyDescent="0.3">
      <c r="A33">
        <v>15</v>
      </c>
      <c r="B33">
        <f t="shared" si="0"/>
        <v>0.26179938779914941</v>
      </c>
      <c r="C33">
        <v>1.4216</v>
      </c>
      <c r="D33">
        <v>2.828E-2</v>
      </c>
      <c r="E33">
        <v>2.9100000000000001E-2</v>
      </c>
      <c r="F33">
        <f>C33/(1+2/'Données géométriques'!$B$6)</f>
        <v>1.094632</v>
      </c>
      <c r="G33">
        <f>F33^2/(PI()*'Données géométriques'!$B$6)</f>
        <v>5.6963087713970274E-2</v>
      </c>
      <c r="H33">
        <f t="shared" si="1"/>
        <v>8.5243087713970267E-2</v>
      </c>
      <c r="I33">
        <f t="shared" si="2"/>
        <v>0.22892036876083097</v>
      </c>
      <c r="J33">
        <f>XCP_3D('Données géométriques'!$B$9,'Données géométriques'!$B$10,'Données géométriques'!$B$11,'Données géométriques'!$B$12,I33)</f>
        <v>-0.26804196280956244</v>
      </c>
      <c r="K33">
        <f>ZCP_3D('Données géométriques'!$B$9,'Données géométriques'!$B$10,'Données géométriques'!$B$11)</f>
        <v>-0.37564783319086603</v>
      </c>
      <c r="L33">
        <f>'0.1kts'!L33</f>
        <v>7.2490052249999971E-3</v>
      </c>
    </row>
    <row r="34" spans="1:12" x14ac:dyDescent="0.3">
      <c r="A34">
        <v>15.5</v>
      </c>
      <c r="B34">
        <f t="shared" si="0"/>
        <v>0.27052603405912107</v>
      </c>
      <c r="C34">
        <v>1.4333</v>
      </c>
      <c r="D34">
        <v>3.1480000000000001E-2</v>
      </c>
      <c r="E34">
        <v>3.09E-2</v>
      </c>
      <c r="F34">
        <f>C34/(1+2/'Données géométriques'!$B$6)</f>
        <v>1.1036410000000001</v>
      </c>
      <c r="G34">
        <f>F34^2/(PI()*'Données géométriques'!$B$6)</f>
        <v>5.7904577158224058E-2</v>
      </c>
      <c r="H34">
        <f t="shared" si="1"/>
        <v>8.9384577158224066E-2</v>
      </c>
      <c r="I34">
        <f t="shared" si="2"/>
        <v>0.22776313219223782</v>
      </c>
      <c r="J34">
        <f>XCP_3D('Données géométriques'!$B$9,'Données géométriques'!$B$10,'Données géométriques'!$B$11,'Données géométriques'!$B$12,I34)</f>
        <v>-0.26775327485284722</v>
      </c>
      <c r="K34">
        <f>ZCP_3D('Données géométriques'!$B$9,'Données géométriques'!$B$10,'Données géométriques'!$B$11)</f>
        <v>-0.37564783319086603</v>
      </c>
      <c r="L34">
        <f>'0.1kts'!L34</f>
        <v>5.2777249999999987E-3</v>
      </c>
    </row>
    <row r="35" spans="1:12" x14ac:dyDescent="0.3">
      <c r="A35">
        <v>16</v>
      </c>
      <c r="B35">
        <f t="shared" si="0"/>
        <v>0.27925268031909273</v>
      </c>
      <c r="C35">
        <v>1.4417</v>
      </c>
      <c r="D35">
        <v>3.5499999999999997E-2</v>
      </c>
      <c r="E35">
        <v>3.15E-2</v>
      </c>
      <c r="F35">
        <f>C35/(1+2/'Données géométriques'!$B$6)</f>
        <v>1.110109</v>
      </c>
      <c r="G35">
        <f>F35^2/(PI()*'Données géométriques'!$B$6)</f>
        <v>5.8585277279405081E-2</v>
      </c>
      <c r="H35">
        <f t="shared" si="1"/>
        <v>9.4085277279405077E-2</v>
      </c>
      <c r="I35">
        <f t="shared" si="2"/>
        <v>0.22742964680919064</v>
      </c>
      <c r="J35">
        <f>XCP_3D('Données géométriques'!$B$9,'Données géométriques'!$B$10,'Données géométriques'!$B$11,'Données géométriques'!$B$12,I35)</f>
        <v>-0.26767008251651964</v>
      </c>
      <c r="K35">
        <f>ZCP_3D('Données géométriques'!$B$9,'Données géométriques'!$B$10,'Données géométriques'!$B$11)</f>
        <v>-0.37564783319086603</v>
      </c>
      <c r="L35">
        <f>'0.1kts'!L35</f>
        <v>3.1668592749999986E-3</v>
      </c>
    </row>
    <row r="36" spans="1:12" x14ac:dyDescent="0.3">
      <c r="A36">
        <v>16.5</v>
      </c>
      <c r="B36">
        <f t="shared" si="0"/>
        <v>0.28797932657906439</v>
      </c>
      <c r="C36">
        <v>1.4441999999999999</v>
      </c>
      <c r="D36">
        <v>4.0779999999999997E-2</v>
      </c>
      <c r="E36">
        <v>3.0700000000000002E-2</v>
      </c>
      <c r="F36">
        <f>C36/(1+2/'Données géométriques'!$B$6)</f>
        <v>1.112034</v>
      </c>
      <c r="G36">
        <f>F36^2/(PI()*'Données géométriques'!$B$6)</f>
        <v>5.8788634678961629E-2</v>
      </c>
      <c r="H36">
        <f t="shared" si="1"/>
        <v>9.9568634678961626E-2</v>
      </c>
      <c r="I36">
        <f t="shared" si="2"/>
        <v>0.22801347219176063</v>
      </c>
      <c r="J36">
        <f>XCP_3D('Données géométriques'!$B$9,'Données géométriques'!$B$10,'Données géométriques'!$B$11,'Données géométriques'!$B$12,I36)</f>
        <v>-0.26781572547435967</v>
      </c>
      <c r="K36">
        <f>ZCP_3D('Données géométriques'!$B$9,'Données géométriques'!$B$10,'Données géométriques'!$B$11)</f>
        <v>-0.37564783319086603</v>
      </c>
      <c r="L36">
        <f>'0.1kts'!L36</f>
        <v>9.1175519999999951E-4</v>
      </c>
    </row>
    <row r="37" spans="1:12" x14ac:dyDescent="0.3">
      <c r="A37">
        <v>17</v>
      </c>
      <c r="B37">
        <f t="shared" si="0"/>
        <v>0.29670597283903605</v>
      </c>
      <c r="C37">
        <v>1.4375</v>
      </c>
      <c r="D37">
        <v>4.7899999999999998E-2</v>
      </c>
      <c r="E37">
        <v>2.81E-2</v>
      </c>
      <c r="F37">
        <f>C37/(1+2/'Données géométriques'!$B$6)</f>
        <v>1.1068750000000001</v>
      </c>
      <c r="G37">
        <f>F37^2/(PI()*'Données géométriques'!$B$6)</f>
        <v>5.824443001176953E-2</v>
      </c>
      <c r="H37">
        <f t="shared" si="1"/>
        <v>0.10614443001176953</v>
      </c>
      <c r="I37">
        <f t="shared" si="2"/>
        <v>0.22976514157886108</v>
      </c>
      <c r="J37">
        <f>XCP_3D('Données géométriques'!$B$9,'Données géométriques'!$B$10,'Données géométriques'!$B$11,'Données géométriques'!$B$12,I37)</f>
        <v>-0.26825270255400457</v>
      </c>
      <c r="K37">
        <f>ZCP_3D('Données géométriques'!$B$9,'Données géométriques'!$B$10,'Données géométriques'!$B$11)</f>
        <v>-0.37564783319086603</v>
      </c>
      <c r="L37">
        <f>'0.1kts'!L37</f>
        <v>-1.4922400750000014E-3</v>
      </c>
    </row>
    <row r="38" spans="1:12" x14ac:dyDescent="0.3">
      <c r="A38">
        <v>17.5</v>
      </c>
      <c r="B38">
        <f t="shared" si="0"/>
        <v>0.30543261909900765</v>
      </c>
      <c r="C38">
        <v>1.4186000000000001</v>
      </c>
      <c r="D38">
        <v>5.74E-2</v>
      </c>
      <c r="E38">
        <v>2.3599999999999999E-2</v>
      </c>
      <c r="F38">
        <f>C38/(1+2/'Données géométriques'!$B$6)</f>
        <v>1.092322</v>
      </c>
      <c r="G38">
        <f>F38^2/(PI()*'Données géométriques'!$B$6)</f>
        <v>5.6722923181774201E-2</v>
      </c>
      <c r="H38">
        <f t="shared" si="1"/>
        <v>0.11412292318177419</v>
      </c>
      <c r="I38">
        <f t="shared" si="2"/>
        <v>0.23277627952327545</v>
      </c>
      <c r="J38">
        <f>XCP_3D('Données géométriques'!$B$9,'Données géométriques'!$B$10,'Données géométriques'!$B$11,'Données géométriques'!$B$12,I38)</f>
        <v>-0.26900387071110571</v>
      </c>
      <c r="K38">
        <f>ZCP_3D('Données géométriques'!$B$9,'Données géométriques'!$B$10,'Données géométriques'!$B$11)</f>
        <v>-0.37564783319086603</v>
      </c>
      <c r="L38">
        <f>'0.1kts'!L38</f>
        <v>-4.0497794000000026E-3</v>
      </c>
    </row>
    <row r="39" spans="1:12" x14ac:dyDescent="0.3">
      <c r="A39">
        <v>18</v>
      </c>
      <c r="B39">
        <f t="shared" si="0"/>
        <v>0.31415926535897931</v>
      </c>
      <c r="C39">
        <v>1.3818999999999999</v>
      </c>
      <c r="D39">
        <v>7.0139999999999994E-2</v>
      </c>
      <c r="E39">
        <v>1.72E-2</v>
      </c>
      <c r="F39">
        <f>C39/(1+2/'Données géométriques'!$B$6)</f>
        <v>1.064063</v>
      </c>
      <c r="G39">
        <f>F39^2/(PI()*'Données géométriques'!$B$6)</f>
        <v>5.3825977620706456E-2</v>
      </c>
      <c r="H39">
        <f t="shared" si="1"/>
        <v>0.12396597762070645</v>
      </c>
      <c r="I39">
        <f t="shared" si="2"/>
        <v>0.23712516500943698</v>
      </c>
      <c r="J39">
        <f>XCP_3D('Données géométriques'!$B$9,'Données géométriques'!$B$10,'Données géométriques'!$B$11,'Données géométriques'!$B$12,I39)</f>
        <v>-0.27008875767290824</v>
      </c>
      <c r="K39">
        <f>ZCP_3D('Données géométriques'!$B$9,'Données géométriques'!$B$10,'Données géométriques'!$B$11)</f>
        <v>-0.37564783319086603</v>
      </c>
      <c r="L39">
        <f>'0.1kts'!L39</f>
        <v>-6.7655156249999994E-3</v>
      </c>
    </row>
    <row r="40" spans="1:12" x14ac:dyDescent="0.3">
      <c r="A40">
        <v>18.5</v>
      </c>
      <c r="B40">
        <f t="shared" si="0"/>
        <v>0.32288591161895097</v>
      </c>
      <c r="C40">
        <v>1.3245</v>
      </c>
      <c r="D40">
        <v>8.6889999999999995E-2</v>
      </c>
      <c r="E40">
        <v>8.5000000000000006E-3</v>
      </c>
      <c r="F40">
        <f>C40/(1+2/'Données géométriques'!$B$6)</f>
        <v>1.019865</v>
      </c>
      <c r="G40">
        <f>F40^2/(PI()*'Données géométriques'!$B$6)</f>
        <v>4.9447304048153548E-2</v>
      </c>
      <c r="H40">
        <f t="shared" si="1"/>
        <v>0.13633730404815353</v>
      </c>
      <c r="I40">
        <f t="shared" si="2"/>
        <v>0.24337812980693793</v>
      </c>
      <c r="J40">
        <f>XCP_3D('Données géométriques'!$B$9,'Données géométriques'!$B$10,'Données géométriques'!$B$11,'Données géométriques'!$B$12,I40)</f>
        <v>-0.27164864238429104</v>
      </c>
      <c r="K40">
        <f>ZCP_3D('Données géométriques'!$B$9,'Données géométriques'!$B$10,'Données géométriques'!$B$11)</f>
        <v>-0.37564783319086603</v>
      </c>
      <c r="L40">
        <f>'0.1kts'!L40</f>
        <v>-9.6441016000000015E-3</v>
      </c>
    </row>
    <row r="41" spans="1:12" x14ac:dyDescent="0.3">
      <c r="A41">
        <v>19</v>
      </c>
      <c r="B41">
        <f t="shared" si="0"/>
        <v>0.33161255787892258</v>
      </c>
      <c r="C41">
        <v>1.2505999999999999</v>
      </c>
      <c r="D41">
        <v>0.10730000000000001</v>
      </c>
      <c r="E41">
        <v>-2E-3</v>
      </c>
      <c r="F41">
        <f>C41/(1+2/'Données géométriques'!$B$6)</f>
        <v>0.96296199999999998</v>
      </c>
      <c r="G41">
        <f>F41^2/(PI()*'Données géométriques'!$B$6)</f>
        <v>4.4083446566425329E-2</v>
      </c>
      <c r="H41">
        <f t="shared" si="1"/>
        <v>0.15138344656642533</v>
      </c>
      <c r="I41">
        <f t="shared" si="2"/>
        <v>0.25164284676633136</v>
      </c>
      <c r="J41">
        <f>XCP_3D('Données géométriques'!$B$9,'Données géométriques'!$B$10,'Données géométriques'!$B$11,'Données géométriques'!$B$12,I41)</f>
        <v>-0.27371038526088726</v>
      </c>
      <c r="K41">
        <f>ZCP_3D('Données géométriques'!$B$9,'Données géométriques'!$B$10,'Données géométriques'!$B$11)</f>
        <v>-0.37564783319086603</v>
      </c>
      <c r="L41">
        <f>'0.1kts'!L41</f>
        <v>-1.2690190175000003E-2</v>
      </c>
    </row>
    <row r="42" spans="1:12" x14ac:dyDescent="0.3">
      <c r="A42">
        <v>19.5</v>
      </c>
      <c r="B42">
        <f t="shared" si="0"/>
        <v>0.34033920413889424</v>
      </c>
      <c r="C42">
        <v>1.1778999999999999</v>
      </c>
      <c r="D42">
        <v>0.12867000000000001</v>
      </c>
      <c r="E42">
        <v>-1.34E-2</v>
      </c>
      <c r="F42">
        <f>C42/(1+2/'Données géométriques'!$B$6)</f>
        <v>0.90698299999999998</v>
      </c>
      <c r="G42">
        <f>F42^2/(PI()*'Données géométriques'!$B$6)</f>
        <v>3.9107093201632498E-2</v>
      </c>
      <c r="H42">
        <f t="shared" si="1"/>
        <v>0.1677770932016325</v>
      </c>
      <c r="I42">
        <f t="shared" si="2"/>
        <v>0.26161895037379401</v>
      </c>
      <c r="J42">
        <f>XCP_3D('Données géométriques'!$B$9,'Données géométriques'!$B$10,'Données géométriques'!$B$11,'Données géométriques'!$B$12,I42)</f>
        <v>-0.27619905615547979</v>
      </c>
      <c r="K42">
        <f>ZCP_3D('Données géométriques'!$B$9,'Données géométriques'!$B$10,'Données géométriques'!$B$11)</f>
        <v>-0.37564783319086603</v>
      </c>
      <c r="L42">
        <f>'0.1kts'!L42</f>
        <v>-1.5908434200000002E-2</v>
      </c>
    </row>
    <row r="43" spans="1:12" x14ac:dyDescent="0.3">
      <c r="A43">
        <v>20</v>
      </c>
      <c r="B43">
        <f t="shared" si="0"/>
        <v>0.3490658503988659</v>
      </c>
      <c r="C43">
        <v>1.1209</v>
      </c>
      <c r="D43">
        <v>0.14829000000000001</v>
      </c>
      <c r="E43">
        <v>-2.4299999999999999E-2</v>
      </c>
      <c r="F43">
        <f>C43/(1+2/'Données géométriques'!$B$6)</f>
        <v>0.863093</v>
      </c>
      <c r="G43">
        <f>F43^2/(PI()*'Données géométriques'!$B$6)</f>
        <v>3.5413791918048901E-2</v>
      </c>
      <c r="H43">
        <f t="shared" si="1"/>
        <v>0.18370379191804892</v>
      </c>
      <c r="I43">
        <f t="shared" si="2"/>
        <v>0.27201047828724384</v>
      </c>
      <c r="J43">
        <f>XCP_3D('Données géométriques'!$B$9,'Données géométriques'!$B$10,'Données géométriques'!$B$11,'Données géométriques'!$B$12,I43)</f>
        <v>-0.27879136013367672</v>
      </c>
      <c r="K43">
        <f>ZCP_3D('Données géométriques'!$B$9,'Données géométriques'!$B$10,'Données géométriques'!$B$11)</f>
        <v>-0.37564783319086603</v>
      </c>
      <c r="L43">
        <f>'0.1kts'!L43</f>
        <v>-1.9303486525E-2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DCAF6-6475-4836-9731-6837CC2091CB}">
  <sheetPr codeName="Feuil10"/>
  <dimension ref="A1:L44"/>
  <sheetViews>
    <sheetView workbookViewId="0">
      <selection activeCell="M6" sqref="M6"/>
    </sheetView>
  </sheetViews>
  <sheetFormatPr baseColWidth="10" defaultRowHeight="14.4" x14ac:dyDescent="0.3"/>
  <sheetData>
    <row r="1" spans="1:12" x14ac:dyDescent="0.3">
      <c r="A1">
        <v>5</v>
      </c>
      <c r="C1" s="2">
        <f>A1*'Données géométriques'!B2/'Données géométriques'!G2</f>
        <v>1142005.9582919565</v>
      </c>
    </row>
    <row r="2" spans="1:1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27</v>
      </c>
      <c r="K2" t="s">
        <v>28</v>
      </c>
      <c r="L2" t="s">
        <v>12</v>
      </c>
    </row>
    <row r="3" spans="1:12" x14ac:dyDescent="0.3">
      <c r="A3" t="s">
        <v>9</v>
      </c>
      <c r="B3" t="s">
        <v>9</v>
      </c>
      <c r="C3" t="s">
        <v>10</v>
      </c>
      <c r="D3" t="s">
        <v>11</v>
      </c>
      <c r="E3" t="s">
        <v>10</v>
      </c>
      <c r="F3" t="s">
        <v>9</v>
      </c>
      <c r="G3" t="s">
        <v>10</v>
      </c>
      <c r="H3" t="s">
        <v>11</v>
      </c>
      <c r="I3" t="s">
        <v>10</v>
      </c>
      <c r="J3" t="s">
        <v>11</v>
      </c>
      <c r="K3" t="s">
        <v>11</v>
      </c>
      <c r="L3" t="s">
        <v>11</v>
      </c>
    </row>
    <row r="4" spans="1:12" x14ac:dyDescent="0.3">
      <c r="A4">
        <v>0</v>
      </c>
      <c r="B4">
        <f>A4*PI()/180</f>
        <v>0</v>
      </c>
      <c r="C4">
        <v>0</v>
      </c>
      <c r="D4">
        <v>6.8599999999999998E-3</v>
      </c>
      <c r="E4">
        <v>0</v>
      </c>
      <c r="F4">
        <f>C4/(1+2/'Données géométriques'!$B$6)</f>
        <v>0</v>
      </c>
      <c r="G4">
        <f>F4^2/(PI()*'Données géométriques'!$B$6)</f>
        <v>0</v>
      </c>
      <c r="H4">
        <f>D4+G4</f>
        <v>6.8599999999999998E-3</v>
      </c>
      <c r="I4">
        <v>0</v>
      </c>
      <c r="J4">
        <f>XCP_3D('Données géométriques'!$B$9,'Données géométriques'!$B$10,'Données géométriques'!$B$11,'Données géométriques'!$B$12,I4)</f>
        <v>-0.21093475128380432</v>
      </c>
      <c r="K4">
        <f>ZCP_3D('Données géométriques'!$B$9,'Données géométriques'!$B$10,'Données géométriques'!$B$11)</f>
        <v>-0.37564783319086603</v>
      </c>
      <c r="L4">
        <f>'0.1kts'!L4</f>
        <v>2.4610999999999997E-2</v>
      </c>
    </row>
    <row r="5" spans="1:12" x14ac:dyDescent="0.3">
      <c r="A5">
        <v>0.5</v>
      </c>
      <c r="B5">
        <f t="shared" ref="B5:B44" si="0">A5*PI()/180</f>
        <v>8.7266462599716477E-3</v>
      </c>
      <c r="C5">
        <v>5.5199999999999999E-2</v>
      </c>
      <c r="D5">
        <v>6.8700000000000002E-3</v>
      </c>
      <c r="E5">
        <v>2.0000000000000001E-4</v>
      </c>
      <c r="F5">
        <f>C5/(1+2/'Données géométriques'!$B$6)</f>
        <v>4.2504E-2</v>
      </c>
      <c r="G5">
        <f>F5^2/(PI()*'Données géométriques'!$B$6)</f>
        <v>8.588490671815487E-5</v>
      </c>
      <c r="H5">
        <f>D5+G5</f>
        <v>6.9558849067181553E-3</v>
      </c>
      <c r="I5">
        <f>0.25-E5/(C5*COS(B5)+D5*SIN(B5))</f>
        <v>0.2463806047107629</v>
      </c>
      <c r="J5">
        <f>XCP_3D('Données géométriques'!$B$9,'Données géométriques'!$B$10,'Données géométriques'!$B$11,'Données géométriques'!$B$12,I5)</f>
        <v>-0.27239764943142075</v>
      </c>
      <c r="K5">
        <f>ZCP_3D('Données géométriques'!$B$9,'Données géométriques'!$B$10,'Données géométriques'!$B$11)</f>
        <v>-0.37564783319086603</v>
      </c>
      <c r="L5">
        <f>'0.1kts'!L5</f>
        <v>2.4663709524999997E-2</v>
      </c>
    </row>
    <row r="6" spans="1:12" x14ac:dyDescent="0.3">
      <c r="A6">
        <v>1</v>
      </c>
      <c r="B6">
        <f t="shared" si="0"/>
        <v>1.7453292519943295E-2</v>
      </c>
      <c r="C6">
        <v>0.11020000000000001</v>
      </c>
      <c r="D6">
        <v>6.9300000000000004E-3</v>
      </c>
      <c r="E6">
        <v>4.0000000000000002E-4</v>
      </c>
      <c r="F6">
        <f>C6/(1+2/'Données géométriques'!$B$6)</f>
        <v>8.4853999999999999E-2</v>
      </c>
      <c r="G6">
        <f>F6^2/(PI()*'Données géométriques'!$B$6)</f>
        <v>3.4229604553321957E-4</v>
      </c>
      <c r="H6">
        <f t="shared" ref="H6:H44" si="1">D6+G6</f>
        <v>7.2722960455332197E-3</v>
      </c>
      <c r="I6">
        <f t="shared" ref="I6:I44" si="2">0.25-E6/(C6*COS(B6)+D6*SIN(B6))</f>
        <v>0.24637366355257492</v>
      </c>
      <c r="J6">
        <f>XCP_3D('Données géométriques'!$B$9,'Données géométriques'!$B$10,'Données géométriques'!$B$11,'Données géométriques'!$B$12,I6)</f>
        <v>-0.27239591786777279</v>
      </c>
      <c r="K6">
        <f>ZCP_3D('Données géométriques'!$B$9,'Données géométriques'!$B$10,'Données géométriques'!$B$11)</f>
        <v>-0.37564783319086603</v>
      </c>
      <c r="L6">
        <f>'0.1kts'!L6</f>
        <v>2.4711766199999999E-2</v>
      </c>
    </row>
    <row r="7" spans="1:12" x14ac:dyDescent="0.3">
      <c r="A7">
        <v>1.5</v>
      </c>
      <c r="B7">
        <f t="shared" si="0"/>
        <v>2.6179938779914941E-2</v>
      </c>
      <c r="C7">
        <v>0.1651</v>
      </c>
      <c r="D7">
        <v>7.0299999999999998E-3</v>
      </c>
      <c r="E7">
        <v>5.9999999999999995E-4</v>
      </c>
      <c r="F7">
        <f>C7/(1+2/'Données géométriques'!$B$6)</f>
        <v>0.12712699999999999</v>
      </c>
      <c r="G7">
        <f>F7^2/(PI()*'Données géométriques'!$B$6)</f>
        <v>7.6830354907468635E-4</v>
      </c>
      <c r="H7">
        <f t="shared" si="1"/>
        <v>7.7983035490746862E-3</v>
      </c>
      <c r="I7">
        <f t="shared" si="2"/>
        <v>0.24636864209807113</v>
      </c>
      <c r="J7">
        <f>XCP_3D('Données géométriques'!$B$9,'Données géométriques'!$B$10,'Données géométriques'!$B$11,'Données géométriques'!$B$12,I7)</f>
        <v>-0.27239466519957972</v>
      </c>
      <c r="K7">
        <f>ZCP_3D('Données géométriques'!$B$9,'Données géométriques'!$B$10,'Données géométriques'!$B$11)</f>
        <v>-0.37564783319086603</v>
      </c>
      <c r="L7">
        <f>'0.1kts'!L7</f>
        <v>2.4750517175E-2</v>
      </c>
    </row>
    <row r="8" spans="1:12" x14ac:dyDescent="0.3">
      <c r="A8">
        <v>2</v>
      </c>
      <c r="B8">
        <f t="shared" si="0"/>
        <v>3.4906585039886591E-2</v>
      </c>
      <c r="C8">
        <v>0.21970000000000001</v>
      </c>
      <c r="D8">
        <v>7.1700000000000002E-3</v>
      </c>
      <c r="E8">
        <v>8.0000000000000004E-4</v>
      </c>
      <c r="F8">
        <f>C8/(1+2/'Données géométriques'!$B$6)</f>
        <v>0.16916900000000001</v>
      </c>
      <c r="G8">
        <f>F8^2/(PI()*'Données géométriques'!$B$6)</f>
        <v>1.3605008162392042E-3</v>
      </c>
      <c r="H8">
        <f t="shared" si="1"/>
        <v>8.5305008162392046E-3</v>
      </c>
      <c r="I8">
        <f t="shared" si="2"/>
        <v>0.24636059902028179</v>
      </c>
      <c r="J8">
        <f>XCP_3D('Données géométriques'!$B$9,'Données géométriques'!$B$10,'Données géométriques'!$B$11,'Données géométriques'!$B$12,I8)</f>
        <v>-0.27239265874752405</v>
      </c>
      <c r="K8">
        <f>ZCP_3D('Données géométriques'!$B$9,'Données géométriques'!$B$10,'Données géométriques'!$B$11)</f>
        <v>-0.37564783319086603</v>
      </c>
      <c r="L8">
        <f>'0.1kts'!L8</f>
        <v>2.47753096E-2</v>
      </c>
    </row>
    <row r="9" spans="1:12" x14ac:dyDescent="0.3">
      <c r="A9">
        <v>2.5</v>
      </c>
      <c r="B9">
        <f t="shared" si="0"/>
        <v>4.3633231299858237E-2</v>
      </c>
      <c r="C9">
        <v>0.27389999999999998</v>
      </c>
      <c r="D9">
        <v>7.3499999999999998E-3</v>
      </c>
      <c r="E9">
        <v>1.1999999999999999E-3</v>
      </c>
      <c r="F9">
        <f>C9/(1+2/'Données géométriques'!$B$6)</f>
        <v>0.21090299999999998</v>
      </c>
      <c r="G9">
        <f>F9^2/(PI()*'Données géométriques'!$B$6)</f>
        <v>2.1145733638984411E-3</v>
      </c>
      <c r="H9">
        <f t="shared" si="1"/>
        <v>9.4645733638984413E-3</v>
      </c>
      <c r="I9">
        <f t="shared" si="2"/>
        <v>0.24561979707797865</v>
      </c>
      <c r="J9">
        <f>XCP_3D('Données géométriques'!$B$9,'Données géométriques'!$B$10,'Données géométriques'!$B$11,'Données géométriques'!$B$12,I9)</f>
        <v>-0.27220785591216745</v>
      </c>
      <c r="K9">
        <f>ZCP_3D('Données géométriques'!$B$9,'Données géométriques'!$B$10,'Données géométriques'!$B$11)</f>
        <v>-0.37564783319086603</v>
      </c>
      <c r="L9">
        <f>'0.1kts'!L9</f>
        <v>2.4781490624999996E-2</v>
      </c>
    </row>
    <row r="10" spans="1:12" x14ac:dyDescent="0.3">
      <c r="A10">
        <v>3</v>
      </c>
      <c r="B10">
        <f t="shared" si="0"/>
        <v>5.2359877559829883E-2</v>
      </c>
      <c r="C10">
        <v>0.32790000000000002</v>
      </c>
      <c r="D10">
        <v>7.5700000000000003E-3</v>
      </c>
      <c r="E10">
        <v>1.6000000000000001E-3</v>
      </c>
      <c r="F10">
        <f>C10/(1+2/'Données géométriques'!$B$6)</f>
        <v>0.25248300000000001</v>
      </c>
      <c r="G10">
        <f>F10^2/(PI()*'Données géométriques'!$B$6)</f>
        <v>3.0305505058464384E-3</v>
      </c>
      <c r="H10">
        <f t="shared" si="1"/>
        <v>1.0600550505846438E-2</v>
      </c>
      <c r="I10">
        <f t="shared" si="2"/>
        <v>0.24511967186277325</v>
      </c>
      <c r="J10">
        <f>XCP_3D('Données géométriques'!$B$9,'Données géométriques'!$B$10,'Données géométriques'!$B$11,'Données géométriques'!$B$12,I10)</f>
        <v>-0.27208309306730194</v>
      </c>
      <c r="K10">
        <f>ZCP_3D('Données géométriques'!$B$9,'Données géométriques'!$B$10,'Données géométriques'!$B$11)</f>
        <v>-0.37564783319086603</v>
      </c>
      <c r="L10">
        <f>'0.1kts'!L10</f>
        <v>2.4764407400000001E-2</v>
      </c>
    </row>
    <row r="11" spans="1:12" x14ac:dyDescent="0.3">
      <c r="A11">
        <v>3.5</v>
      </c>
      <c r="B11">
        <f t="shared" si="0"/>
        <v>6.1086523819801536E-2</v>
      </c>
      <c r="C11">
        <v>0.38159999999999999</v>
      </c>
      <c r="D11">
        <v>7.8100000000000001E-3</v>
      </c>
      <c r="E11">
        <v>2E-3</v>
      </c>
      <c r="F11">
        <f>C11/(1+2/'Données géométriques'!$B$6)</f>
        <v>0.29383199999999998</v>
      </c>
      <c r="G11">
        <f>F11^2/(PI()*'Données géométriques'!$B$6)</f>
        <v>4.1044543038594953E-3</v>
      </c>
      <c r="H11">
        <f t="shared" si="1"/>
        <v>1.1914454303859495E-2</v>
      </c>
      <c r="I11">
        <f t="shared" si="2"/>
        <v>0.24475568064122458</v>
      </c>
      <c r="J11">
        <f>XCP_3D('Données géométriques'!$B$9,'Données géométriques'!$B$10,'Données géométriques'!$B$11,'Données géométriques'!$B$12,I11)</f>
        <v>-0.27199229064637787</v>
      </c>
      <c r="K11">
        <f>ZCP_3D('Données géométriques'!$B$9,'Données géométriques'!$B$10,'Données géométriques'!$B$11)</f>
        <v>-0.37564783319086603</v>
      </c>
      <c r="L11">
        <f>'0.1kts'!L11</f>
        <v>2.4719407074999998E-2</v>
      </c>
    </row>
    <row r="12" spans="1:12" x14ac:dyDescent="0.3">
      <c r="A12">
        <v>4</v>
      </c>
      <c r="B12">
        <f t="shared" si="0"/>
        <v>6.9813170079773182E-2</v>
      </c>
      <c r="C12">
        <v>0.43480000000000002</v>
      </c>
      <c r="D12">
        <v>8.09E-3</v>
      </c>
      <c r="E12">
        <v>2.7000000000000001E-3</v>
      </c>
      <c r="F12">
        <f>C12/(1+2/'Données géométriques'!$B$6)</f>
        <v>0.33479600000000004</v>
      </c>
      <c r="G12">
        <f>F12^2/(PI()*'Données géométriques'!$B$6)</f>
        <v>5.3286569704927306E-3</v>
      </c>
      <c r="H12">
        <f t="shared" si="1"/>
        <v>1.3418656970492731E-2</v>
      </c>
      <c r="I12">
        <f t="shared" si="2"/>
        <v>0.24378317337435487</v>
      </c>
      <c r="J12">
        <f>XCP_3D('Données géométriques'!$B$9,'Données géométriques'!$B$10,'Données géométriques'!$B$11,'Données géométriques'!$B$12,I12)</f>
        <v>-0.27174968585546355</v>
      </c>
      <c r="K12">
        <f>ZCP_3D('Données géométriques'!$B$9,'Données géométriques'!$B$10,'Données géométriques'!$B$11)</f>
        <v>-0.37564783319086603</v>
      </c>
      <c r="L12">
        <f>'0.1kts'!L12</f>
        <v>2.4641836800000001E-2</v>
      </c>
    </row>
    <row r="13" spans="1:12" x14ac:dyDescent="0.3">
      <c r="A13">
        <v>4.5</v>
      </c>
      <c r="B13">
        <f t="shared" si="0"/>
        <v>7.8539816339744828E-2</v>
      </c>
      <c r="C13">
        <v>0.48770000000000002</v>
      </c>
      <c r="D13">
        <v>8.3899999999999999E-3</v>
      </c>
      <c r="E13">
        <v>3.3999999999999998E-3</v>
      </c>
      <c r="F13">
        <f>C13/(1+2/'Données géométriques'!$B$6)</f>
        <v>0.375529</v>
      </c>
      <c r="G13">
        <f>F13^2/(PI()*'Données géométriques'!$B$6)</f>
        <v>6.7041574296506784E-3</v>
      </c>
      <c r="H13">
        <f t="shared" si="1"/>
        <v>1.5094157429650678E-2</v>
      </c>
      <c r="I13">
        <f t="shared" si="2"/>
        <v>0.24301639911409703</v>
      </c>
      <c r="J13">
        <f>XCP_3D('Données géométriques'!$B$9,'Données géométriques'!$B$10,'Données géométriques'!$B$11,'Données géométriques'!$B$12,I13)</f>
        <v>-0.27155840388212865</v>
      </c>
      <c r="K13">
        <f>ZCP_3D('Données géométriques'!$B$9,'Données géométriques'!$B$10,'Données géométriques'!$B$11)</f>
        <v>-0.37564783319086603</v>
      </c>
      <c r="L13">
        <f>'0.1kts'!L13</f>
        <v>2.4527043724999999E-2</v>
      </c>
    </row>
    <row r="14" spans="1:12" x14ac:dyDescent="0.3">
      <c r="A14">
        <v>5</v>
      </c>
      <c r="B14">
        <f t="shared" si="0"/>
        <v>8.7266462599716474E-2</v>
      </c>
      <c r="C14">
        <v>0.5403</v>
      </c>
      <c r="D14">
        <v>8.7299999999999999E-3</v>
      </c>
      <c r="E14">
        <v>4.1999999999999997E-3</v>
      </c>
      <c r="F14">
        <f>C14/(1+2/'Données géométriques'!$B$6)</f>
        <v>0.41603099999999998</v>
      </c>
      <c r="G14">
        <f>F14^2/(PI()*'Données géométriques'!$B$6)</f>
        <v>8.2282717779984006E-3</v>
      </c>
      <c r="H14">
        <f t="shared" si="1"/>
        <v>1.6958271777998399E-2</v>
      </c>
      <c r="I14">
        <f t="shared" si="2"/>
        <v>0.24220786253961274</v>
      </c>
      <c r="J14">
        <f>XCP_3D('Données géométriques'!$B$9,'Données géométriques'!$B$10,'Données géométriques'!$B$11,'Données géométriques'!$B$12,I14)</f>
        <v>-0.2713567037475571</v>
      </c>
      <c r="K14">
        <f>ZCP_3D('Données géométriques'!$B$9,'Données géométriques'!$B$10,'Données géométriques'!$B$11)</f>
        <v>-0.37564783319086603</v>
      </c>
      <c r="L14">
        <f>'0.1kts'!L14</f>
        <v>2.4370375E-2</v>
      </c>
    </row>
    <row r="15" spans="1:12" x14ac:dyDescent="0.3">
      <c r="A15">
        <v>5.5</v>
      </c>
      <c r="B15">
        <f t="shared" si="0"/>
        <v>9.599310885968812E-2</v>
      </c>
      <c r="C15">
        <v>0.5927</v>
      </c>
      <c r="D15">
        <v>9.11E-3</v>
      </c>
      <c r="E15">
        <v>5.0000000000000001E-3</v>
      </c>
      <c r="F15">
        <f>C15/(1+2/'Données géométriques'!$B$6)</f>
        <v>0.45637900000000003</v>
      </c>
      <c r="G15">
        <f>F15^2/(PI()*'Données géométriques'!$B$6)</f>
        <v>9.9016722597549522E-3</v>
      </c>
      <c r="H15">
        <f t="shared" si="1"/>
        <v>1.9011672259754954E-2</v>
      </c>
      <c r="I15">
        <f t="shared" si="2"/>
        <v>0.24153753626225147</v>
      </c>
      <c r="J15">
        <f>XCP_3D('Données géométriques'!$B$9,'Données géométriques'!$B$10,'Données géométriques'!$B$11,'Données géométriques'!$B$12,I15)</f>
        <v>-0.27118948199826476</v>
      </c>
      <c r="K15">
        <f>ZCP_3D('Données géométriques'!$B$9,'Données géométriques'!$B$10,'Données géométriques'!$B$11)</f>
        <v>-0.37564783319086603</v>
      </c>
      <c r="L15">
        <f>'0.1kts'!L15</f>
        <v>2.4167177775E-2</v>
      </c>
    </row>
    <row r="16" spans="1:12" x14ac:dyDescent="0.3">
      <c r="A16">
        <v>6</v>
      </c>
      <c r="B16">
        <f t="shared" si="0"/>
        <v>0.10471975511965977</v>
      </c>
      <c r="C16">
        <v>0.64649999999999996</v>
      </c>
      <c r="D16">
        <v>9.5300000000000003E-3</v>
      </c>
      <c r="E16">
        <v>5.4999999999999997E-3</v>
      </c>
      <c r="F16">
        <f>C16/(1+2/'Données géométriques'!$B$6)</f>
        <v>0.497805</v>
      </c>
      <c r="G16">
        <f>F16^2/(PI()*'Données géométriques'!$B$6)</f>
        <v>1.1780826261867296E-2</v>
      </c>
      <c r="H16">
        <f t="shared" si="1"/>
        <v>2.1310826261867297E-2</v>
      </c>
      <c r="I16">
        <f t="shared" si="2"/>
        <v>0.24145902470782332</v>
      </c>
      <c r="J16">
        <f>XCP_3D('Données géométriques'!$B$9,'Données géométriques'!$B$10,'Données géométriques'!$B$11,'Données géométriques'!$B$12,I16)</f>
        <v>-0.27116989625335974</v>
      </c>
      <c r="K16">
        <f>ZCP_3D('Données géométriques'!$B$9,'Données géométriques'!$B$10,'Données géométriques'!$B$11)</f>
        <v>-0.37564783319086603</v>
      </c>
      <c r="L16">
        <f>'0.1kts'!L16</f>
        <v>2.3912799200000001E-2</v>
      </c>
    </row>
    <row r="17" spans="1:12" x14ac:dyDescent="0.3">
      <c r="A17">
        <v>6.5</v>
      </c>
      <c r="B17">
        <f t="shared" si="0"/>
        <v>0.11344640137963143</v>
      </c>
      <c r="C17">
        <v>0.70299999999999996</v>
      </c>
      <c r="D17">
        <v>9.9900000000000006E-3</v>
      </c>
      <c r="E17">
        <v>5.1999999999999998E-3</v>
      </c>
      <c r="F17">
        <f>C17/(1+2/'Données géométriques'!$B$6)</f>
        <v>0.54130999999999996</v>
      </c>
      <c r="G17">
        <f>F17^2/(PI()*'Données géométriques'!$B$6)</f>
        <v>1.3929943113405991E-2</v>
      </c>
      <c r="H17">
        <f t="shared" si="1"/>
        <v>2.3919943113405992E-2</v>
      </c>
      <c r="I17">
        <f t="shared" si="2"/>
        <v>0.24256730783004202</v>
      </c>
      <c r="J17">
        <f>XCP_3D('Données géométriques'!$B$9,'Données géométriques'!$B$10,'Données géométriques'!$B$11,'Données géométriques'!$B$12,I17)</f>
        <v>-0.27144637212588213</v>
      </c>
      <c r="K17">
        <f>ZCP_3D('Données géométriques'!$B$9,'Données géométriques'!$B$10,'Données géométriques'!$B$11)</f>
        <v>-0.37564783319086603</v>
      </c>
      <c r="L17">
        <f>'0.1kts'!L17</f>
        <v>2.3602586424999999E-2</v>
      </c>
    </row>
    <row r="18" spans="1:12" x14ac:dyDescent="0.3">
      <c r="A18">
        <v>7</v>
      </c>
      <c r="B18">
        <f t="shared" si="0"/>
        <v>0.12217304763960307</v>
      </c>
      <c r="C18">
        <v>0.76239999999999997</v>
      </c>
      <c r="D18">
        <v>1.0489999999999999E-2</v>
      </c>
      <c r="E18">
        <v>4.3E-3</v>
      </c>
      <c r="F18">
        <f>C18/(1+2/'Données géométriques'!$B$6)</f>
        <v>0.58704800000000001</v>
      </c>
      <c r="G18">
        <f>F18^2/(PI()*'Données géométriques'!$B$6)</f>
        <v>1.638341635068026E-2</v>
      </c>
      <c r="H18">
        <f t="shared" si="1"/>
        <v>2.687341635068026E-2</v>
      </c>
      <c r="I18">
        <f t="shared" si="2"/>
        <v>0.24432714381724524</v>
      </c>
      <c r="J18">
        <f>XCP_3D('Données géométriques'!$B$9,'Données géométriques'!$B$10,'Données géométriques'!$B$11,'Données géométriques'!$B$12,I18)</f>
        <v>-0.27188538647185717</v>
      </c>
      <c r="K18">
        <f>ZCP_3D('Données géométriques'!$B$9,'Données géométriques'!$B$10,'Données géométriques'!$B$11)</f>
        <v>-0.37564783319086603</v>
      </c>
      <c r="L18">
        <f>'0.1kts'!L18</f>
        <v>2.3231886599999998E-2</v>
      </c>
    </row>
    <row r="19" spans="1:12" x14ac:dyDescent="0.3">
      <c r="A19">
        <v>7.5</v>
      </c>
      <c r="B19">
        <f t="shared" si="0"/>
        <v>0.1308996938995747</v>
      </c>
      <c r="C19">
        <v>0.82399999999999995</v>
      </c>
      <c r="D19">
        <v>1.103E-2</v>
      </c>
      <c r="E19">
        <v>2.8E-3</v>
      </c>
      <c r="F19">
        <f>C19/(1+2/'Données géométriques'!$B$6)</f>
        <v>0.63447999999999993</v>
      </c>
      <c r="G19">
        <f>F19^2/(PI()*'Données géométriques'!$B$6)</f>
        <v>1.9137848674079076E-2</v>
      </c>
      <c r="H19">
        <f t="shared" si="1"/>
        <v>3.0167848674079074E-2</v>
      </c>
      <c r="I19">
        <f t="shared" si="2"/>
        <v>0.24657864944909291</v>
      </c>
      <c r="J19">
        <f>XCP_3D('Données géométriques'!$B$9,'Données géométriques'!$B$10,'Données géométriques'!$B$11,'Données géométriques'!$B$12,I19)</f>
        <v>-0.27244705430886546</v>
      </c>
      <c r="K19">
        <f>ZCP_3D('Données géométriques'!$B$9,'Données géométriques'!$B$10,'Données géométriques'!$B$11)</f>
        <v>-0.37564783319086603</v>
      </c>
      <c r="L19">
        <f>'0.1kts'!L19</f>
        <v>2.2796046875E-2</v>
      </c>
    </row>
    <row r="20" spans="1:12" x14ac:dyDescent="0.3">
      <c r="A20">
        <v>8</v>
      </c>
      <c r="B20">
        <f t="shared" si="0"/>
        <v>0.13962634015954636</v>
      </c>
      <c r="C20">
        <v>0.88449999999999995</v>
      </c>
      <c r="D20">
        <v>1.1610000000000001E-2</v>
      </c>
      <c r="E20">
        <v>1.5E-3</v>
      </c>
      <c r="F20">
        <f>C20/(1+2/'Données géométriques'!$B$6)</f>
        <v>0.68106499999999992</v>
      </c>
      <c r="G20">
        <f>F20^2/(PI()*'Données géométriques'!$B$6)</f>
        <v>2.2051308611999824E-2</v>
      </c>
      <c r="H20">
        <f t="shared" si="1"/>
        <v>3.3661308611999827E-2</v>
      </c>
      <c r="I20">
        <f t="shared" si="2"/>
        <v>0.24829061369261515</v>
      </c>
      <c r="J20">
        <f>XCP_3D('Données géométriques'!$B$9,'Données géométriques'!$B$10,'Données géométriques'!$B$11,'Données géométriques'!$B$12,I20)</f>
        <v>-0.27287412641568071</v>
      </c>
      <c r="K20">
        <f>ZCP_3D('Données géométriques'!$B$9,'Données géométriques'!$B$10,'Données géométriques'!$B$11)</f>
        <v>-0.37564783319086603</v>
      </c>
      <c r="L20">
        <f>'0.1kts'!L20</f>
        <v>2.22904144E-2</v>
      </c>
    </row>
    <row r="21" spans="1:12" x14ac:dyDescent="0.3">
      <c r="A21">
        <v>8.5</v>
      </c>
      <c r="B21">
        <f t="shared" si="0"/>
        <v>0.14835298641951802</v>
      </c>
      <c r="C21">
        <v>0.9466</v>
      </c>
      <c r="D21">
        <v>1.225E-2</v>
      </c>
      <c r="E21">
        <v>-2.9999999999999997E-4</v>
      </c>
      <c r="F21">
        <f>C21/(1+2/'Données géométriques'!$B$6)</f>
        <v>0.72888200000000003</v>
      </c>
      <c r="G21">
        <f>F21^2/(PI()*'Données géométriques'!$B$6)</f>
        <v>2.525641430544304E-2</v>
      </c>
      <c r="H21">
        <f t="shared" si="1"/>
        <v>3.7506414305443041E-2</v>
      </c>
      <c r="I21">
        <f t="shared" si="2"/>
        <v>0.25031982496396099</v>
      </c>
      <c r="J21">
        <f>XCP_3D('Données géométriques'!$B$9,'Données géométriques'!$B$10,'Données géométriques'!$B$11,'Données géométriques'!$B$12,I21)</f>
        <v>-0.27338033998649819</v>
      </c>
      <c r="K21">
        <f>ZCP_3D('Données géométriques'!$B$9,'Données géométriques'!$B$10,'Données géométriques'!$B$11)</f>
        <v>-0.37564783319086603</v>
      </c>
      <c r="L21">
        <f>'0.1kts'!L21</f>
        <v>2.1710336324999999E-2</v>
      </c>
    </row>
    <row r="22" spans="1:12" x14ac:dyDescent="0.3">
      <c r="A22">
        <v>9</v>
      </c>
      <c r="B22">
        <f t="shared" si="0"/>
        <v>0.15707963267948966</v>
      </c>
      <c r="C22">
        <v>0.99990000000000001</v>
      </c>
      <c r="D22">
        <v>1.2840000000000001E-2</v>
      </c>
      <c r="E22">
        <v>-2.0000000000000001E-4</v>
      </c>
      <c r="F22">
        <f>C22/(1+2/'Données géométriques'!$B$6)</f>
        <v>0.76992300000000002</v>
      </c>
      <c r="G22">
        <f>F22^2/(PI()*'Données géométriques'!$B$6)</f>
        <v>2.8180703435353758E-2</v>
      </c>
      <c r="H22">
        <f t="shared" si="1"/>
        <v>4.1020703435353759E-2</v>
      </c>
      <c r="I22">
        <f t="shared" si="2"/>
        <v>0.2502021022289268</v>
      </c>
      <c r="J22">
        <f>XCP_3D('Données géométriques'!$B$9,'Données géométriques'!$B$10,'Données géométriques'!$B$11,'Données géométriques'!$B$12,I22)</f>
        <v>-0.27335097249435436</v>
      </c>
      <c r="K22">
        <f>ZCP_3D('Données géométriques'!$B$9,'Données géométriques'!$B$10,'Données géométriques'!$B$11)</f>
        <v>-0.37564783319086603</v>
      </c>
      <c r="L22">
        <f>'0.1kts'!L22</f>
        <v>2.10511598E-2</v>
      </c>
    </row>
    <row r="23" spans="1:12" x14ac:dyDescent="0.3">
      <c r="A23">
        <v>9.5</v>
      </c>
      <c r="B23">
        <f t="shared" si="0"/>
        <v>0.16580627893946129</v>
      </c>
      <c r="C23">
        <v>1.0434000000000001</v>
      </c>
      <c r="D23">
        <v>1.349E-2</v>
      </c>
      <c r="E23">
        <v>2E-3</v>
      </c>
      <c r="F23">
        <f>C23/(1+2/'Données géométriques'!$B$6)</f>
        <v>0.80341800000000008</v>
      </c>
      <c r="G23">
        <f>F23^2/(PI()*'Données géométriques'!$B$6)</f>
        <v>3.0686005433531817E-2</v>
      </c>
      <c r="H23">
        <f t="shared" si="1"/>
        <v>4.4176005433531819E-2</v>
      </c>
      <c r="I23">
        <f t="shared" si="2"/>
        <v>0.24806073184524693</v>
      </c>
      <c r="J23">
        <f>XCP_3D('Données géométriques'!$B$9,'Données géométriques'!$B$10,'Données géométriques'!$B$11,'Données géométriques'!$B$12,I23)</f>
        <v>-0.27281677935060727</v>
      </c>
      <c r="K23">
        <f>ZCP_3D('Données géométriques'!$B$9,'Données géométriques'!$B$10,'Données géométriques'!$B$11)</f>
        <v>-0.37564783319086603</v>
      </c>
      <c r="L23">
        <f>'0.1kts'!L23</f>
        <v>2.0308231975E-2</v>
      </c>
    </row>
    <row r="24" spans="1:12" x14ac:dyDescent="0.3">
      <c r="A24">
        <v>10</v>
      </c>
      <c r="B24">
        <f t="shared" si="0"/>
        <v>0.17453292519943295</v>
      </c>
      <c r="C24">
        <v>1.0881000000000001</v>
      </c>
      <c r="D24">
        <v>1.413E-2</v>
      </c>
      <c r="E24">
        <v>3.8999999999999998E-3</v>
      </c>
      <c r="F24">
        <f>C24/(1+2/'Données géométriques'!$B$6)</f>
        <v>0.83783700000000005</v>
      </c>
      <c r="G24">
        <f>F24^2/(PI()*'Données géométriques'!$B$6)</f>
        <v>3.3371544985535628E-2</v>
      </c>
      <c r="H24">
        <f t="shared" si="1"/>
        <v>4.7501544985535632E-2</v>
      </c>
      <c r="I24">
        <f t="shared" si="2"/>
        <v>0.24636879272808168</v>
      </c>
      <c r="J24">
        <f>XCP_3D('Données géométriques'!$B$9,'Données géométriques'!$B$10,'Données géométriques'!$B$11,'Données géométriques'!$B$12,I24)</f>
        <v>-0.27239470277622768</v>
      </c>
      <c r="K24">
        <f>ZCP_3D('Données géométriques'!$B$9,'Données géométriques'!$B$10,'Données géométriques'!$B$11)</f>
        <v>-0.37564783319086603</v>
      </c>
      <c r="L24">
        <f>'0.1kts'!L24</f>
        <v>1.9476900000000002E-2</v>
      </c>
    </row>
    <row r="25" spans="1:12" x14ac:dyDescent="0.3">
      <c r="A25">
        <v>10.5</v>
      </c>
      <c r="B25">
        <f t="shared" si="0"/>
        <v>0.18325957145940461</v>
      </c>
      <c r="C25">
        <v>1.1328</v>
      </c>
      <c r="D25">
        <v>1.49E-2</v>
      </c>
      <c r="E25">
        <v>5.5999999999999999E-3</v>
      </c>
      <c r="F25">
        <f>C25/(1+2/'Données géométriques'!$B$6)</f>
        <v>0.87225600000000003</v>
      </c>
      <c r="G25">
        <f>F25^2/(PI()*'Données géométriques'!$B$6)</f>
        <v>3.6169722227405325E-2</v>
      </c>
      <c r="H25">
        <f t="shared" si="1"/>
        <v>5.1069722227405329E-2</v>
      </c>
      <c r="I25">
        <f t="shared" si="2"/>
        <v>0.24498453476197013</v>
      </c>
      <c r="J25">
        <f>XCP_3D('Données géométriques'!$B$9,'Données géométriques'!$B$10,'Données géométriques'!$B$11,'Données géométriques'!$B$12,I25)</f>
        <v>-0.27204938133146067</v>
      </c>
      <c r="K25">
        <f>ZCP_3D('Données géométriques'!$B$9,'Données géométriques'!$B$10,'Données géométriques'!$B$11)</f>
        <v>-0.37564783319086603</v>
      </c>
      <c r="L25">
        <f>'0.1kts'!L25</f>
        <v>1.8552511024999999E-2</v>
      </c>
    </row>
    <row r="26" spans="1:12" x14ac:dyDescent="0.3">
      <c r="A26">
        <v>11</v>
      </c>
      <c r="B26">
        <f t="shared" si="0"/>
        <v>0.19198621771937624</v>
      </c>
      <c r="C26">
        <v>1.1780999999999999</v>
      </c>
      <c r="D26">
        <v>1.567E-2</v>
      </c>
      <c r="E26">
        <v>7.1000000000000004E-3</v>
      </c>
      <c r="F26">
        <f>C26/(1+2/'Données géométriques'!$B$6)</f>
        <v>0.90713699999999997</v>
      </c>
      <c r="G26">
        <f>F26^2/(PI()*'Données géométriques'!$B$6)</f>
        <v>3.9120374605239143E-2</v>
      </c>
      <c r="H26">
        <f t="shared" si="1"/>
        <v>5.4790374605239139E-2</v>
      </c>
      <c r="I26">
        <f t="shared" si="2"/>
        <v>0.24387638030776654</v>
      </c>
      <c r="J26">
        <f>XCP_3D('Données géométriques'!$B$9,'Données géométriques'!$B$10,'Données géométriques'!$B$11,'Données géométriques'!$B$12,I26)</f>
        <v>-0.27177293755687765</v>
      </c>
      <c r="K26">
        <f>ZCP_3D('Données géométriques'!$B$9,'Données géométriques'!$B$10,'Données géométriques'!$B$11)</f>
        <v>-0.37564783319086603</v>
      </c>
      <c r="L26">
        <f>'0.1kts'!L26</f>
        <v>1.7530412199999998E-2</v>
      </c>
    </row>
    <row r="27" spans="1:12" x14ac:dyDescent="0.3">
      <c r="A27">
        <v>11.5</v>
      </c>
      <c r="B27">
        <f t="shared" si="0"/>
        <v>0.20071286397934787</v>
      </c>
      <c r="C27">
        <v>1.2223999999999999</v>
      </c>
      <c r="D27">
        <v>1.652E-2</v>
      </c>
      <c r="E27">
        <v>8.6999999999999994E-3</v>
      </c>
      <c r="F27">
        <f>C27/(1+2/'Données géométriques'!$B$6)</f>
        <v>0.94124799999999997</v>
      </c>
      <c r="G27">
        <f>F27^2/(PI()*'Données géométriques'!$B$6)</f>
        <v>4.2117770646301303E-2</v>
      </c>
      <c r="H27">
        <f t="shared" si="1"/>
        <v>5.8637770646301303E-2</v>
      </c>
      <c r="I27">
        <f t="shared" si="2"/>
        <v>0.24275696247366968</v>
      </c>
      <c r="J27">
        <f>XCP_3D('Données géométriques'!$B$9,'Données géométriques'!$B$10,'Données géométriques'!$B$11,'Données géométriques'!$B$12,I27)</f>
        <v>-0.27149368398331641</v>
      </c>
      <c r="K27">
        <f>ZCP_3D('Données géométriques'!$B$9,'Données géométriques'!$B$10,'Données géométriques'!$B$11)</f>
        <v>-0.37564783319086603</v>
      </c>
      <c r="L27">
        <f>'0.1kts'!L27</f>
        <v>1.6405950674999999E-2</v>
      </c>
    </row>
    <row r="28" spans="1:12" x14ac:dyDescent="0.3">
      <c r="A28">
        <v>12</v>
      </c>
      <c r="B28">
        <f t="shared" si="0"/>
        <v>0.20943951023931953</v>
      </c>
      <c r="C28">
        <v>1.2645999999999999</v>
      </c>
      <c r="D28">
        <v>1.753E-2</v>
      </c>
      <c r="E28">
        <v>1.04E-2</v>
      </c>
      <c r="F28">
        <f>C28/(1+2/'Données géométriques'!$B$6)</f>
        <v>0.973742</v>
      </c>
      <c r="G28">
        <f>F28^2/(PI()*'Données géométriques'!$B$6)</f>
        <v>4.5075966534422154E-2</v>
      </c>
      <c r="H28">
        <f t="shared" si="1"/>
        <v>6.2605966534422158E-2</v>
      </c>
      <c r="I28">
        <f t="shared" si="2"/>
        <v>0.24161702810652663</v>
      </c>
      <c r="J28">
        <f>XCP_3D('Données géométriques'!$B$9,'Données géométriques'!$B$10,'Données géométriques'!$B$11,'Données géométriques'!$B$12,I28)</f>
        <v>-0.27120931228942824</v>
      </c>
      <c r="K28">
        <f>ZCP_3D('Données géométriques'!$B$9,'Données géométriques'!$B$10,'Données géométriques'!$B$11)</f>
        <v>-0.37564783319086603</v>
      </c>
      <c r="L28">
        <f>'0.1kts'!L28</f>
        <v>1.5174473599999998E-2</v>
      </c>
    </row>
    <row r="29" spans="1:12" x14ac:dyDescent="0.3">
      <c r="A29">
        <v>12.5</v>
      </c>
      <c r="B29">
        <f t="shared" si="0"/>
        <v>0.21816615649929119</v>
      </c>
      <c r="C29">
        <v>1.3064</v>
      </c>
      <c r="D29">
        <v>1.8489999999999999E-2</v>
      </c>
      <c r="E29">
        <v>1.2200000000000001E-2</v>
      </c>
      <c r="F29">
        <f>C29/(1+2/'Données géométriques'!$B$6)</f>
        <v>1.0059279999999999</v>
      </c>
      <c r="G29">
        <f>F29^2/(PI()*'Données géométriques'!$B$6)</f>
        <v>4.8105090529579855E-2</v>
      </c>
      <c r="H29">
        <f t="shared" si="1"/>
        <v>6.6595090529579848E-2</v>
      </c>
      <c r="I29">
        <f t="shared" si="2"/>
        <v>0.24046454152661853</v>
      </c>
      <c r="J29">
        <f>XCP_3D('Données géométriques'!$B$9,'Données géométriques'!$B$10,'Données géométriques'!$B$11,'Données géométriques'!$B$12,I29)</f>
        <v>-0.2709218092801679</v>
      </c>
      <c r="K29">
        <f>ZCP_3D('Données géométriques'!$B$9,'Données géométriques'!$B$10,'Données géométriques'!$B$11)</f>
        <v>-0.37564783319086603</v>
      </c>
      <c r="L29">
        <f>'0.1kts'!L29</f>
        <v>1.3831328124999999E-2</v>
      </c>
    </row>
    <row r="30" spans="1:12" x14ac:dyDescent="0.3">
      <c r="A30">
        <v>13</v>
      </c>
      <c r="B30">
        <f t="shared" si="0"/>
        <v>0.22689280275926285</v>
      </c>
      <c r="C30">
        <v>1.3455999999999999</v>
      </c>
      <c r="D30">
        <v>1.958E-2</v>
      </c>
      <c r="E30">
        <v>1.4200000000000001E-2</v>
      </c>
      <c r="F30">
        <f>C30/(1+2/'Données géométriques'!$B$6)</f>
        <v>1.0361119999999999</v>
      </c>
      <c r="G30">
        <f>F30^2/(PI()*'Données géométriques'!$B$6)</f>
        <v>5.1035297381662077E-2</v>
      </c>
      <c r="H30">
        <f t="shared" si="1"/>
        <v>7.0615297381662084E-2</v>
      </c>
      <c r="I30">
        <f t="shared" si="2"/>
        <v>0.23920576391594908</v>
      </c>
      <c r="J30">
        <f>XCP_3D('Données géométriques'!$B$9,'Données géométriques'!$B$10,'Données géométriques'!$B$11,'Données géométriques'!$B$12,I30)</f>
        <v>-0.27060779056848577</v>
      </c>
      <c r="K30">
        <f>ZCP_3D('Données géométriques'!$B$9,'Données géométriques'!$B$10,'Données géométriques'!$B$11)</f>
        <v>-0.37564783319086603</v>
      </c>
      <c r="L30">
        <f>'0.1kts'!L30</f>
        <v>1.23718614E-2</v>
      </c>
    </row>
    <row r="31" spans="1:12" x14ac:dyDescent="0.3">
      <c r="A31">
        <v>13.5</v>
      </c>
      <c r="B31">
        <f t="shared" si="0"/>
        <v>0.23561944901923448</v>
      </c>
      <c r="C31">
        <v>1.3812</v>
      </c>
      <c r="D31">
        <v>2.0809999999999999E-2</v>
      </c>
      <c r="E31">
        <v>1.66E-2</v>
      </c>
      <c r="F31">
        <f>C31/(1+2/'Données géométriques'!$B$6)</f>
        <v>1.0635239999999999</v>
      </c>
      <c r="G31">
        <f>F31^2/(PI()*'Données géométriques'!$B$6)</f>
        <v>5.3771460446653242E-2</v>
      </c>
      <c r="H31">
        <f t="shared" si="1"/>
        <v>7.4581460446653244E-2</v>
      </c>
      <c r="I31">
        <f t="shared" si="2"/>
        <v>0.23768450368142163</v>
      </c>
      <c r="J31">
        <f>XCP_3D('Données géométriques'!$B$9,'Données géométriques'!$B$10,'Données géométriques'!$B$11,'Données géométriques'!$B$12,I31)</f>
        <v>-0.27022829209716465</v>
      </c>
      <c r="K31">
        <f>ZCP_3D('Données géométriques'!$B$9,'Données géométriques'!$B$10,'Données géométriques'!$B$11)</f>
        <v>-0.37564783319086603</v>
      </c>
      <c r="L31">
        <f>'0.1kts'!L31</f>
        <v>1.0791420575E-2</v>
      </c>
    </row>
    <row r="32" spans="1:12" x14ac:dyDescent="0.3">
      <c r="A32">
        <v>14</v>
      </c>
      <c r="B32">
        <f t="shared" si="0"/>
        <v>0.24434609527920614</v>
      </c>
      <c r="C32">
        <v>1.4086000000000001</v>
      </c>
      <c r="D32">
        <v>2.222E-2</v>
      </c>
      <c r="E32">
        <v>2.0199999999999999E-2</v>
      </c>
      <c r="F32">
        <f>C32/(1+2/'Données géométriques'!$B$6)</f>
        <v>1.084622</v>
      </c>
      <c r="G32">
        <f>F32^2/(PI()*'Données géométriques'!$B$6)</f>
        <v>5.5926038965375437E-2</v>
      </c>
      <c r="H32">
        <f t="shared" si="1"/>
        <v>7.8146038965375433E-2</v>
      </c>
      <c r="I32">
        <f t="shared" si="2"/>
        <v>0.23527840644595721</v>
      </c>
      <c r="J32">
        <f>XCP_3D('Données géométriques'!$B$9,'Données géométriques'!$B$10,'Données géométriques'!$B$11,'Données géométriques'!$B$12,I32)</f>
        <v>-0.26962805934146455</v>
      </c>
      <c r="K32">
        <f>ZCP_3D('Données géométriques'!$B$9,'Données géométriques'!$B$10,'Données géométriques'!$B$11)</f>
        <v>-0.37564783319086603</v>
      </c>
      <c r="L32">
        <f>'0.1kts'!L32</f>
        <v>9.0853527999999965E-3</v>
      </c>
    </row>
    <row r="33" spans="1:12" x14ac:dyDescent="0.3">
      <c r="A33">
        <v>14.5</v>
      </c>
      <c r="B33">
        <f t="shared" si="0"/>
        <v>0.2530727415391778</v>
      </c>
      <c r="C33">
        <v>1.4319999999999999</v>
      </c>
      <c r="D33">
        <v>2.383E-2</v>
      </c>
      <c r="E33">
        <v>2.3800000000000002E-2</v>
      </c>
      <c r="F33">
        <f>C33/(1+2/'Données géométriques'!$B$6)</f>
        <v>1.1026400000000001</v>
      </c>
      <c r="G33">
        <f>F33^2/(PI()*'Données géométriques'!$B$6)</f>
        <v>5.7799586140651137E-2</v>
      </c>
      <c r="H33">
        <f t="shared" si="1"/>
        <v>8.1629586140651134E-2</v>
      </c>
      <c r="I33">
        <f t="shared" si="2"/>
        <v>0.23290664557908047</v>
      </c>
      <c r="J33">
        <f>XCP_3D('Données géométriques'!$B$9,'Données géométriques'!$B$10,'Données géométriques'!$B$11,'Données géométriques'!$B$12,I33)</f>
        <v>-0.26903639224671722</v>
      </c>
      <c r="K33">
        <f>ZCP_3D('Données géométriques'!$B$9,'Données géométriques'!$B$10,'Données géométriques'!$B$11)</f>
        <v>-0.37564783319086603</v>
      </c>
      <c r="L33">
        <f>'0.1kts'!L33</f>
        <v>7.2490052249999971E-3</v>
      </c>
    </row>
    <row r="34" spans="1:12" x14ac:dyDescent="0.3">
      <c r="A34">
        <v>15</v>
      </c>
      <c r="B34">
        <f t="shared" si="0"/>
        <v>0.26179938779914941</v>
      </c>
      <c r="C34">
        <v>1.4532</v>
      </c>
      <c r="D34">
        <v>2.5739999999999999E-2</v>
      </c>
      <c r="E34">
        <v>2.69E-2</v>
      </c>
      <c r="F34">
        <f>C34/(1+2/'Données géométriques'!$B$6)</f>
        <v>1.1189640000000001</v>
      </c>
      <c r="G34">
        <f>F34^2/(PI()*'Données géométriques'!$B$6)</f>
        <v>5.9523638603598869E-2</v>
      </c>
      <c r="H34">
        <f t="shared" si="1"/>
        <v>8.5263638603598868E-2</v>
      </c>
      <c r="I34">
        <f t="shared" si="2"/>
        <v>0.23092665828360368</v>
      </c>
      <c r="J34">
        <f>XCP_3D('Données géométriques'!$B$9,'Données géométriques'!$B$10,'Données géométriques'!$B$11,'Données géométriques'!$B$12,I34)</f>
        <v>-0.26854245824725154</v>
      </c>
      <c r="K34">
        <f>ZCP_3D('Données géométriques'!$B$9,'Données géométriques'!$B$10,'Données géométriques'!$B$11)</f>
        <v>-0.37564783319086603</v>
      </c>
      <c r="L34">
        <f>'0.1kts'!L34</f>
        <v>5.2777249999999987E-3</v>
      </c>
    </row>
    <row r="35" spans="1:12" x14ac:dyDescent="0.3">
      <c r="A35">
        <v>15.5</v>
      </c>
      <c r="B35">
        <f t="shared" si="0"/>
        <v>0.27052603405912107</v>
      </c>
      <c r="C35">
        <v>1.4708000000000001</v>
      </c>
      <c r="D35">
        <v>2.8150000000000001E-2</v>
      </c>
      <c r="E35">
        <v>2.9399999999999999E-2</v>
      </c>
      <c r="F35">
        <f>C35/(1+2/'Données géométriques'!$B$6)</f>
        <v>1.1325160000000001</v>
      </c>
      <c r="G35">
        <f>F35^2/(PI()*'Données géométriques'!$B$6)</f>
        <v>6.097417532891012E-2</v>
      </c>
      <c r="H35">
        <f t="shared" si="1"/>
        <v>8.9124175328910121E-2</v>
      </c>
      <c r="I35">
        <f t="shared" si="2"/>
        <v>0.22936596568748596</v>
      </c>
      <c r="J35">
        <f>XCP_3D('Données géométriques'!$B$9,'Données géométriques'!$B$10,'Données géométriques'!$B$11,'Données géométriques'!$B$12,I35)</f>
        <v>-0.2681531228521733</v>
      </c>
      <c r="K35">
        <f>ZCP_3D('Données géométriques'!$B$9,'Données géométriques'!$B$10,'Données géométriques'!$B$11)</f>
        <v>-0.37564783319086603</v>
      </c>
      <c r="L35">
        <f>'0.1kts'!L35</f>
        <v>3.1668592749999986E-3</v>
      </c>
    </row>
    <row r="36" spans="1:12" x14ac:dyDescent="0.3">
      <c r="A36">
        <v>16</v>
      </c>
      <c r="B36">
        <f t="shared" si="0"/>
        <v>0.27925268031909273</v>
      </c>
      <c r="C36">
        <v>1.4837</v>
      </c>
      <c r="D36">
        <v>3.1269999999999999E-2</v>
      </c>
      <c r="E36">
        <v>3.1099999999999999E-2</v>
      </c>
      <c r="F36">
        <f>C36/(1+2/'Données géométriques'!$B$6)</f>
        <v>1.142449</v>
      </c>
      <c r="G36">
        <f>F36^2/(PI()*'Données géométriques'!$B$6)</f>
        <v>6.2048442730714609E-2</v>
      </c>
      <c r="H36">
        <f t="shared" si="1"/>
        <v>9.3318442730714601E-2</v>
      </c>
      <c r="I36">
        <f t="shared" si="2"/>
        <v>0.22832515713068494</v>
      </c>
      <c r="J36">
        <f>XCP_3D('Données géométriques'!$B$9,'Données géométriques'!$B$10,'Données géométriques'!$B$11,'Données géométriques'!$B$12,I36)</f>
        <v>-0.26789347940177627</v>
      </c>
      <c r="K36">
        <f>ZCP_3D('Données géométriques'!$B$9,'Données géométriques'!$B$10,'Données géométriques'!$B$11)</f>
        <v>-0.37564783319086603</v>
      </c>
      <c r="L36">
        <f>'0.1kts'!L36</f>
        <v>9.1175519999999951E-4</v>
      </c>
    </row>
    <row r="37" spans="1:12" x14ac:dyDescent="0.3">
      <c r="A37">
        <v>16.5</v>
      </c>
      <c r="B37">
        <f t="shared" si="0"/>
        <v>0.28797932657906439</v>
      </c>
      <c r="C37">
        <v>1.4913000000000001</v>
      </c>
      <c r="D37">
        <v>3.5389999999999998E-2</v>
      </c>
      <c r="E37">
        <v>3.1600000000000003E-2</v>
      </c>
      <c r="F37">
        <f>C37/(1+2/'Données géométriques'!$B$6)</f>
        <v>1.148301</v>
      </c>
      <c r="G37">
        <f>F37^2/(PI()*'Données géométriques'!$B$6)</f>
        <v>6.2685735887646407E-2</v>
      </c>
      <c r="H37">
        <f t="shared" si="1"/>
        <v>9.8075735887646398E-2</v>
      </c>
      <c r="I37">
        <f t="shared" si="2"/>
        <v>0.22805462857175859</v>
      </c>
      <c r="J37">
        <f>XCP_3D('Données géométriques'!$B$9,'Données géométriques'!$B$10,'Données géométriques'!$B$11,'Données géométriques'!$B$12,I37)</f>
        <v>-0.26782599247729638</v>
      </c>
      <c r="K37">
        <f>ZCP_3D('Données géométriques'!$B$9,'Données géométriques'!$B$10,'Données géométriques'!$B$11)</f>
        <v>-0.37564783319086603</v>
      </c>
      <c r="L37">
        <f>'0.1kts'!L37</f>
        <v>-1.4922400750000014E-3</v>
      </c>
    </row>
    <row r="38" spans="1:12" x14ac:dyDescent="0.3">
      <c r="A38">
        <v>17</v>
      </c>
      <c r="B38">
        <f t="shared" si="0"/>
        <v>0.29670597283903605</v>
      </c>
      <c r="C38">
        <v>1.4914000000000001</v>
      </c>
      <c r="D38">
        <v>4.0930000000000001E-2</v>
      </c>
      <c r="E38">
        <v>3.0700000000000002E-2</v>
      </c>
      <c r="F38">
        <f>C38/(1+2/'Données géométriques'!$B$6)</f>
        <v>1.1483780000000001</v>
      </c>
      <c r="G38">
        <f>F38^2/(PI()*'Données géométriques'!$B$6)</f>
        <v>6.2694143027403962E-2</v>
      </c>
      <c r="H38">
        <f t="shared" si="1"/>
        <v>0.10362414302740397</v>
      </c>
      <c r="I38">
        <f t="shared" si="2"/>
        <v>0.22865386824982706</v>
      </c>
      <c r="J38">
        <f>XCP_3D('Données géométriques'!$B$9,'Données géométriques'!$B$10,'Données géométriques'!$B$11,'Données géométriques'!$B$12,I38)</f>
        <v>-0.26797548073487537</v>
      </c>
      <c r="K38">
        <f>ZCP_3D('Données géométriques'!$B$9,'Données géométriques'!$B$10,'Données géométriques'!$B$11)</f>
        <v>-0.37564783319086603</v>
      </c>
      <c r="L38">
        <f>'0.1kts'!L38</f>
        <v>-4.0497794000000026E-3</v>
      </c>
    </row>
    <row r="39" spans="1:12" x14ac:dyDescent="0.3">
      <c r="A39">
        <v>17.5</v>
      </c>
      <c r="B39">
        <f t="shared" si="0"/>
        <v>0.30543261909900765</v>
      </c>
      <c r="C39">
        <v>1.4811000000000001</v>
      </c>
      <c r="D39">
        <v>4.8489999999999998E-2</v>
      </c>
      <c r="E39">
        <v>2.7900000000000001E-2</v>
      </c>
      <c r="F39">
        <f>C39/(1+2/'Données géométriques'!$B$6)</f>
        <v>1.140447</v>
      </c>
      <c r="G39">
        <f>F39^2/(PI()*'Données géométriques'!$B$6)</f>
        <v>6.1831168889301701E-2</v>
      </c>
      <c r="H39">
        <f t="shared" si="1"/>
        <v>0.1103211688893017</v>
      </c>
      <c r="I39">
        <f t="shared" si="2"/>
        <v>0.23045029350446372</v>
      </c>
      <c r="J39">
        <f>XCP_3D('Données géométriques'!$B$9,'Données géométriques'!$B$10,'Données géométriques'!$B$11,'Données géométriques'!$B$12,I39)</f>
        <v>-0.26842362275719533</v>
      </c>
      <c r="K39">
        <f>ZCP_3D('Données géométriques'!$B$9,'Données géométriques'!$B$10,'Données géométriques'!$B$11)</f>
        <v>-0.37564783319086603</v>
      </c>
      <c r="L39">
        <f>'0.1kts'!L39</f>
        <v>-6.7655156249999994E-3</v>
      </c>
    </row>
    <row r="40" spans="1:12" x14ac:dyDescent="0.3">
      <c r="A40">
        <v>18</v>
      </c>
      <c r="B40">
        <f t="shared" si="0"/>
        <v>0.31415926535897931</v>
      </c>
      <c r="C40">
        <v>1.4562999999999999</v>
      </c>
      <c r="D40">
        <v>5.8799999999999998E-2</v>
      </c>
      <c r="E40">
        <v>2.3E-2</v>
      </c>
      <c r="F40">
        <f>C40/(1+2/'Données géométriques'!$B$6)</f>
        <v>1.121351</v>
      </c>
      <c r="G40">
        <f>F40^2/(PI()*'Données géométriques'!$B$6)</f>
        <v>5.9777863891714231E-2</v>
      </c>
      <c r="H40">
        <f t="shared" si="1"/>
        <v>0.11857786389171424</v>
      </c>
      <c r="I40">
        <f t="shared" si="2"/>
        <v>0.23360882157884619</v>
      </c>
      <c r="J40">
        <f>XCP_3D('Données géométriques'!$B$9,'Données géométriques'!$B$10,'Données géométriques'!$B$11,'Données géométriques'!$B$12,I40)</f>
        <v>-0.26921155933020591</v>
      </c>
      <c r="K40">
        <f>ZCP_3D('Données géométriques'!$B$9,'Données géométriques'!$B$10,'Données géométriques'!$B$11)</f>
        <v>-0.37564783319086603</v>
      </c>
      <c r="L40">
        <f>'0.1kts'!L40</f>
        <v>-9.6441016000000015E-3</v>
      </c>
    </row>
    <row r="41" spans="1:12" x14ac:dyDescent="0.3">
      <c r="A41">
        <v>18.5</v>
      </c>
      <c r="B41">
        <f t="shared" si="0"/>
        <v>0.32288591161895097</v>
      </c>
      <c r="C41">
        <v>1.4127000000000001</v>
      </c>
      <c r="D41">
        <v>7.2590000000000002E-2</v>
      </c>
      <c r="E41">
        <v>1.61E-2</v>
      </c>
      <c r="F41">
        <f>C41/(1+2/'Données géométriques'!$B$6)</f>
        <v>1.0877790000000001</v>
      </c>
      <c r="G41">
        <f>F41^2/(PI()*'Données géométriques'!$B$6)</f>
        <v>5.6252079666524138E-2</v>
      </c>
      <c r="H41">
        <f t="shared" si="1"/>
        <v>0.12884207966652414</v>
      </c>
      <c r="I41">
        <f t="shared" si="2"/>
        <v>0.23818548037959034</v>
      </c>
      <c r="J41">
        <f>XCP_3D('Données géométriques'!$B$9,'Données géométriques'!$B$10,'Données géométriques'!$B$11,'Données géométriques'!$B$12,I41)</f>
        <v>-0.27035326735570775</v>
      </c>
      <c r="K41">
        <f>ZCP_3D('Données géométriques'!$B$9,'Données géométriques'!$B$10,'Données géométriques'!$B$11)</f>
        <v>-0.37564783319086603</v>
      </c>
      <c r="L41">
        <f>'0.1kts'!L41</f>
        <v>-1.2690190175000003E-2</v>
      </c>
    </row>
    <row r="42" spans="1:12" x14ac:dyDescent="0.3">
      <c r="A42">
        <v>19</v>
      </c>
      <c r="B42">
        <f t="shared" si="0"/>
        <v>0.33161255787892258</v>
      </c>
      <c r="C42">
        <v>1.3471</v>
      </c>
      <c r="D42">
        <v>9.0679999999999997E-2</v>
      </c>
      <c r="E42">
        <v>6.7999999999999996E-3</v>
      </c>
      <c r="F42">
        <f>C42/(1+2/'Données géométriques'!$B$6)</f>
        <v>1.0372669999999999</v>
      </c>
      <c r="G42">
        <f>F42^2/(PI()*'Données géométriques'!$B$6)</f>
        <v>5.1149143419941846E-2</v>
      </c>
      <c r="H42">
        <f t="shared" si="1"/>
        <v>0.14182914341994185</v>
      </c>
      <c r="I42">
        <f t="shared" si="2"/>
        <v>0.24478219738375573</v>
      </c>
      <c r="J42">
        <f>XCP_3D('Données géométriques'!$B$9,'Données géométriques'!$B$10,'Données géométriques'!$B$11,'Données géométriques'!$B$12,I42)</f>
        <v>-0.27199890559826212</v>
      </c>
      <c r="K42">
        <f>ZCP_3D('Données géométriques'!$B$9,'Données géométriques'!$B$10,'Données géométriques'!$B$11)</f>
        <v>-0.37564783319086603</v>
      </c>
      <c r="L42">
        <f>'0.1kts'!L42</f>
        <v>-1.5908434200000002E-2</v>
      </c>
    </row>
    <row r="43" spans="1:12" x14ac:dyDescent="0.3">
      <c r="A43">
        <v>19.5</v>
      </c>
      <c r="B43">
        <f t="shared" si="0"/>
        <v>0.34033920413889424</v>
      </c>
      <c r="C43">
        <v>1.2656000000000001</v>
      </c>
      <c r="D43">
        <v>0.11246</v>
      </c>
      <c r="E43">
        <v>-4.4999999999999997E-3</v>
      </c>
      <c r="F43">
        <f>C43/(1+2/'Données géométriques'!$B$6)</f>
        <v>0.97451200000000004</v>
      </c>
      <c r="G43">
        <f>F43^2/(PI()*'Données géométriques'!$B$6)</f>
        <v>4.5147283612956828E-2</v>
      </c>
      <c r="H43">
        <f t="shared" si="1"/>
        <v>0.15760728361295684</v>
      </c>
      <c r="I43">
        <f t="shared" si="2"/>
        <v>0.25365691032905147</v>
      </c>
      <c r="J43">
        <f>XCP_3D('Données géométriques'!$B$9,'Données géométriques'!$B$10,'Données géométriques'!$B$11,'Données géométriques'!$B$12,I43)</f>
        <v>-0.27421282003558839</v>
      </c>
      <c r="K43">
        <f>ZCP_3D('Données géométriques'!$B$9,'Données géométriques'!$B$10,'Données géométriques'!$B$11)</f>
        <v>-0.37564783319086603</v>
      </c>
      <c r="L43">
        <f>'0.1kts'!L43</f>
        <v>-1.9303486525E-2</v>
      </c>
    </row>
    <row r="44" spans="1:12" x14ac:dyDescent="0.3">
      <c r="A44">
        <v>20</v>
      </c>
      <c r="B44">
        <f t="shared" si="0"/>
        <v>0.3490658503988659</v>
      </c>
      <c r="C44">
        <v>1.1842999999999999</v>
      </c>
      <c r="D44">
        <v>0.1356</v>
      </c>
      <c r="E44">
        <v>-1.7100000000000001E-2</v>
      </c>
      <c r="F44">
        <f>C44/(1+2/'Données géométriques'!$B$6)</f>
        <v>0.91191099999999992</v>
      </c>
      <c r="G44">
        <f>F44^2/(PI()*'Données géométriques'!$B$6)</f>
        <v>3.953321655103309E-2</v>
      </c>
      <c r="H44">
        <f t="shared" si="1"/>
        <v>0.17513321655103309</v>
      </c>
      <c r="I44">
        <f t="shared" si="2"/>
        <v>0.26475084143809868</v>
      </c>
      <c r="J44">
        <f>XCP_3D('Données géométriques'!$B$9,'Données géométriques'!$B$10,'Données géométriques'!$B$11,'Données géométriques'!$B$12,I44)</f>
        <v>-0.27698034777427721</v>
      </c>
      <c r="K44">
        <f>ZCP_3D('Données géométriques'!$B$9,'Données géométriques'!$B$10,'Données géométriques'!$B$11)</f>
        <v>-0.37564783319086603</v>
      </c>
      <c r="L44">
        <f>'0.1kts'!L44</f>
        <v>-2.2879999999999998E-2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EC015-D3A3-4C76-9B4E-B4AA9508007B}">
  <sheetPr codeName="Feuil11"/>
  <dimension ref="A1:L41"/>
  <sheetViews>
    <sheetView topLeftCell="B2" workbookViewId="0">
      <selection activeCell="O9" sqref="O9"/>
    </sheetView>
  </sheetViews>
  <sheetFormatPr baseColWidth="10" defaultRowHeight="14.4" x14ac:dyDescent="0.3"/>
  <sheetData>
    <row r="1" spans="1:12" x14ac:dyDescent="0.3">
      <c r="A1">
        <v>10</v>
      </c>
      <c r="C1" s="2">
        <f>A1*'Données géométriques'!B2/'Données géométriques'!G2</f>
        <v>2284011.9165839129</v>
      </c>
    </row>
    <row r="2" spans="1:1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27</v>
      </c>
      <c r="K2" t="s">
        <v>28</v>
      </c>
      <c r="L2" t="s">
        <v>12</v>
      </c>
    </row>
    <row r="3" spans="1:12" x14ac:dyDescent="0.3">
      <c r="A3" t="s">
        <v>9</v>
      </c>
      <c r="B3" t="s">
        <v>9</v>
      </c>
      <c r="C3" t="s">
        <v>10</v>
      </c>
      <c r="D3" t="s">
        <v>11</v>
      </c>
      <c r="E3" t="s">
        <v>10</v>
      </c>
      <c r="F3" t="s">
        <v>9</v>
      </c>
      <c r="G3" t="s">
        <v>10</v>
      </c>
      <c r="H3" t="s">
        <v>11</v>
      </c>
      <c r="I3" t="s">
        <v>10</v>
      </c>
      <c r="J3" t="s">
        <v>11</v>
      </c>
      <c r="K3" t="s">
        <v>11</v>
      </c>
      <c r="L3" t="s">
        <v>11</v>
      </c>
    </row>
    <row r="4" spans="1:12" x14ac:dyDescent="0.3">
      <c r="A4">
        <v>0</v>
      </c>
      <c r="B4">
        <f>A4*PI()/180</f>
        <v>0</v>
      </c>
      <c r="C4">
        <v>0</v>
      </c>
      <c r="D4">
        <v>6.5300000000000002E-3</v>
      </c>
      <c r="E4">
        <v>0</v>
      </c>
      <c r="F4">
        <f>C4/(1+2/'Données géométriques'!$B$6)</f>
        <v>0</v>
      </c>
      <c r="G4">
        <f>F4^2/(PI()*'Données géométriques'!$B$6)</f>
        <v>0</v>
      </c>
      <c r="H4">
        <f>D4+G4</f>
        <v>6.5300000000000002E-3</v>
      </c>
      <c r="I4">
        <v>0</v>
      </c>
      <c r="J4">
        <f>XCP_3D('Données géométriques'!$B$9,'Données géométriques'!$B$10,'Données géométriques'!$B$11,'Données géométriques'!$B$12,I4)</f>
        <v>-0.21093475128380432</v>
      </c>
      <c r="K4">
        <f>ZCP_3D('Données géométriques'!$B$9,'Données géométriques'!$B$10,'Données géométriques'!$B$11)</f>
        <v>-0.37564783319086603</v>
      </c>
      <c r="L4">
        <f>'0.1kts'!L4</f>
        <v>2.4610999999999997E-2</v>
      </c>
    </row>
    <row r="5" spans="1:12" x14ac:dyDescent="0.3">
      <c r="A5">
        <v>0.5</v>
      </c>
      <c r="B5">
        <f t="shared" ref="B5:B41" si="0">A5*PI()/180</f>
        <v>8.7266462599716477E-3</v>
      </c>
      <c r="C5">
        <v>5.5800000000000002E-2</v>
      </c>
      <c r="D5">
        <v>6.5500000000000003E-3</v>
      </c>
      <c r="E5">
        <v>0</v>
      </c>
      <c r="F5">
        <f>C5/(1+2/'Données géométriques'!$B$6)</f>
        <v>4.2966000000000004E-2</v>
      </c>
      <c r="G5">
        <f>F5^2/(PI()*'Données géométriques'!$B$6)</f>
        <v>8.776211699023177E-5</v>
      </c>
      <c r="H5">
        <f>D5+G5</f>
        <v>6.6377621169902319E-3</v>
      </c>
      <c r="I5">
        <f>0.25-E5/(C5*COS(B5)+D5*SIN(B5))</f>
        <v>0.25</v>
      </c>
      <c r="J5">
        <f>XCP_3D('Données géométriques'!$B$9,'Données géométriques'!$B$10,'Données géométriques'!$B$11,'Données géométriques'!$B$12,I5)</f>
        <v>-0.27330055542225368</v>
      </c>
      <c r="K5">
        <f>ZCP_3D('Données géométriques'!$B$9,'Données géométriques'!$B$10,'Données géométriques'!$B$11)</f>
        <v>-0.37564783319086603</v>
      </c>
      <c r="L5">
        <f>'0.1kts'!L5</f>
        <v>2.4663709524999997E-2</v>
      </c>
    </row>
    <row r="6" spans="1:12" x14ac:dyDescent="0.3">
      <c r="A6">
        <v>1</v>
      </c>
      <c r="B6">
        <f t="shared" si="0"/>
        <v>1.7453292519943295E-2</v>
      </c>
      <c r="C6">
        <v>0.1116</v>
      </c>
      <c r="D6">
        <v>6.6100000000000004E-3</v>
      </c>
      <c r="E6">
        <v>0</v>
      </c>
      <c r="F6">
        <f>C6/(1+2/'Données géométriques'!$B$6)</f>
        <v>8.5932000000000008E-2</v>
      </c>
      <c r="G6">
        <f>F6^2/(PI()*'Données géométriques'!$B$6)</f>
        <v>3.5104846796092708E-4</v>
      </c>
      <c r="H6">
        <f t="shared" ref="H6:H41" si="1">D6+G6</f>
        <v>6.9610484679609279E-3</v>
      </c>
      <c r="I6">
        <f t="shared" ref="I6:I41" si="2">0.25-E6/(C6*COS(B6)+D6*SIN(B6))</f>
        <v>0.25</v>
      </c>
      <c r="J6">
        <f>XCP_3D('Données géométriques'!$B$9,'Données géométriques'!$B$10,'Données géométriques'!$B$11,'Données géométriques'!$B$12,I6)</f>
        <v>-0.27330055542225368</v>
      </c>
      <c r="K6">
        <f>ZCP_3D('Données géométriques'!$B$9,'Données géométriques'!$B$10,'Données géométriques'!$B$11)</f>
        <v>-0.37564783319086603</v>
      </c>
      <c r="L6">
        <f>'0.1kts'!L6</f>
        <v>2.4711766199999999E-2</v>
      </c>
    </row>
    <row r="7" spans="1:12" x14ac:dyDescent="0.3">
      <c r="A7">
        <v>1.5</v>
      </c>
      <c r="B7">
        <f t="shared" si="0"/>
        <v>2.6179938779914941E-2</v>
      </c>
      <c r="C7">
        <v>0.1673</v>
      </c>
      <c r="D7">
        <v>6.7000000000000002E-3</v>
      </c>
      <c r="E7">
        <v>1E-4</v>
      </c>
      <c r="F7">
        <f>C7/(1+2/'Données géométriques'!$B$6)</f>
        <v>0.12882099999999999</v>
      </c>
      <c r="G7">
        <f>F7^2/(PI()*'Données géométriques'!$B$6)</f>
        <v>7.8891565609817541E-4</v>
      </c>
      <c r="H7">
        <f t="shared" si="1"/>
        <v>7.4889156560981754E-3</v>
      </c>
      <c r="I7">
        <f t="shared" si="2"/>
        <v>0.24940269286135533</v>
      </c>
      <c r="J7">
        <f>XCP_3D('Données géométriques'!$B$9,'Données géométriques'!$B$10,'Données géométriques'!$B$11,'Données géométriques'!$B$12,I7)</f>
        <v>-0.27315154926217738</v>
      </c>
      <c r="K7">
        <f>ZCP_3D('Données géométriques'!$B$9,'Données géométriques'!$B$10,'Données géométriques'!$B$11)</f>
        <v>-0.37564783319086603</v>
      </c>
      <c r="L7">
        <f>'0.1kts'!L7</f>
        <v>2.4750517175E-2</v>
      </c>
    </row>
    <row r="8" spans="1:12" x14ac:dyDescent="0.3">
      <c r="A8">
        <v>2</v>
      </c>
      <c r="B8">
        <f t="shared" si="0"/>
        <v>3.4906585039886591E-2</v>
      </c>
      <c r="C8">
        <v>0.22289999999999999</v>
      </c>
      <c r="D8">
        <v>6.8300000000000001E-3</v>
      </c>
      <c r="E8">
        <v>2.0000000000000001E-4</v>
      </c>
      <c r="F8">
        <f>C8/(1+2/'Données géométriques'!$B$6)</f>
        <v>0.17163299999999998</v>
      </c>
      <c r="G8">
        <f>F8^2/(PI()*'Données géométriques'!$B$6)</f>
        <v>1.4004216939050881E-3</v>
      </c>
      <c r="H8">
        <f t="shared" si="1"/>
        <v>8.2304216939050878E-3</v>
      </c>
      <c r="I8">
        <f t="shared" si="2"/>
        <v>0.24910314938516845</v>
      </c>
      <c r="J8">
        <f>XCP_3D('Données géométriques'!$B$9,'Données géométriques'!$B$10,'Données géométriques'!$B$11,'Données géométriques'!$B$12,I8)</f>
        <v>-0.27307682418310875</v>
      </c>
      <c r="K8">
        <f>ZCP_3D('Données géométriques'!$B$9,'Données géométriques'!$B$10,'Données géométriques'!$B$11)</f>
        <v>-0.37564783319086603</v>
      </c>
      <c r="L8">
        <f>'0.1kts'!L8</f>
        <v>2.47753096E-2</v>
      </c>
    </row>
    <row r="9" spans="1:12" x14ac:dyDescent="0.3">
      <c r="A9">
        <v>2.5</v>
      </c>
      <c r="B9">
        <f t="shared" si="0"/>
        <v>4.3633231299858237E-2</v>
      </c>
      <c r="C9">
        <v>0.27829999999999999</v>
      </c>
      <c r="D9">
        <v>6.9699999999999996E-3</v>
      </c>
      <c r="E9">
        <v>2.0000000000000001E-4</v>
      </c>
      <c r="F9">
        <f>C9/(1+2/'Données géométriques'!$B$6)</f>
        <v>0.21429100000000001</v>
      </c>
      <c r="G9">
        <f>F9^2/(PI()*'Données géométriques'!$B$6)</f>
        <v>2.1830571514939332E-3</v>
      </c>
      <c r="H9">
        <f t="shared" si="1"/>
        <v>9.1530571514939329E-3</v>
      </c>
      <c r="I9">
        <f t="shared" si="2"/>
        <v>0.24928145213486969</v>
      </c>
      <c r="J9">
        <f>XCP_3D('Données géométriques'!$B$9,'Données géométriques'!$B$10,'Données géométriques'!$B$11,'Données géométriques'!$B$12,I9)</f>
        <v>-0.27312130416056957</v>
      </c>
      <c r="K9">
        <f>ZCP_3D('Données géométriques'!$B$9,'Données géométriques'!$B$10,'Données géométriques'!$B$11)</f>
        <v>-0.37564783319086603</v>
      </c>
      <c r="L9">
        <f>'0.1kts'!L9</f>
        <v>2.4781490624999996E-2</v>
      </c>
    </row>
    <row r="10" spans="1:12" x14ac:dyDescent="0.3">
      <c r="A10">
        <v>3</v>
      </c>
      <c r="B10">
        <f t="shared" si="0"/>
        <v>5.2359877559829883E-2</v>
      </c>
      <c r="C10">
        <v>0.33360000000000001</v>
      </c>
      <c r="D10">
        <v>7.1500000000000001E-3</v>
      </c>
      <c r="E10">
        <v>4.0000000000000002E-4</v>
      </c>
      <c r="F10">
        <f>C10/(1+2/'Données géométriques'!$B$6)</f>
        <v>0.25687199999999999</v>
      </c>
      <c r="G10">
        <f>F10^2/(PI()*'Données géométriques'!$B$6)</f>
        <v>3.1368285117230059E-3</v>
      </c>
      <c r="H10">
        <f t="shared" si="1"/>
        <v>1.0286828511723006E-2</v>
      </c>
      <c r="I10">
        <f t="shared" si="2"/>
        <v>0.24880066088939298</v>
      </c>
      <c r="J10">
        <f>XCP_3D('Données géométriques'!$B$9,'Données géométriques'!$B$10,'Données géométriques'!$B$11,'Données géométriques'!$B$12,I10)</f>
        <v>-0.27300136442998285</v>
      </c>
      <c r="K10">
        <f>ZCP_3D('Données géométriques'!$B$9,'Données géométriques'!$B$10,'Données géométriques'!$B$11)</f>
        <v>-0.37564783319086603</v>
      </c>
      <c r="L10">
        <f>'0.1kts'!L10</f>
        <v>2.4764407400000001E-2</v>
      </c>
    </row>
    <row r="11" spans="1:12" x14ac:dyDescent="0.3">
      <c r="A11">
        <v>3.5</v>
      </c>
      <c r="B11">
        <f t="shared" si="0"/>
        <v>6.1086523819801536E-2</v>
      </c>
      <c r="C11">
        <v>0.38879999999999998</v>
      </c>
      <c r="D11">
        <v>7.3299999999999997E-3</v>
      </c>
      <c r="E11">
        <v>5.0000000000000001E-4</v>
      </c>
      <c r="F11">
        <f>C11/(1+2/'Données géométriques'!$B$6)</f>
        <v>0.29937599999999998</v>
      </c>
      <c r="G11">
        <f>F11^2/(PI()*'Données géométriques'!$B$6)</f>
        <v>4.2608005518171193E-3</v>
      </c>
      <c r="H11">
        <f t="shared" si="1"/>
        <v>1.1590800551817118E-2</v>
      </c>
      <c r="I11">
        <f t="shared" si="2"/>
        <v>0.24871307256779709</v>
      </c>
      <c r="J11">
        <f>XCP_3D('Données géométriques'!$B$9,'Données géométriques'!$B$10,'Données géométriques'!$B$11,'Données géométriques'!$B$12,I11)</f>
        <v>-0.27297951436554529</v>
      </c>
      <c r="K11">
        <f>ZCP_3D('Données géométriques'!$B$9,'Données géométriques'!$B$10,'Données géométriques'!$B$11)</f>
        <v>-0.37564783319086603</v>
      </c>
      <c r="L11">
        <f>'0.1kts'!L11</f>
        <v>2.4719407074999998E-2</v>
      </c>
    </row>
    <row r="12" spans="1:12" x14ac:dyDescent="0.3">
      <c r="A12">
        <v>4</v>
      </c>
      <c r="B12">
        <f t="shared" si="0"/>
        <v>6.9813170079773182E-2</v>
      </c>
      <c r="C12">
        <v>0.44379999999999997</v>
      </c>
      <c r="D12">
        <v>7.5199999999999998E-3</v>
      </c>
      <c r="E12">
        <v>6.9999999999999999E-4</v>
      </c>
      <c r="F12">
        <f>C12/(1+2/'Données géométriques'!$B$6)</f>
        <v>0.34172599999999997</v>
      </c>
      <c r="G12">
        <f>F12^2/(PI()*'Données géométriques'!$B$6)</f>
        <v>5.5515376387422878E-3</v>
      </c>
      <c r="H12">
        <f t="shared" si="1"/>
        <v>1.3071537638742288E-2</v>
      </c>
      <c r="I12">
        <f t="shared" si="2"/>
        <v>0.24842073260142808</v>
      </c>
      <c r="J12">
        <f>XCP_3D('Données géométriques'!$B$9,'Données géométriques'!$B$10,'Données géométriques'!$B$11,'Données géométriques'!$B$12,I12)</f>
        <v>-0.27290658629720671</v>
      </c>
      <c r="K12">
        <f>ZCP_3D('Données géométriques'!$B$9,'Données géométriques'!$B$10,'Données géométriques'!$B$11)</f>
        <v>-0.37564783319086603</v>
      </c>
      <c r="L12">
        <f>'0.1kts'!L12</f>
        <v>2.4641836800000001E-2</v>
      </c>
    </row>
    <row r="13" spans="1:12" x14ac:dyDescent="0.3">
      <c r="A13">
        <v>4.5</v>
      </c>
      <c r="B13">
        <f t="shared" si="0"/>
        <v>7.8539816339744828E-2</v>
      </c>
      <c r="C13">
        <v>0.49859999999999999</v>
      </c>
      <c r="D13">
        <v>7.7200000000000003E-3</v>
      </c>
      <c r="E13">
        <v>8.9999999999999998E-4</v>
      </c>
      <c r="F13">
        <f>C13/(1+2/'Données géométriques'!$B$6)</f>
        <v>0.38392199999999999</v>
      </c>
      <c r="G13">
        <f>F13^2/(PI()*'Données géométriques'!$B$6)</f>
        <v>7.0071794740306885E-3</v>
      </c>
      <c r="H13">
        <f t="shared" si="1"/>
        <v>1.472717947403069E-2</v>
      </c>
      <c r="I13">
        <f t="shared" si="2"/>
        <v>0.24819156795708047</v>
      </c>
      <c r="J13">
        <f>XCP_3D('Données géométriques'!$B$9,'Données géométriques'!$B$10,'Données géométriques'!$B$11,'Données géométriques'!$B$12,I13)</f>
        <v>-0.27284941814790892</v>
      </c>
      <c r="K13">
        <f>ZCP_3D('Données géométriques'!$B$9,'Données géométriques'!$B$10,'Données géométriques'!$B$11)</f>
        <v>-0.37564783319086603</v>
      </c>
      <c r="L13">
        <f>'0.1kts'!L13</f>
        <v>2.4527043724999999E-2</v>
      </c>
    </row>
    <row r="14" spans="1:12" x14ac:dyDescent="0.3">
      <c r="A14">
        <v>5</v>
      </c>
      <c r="B14">
        <f t="shared" si="0"/>
        <v>8.7266462599716474E-2</v>
      </c>
      <c r="C14">
        <v>0.55310000000000004</v>
      </c>
      <c r="D14">
        <v>7.9299999999999995E-3</v>
      </c>
      <c r="E14">
        <v>1.1999999999999999E-3</v>
      </c>
      <c r="F14">
        <f>C14/(1+2/'Données géométriques'!$B$6)</f>
        <v>0.42588700000000002</v>
      </c>
      <c r="G14">
        <f>F14^2/(PI()*'Données géométriques'!$B$6)</f>
        <v>8.6227542690953587E-3</v>
      </c>
      <c r="H14">
        <f t="shared" si="1"/>
        <v>1.655275426909536E-2</v>
      </c>
      <c r="I14">
        <f t="shared" si="2"/>
        <v>0.24782485134817706</v>
      </c>
      <c r="J14">
        <f>XCP_3D('Données géométriques'!$B$9,'Données géométriques'!$B$10,'Données géométriques'!$B$11,'Données géométriques'!$B$12,I14)</f>
        <v>-0.27275793584308755</v>
      </c>
      <c r="K14">
        <f>ZCP_3D('Données géométriques'!$B$9,'Données géométriques'!$B$10,'Données géométriques'!$B$11)</f>
        <v>-0.37564783319086603</v>
      </c>
      <c r="L14">
        <f>'0.1kts'!L14</f>
        <v>2.4370375E-2</v>
      </c>
    </row>
    <row r="15" spans="1:12" x14ac:dyDescent="0.3">
      <c r="A15">
        <v>6</v>
      </c>
      <c r="B15">
        <f t="shared" si="0"/>
        <v>0.10471975511965977</v>
      </c>
      <c r="C15">
        <v>0.66069999999999995</v>
      </c>
      <c r="D15">
        <v>8.43E-3</v>
      </c>
      <c r="E15">
        <v>2.2000000000000001E-3</v>
      </c>
      <c r="F15">
        <f>C15/(1+2/'Données géométriques'!$B$6)</f>
        <v>0.50873899999999994</v>
      </c>
      <c r="G15">
        <f>F15^2/(PI()*'Données géométriques'!$B$6)</f>
        <v>1.2304027877494262E-2</v>
      </c>
      <c r="H15">
        <f t="shared" si="1"/>
        <v>2.073402787749426E-2</v>
      </c>
      <c r="I15">
        <f t="shared" si="2"/>
        <v>0.24665634079459706</v>
      </c>
      <c r="J15">
        <f>XCP_3D('Données géométriques'!$B$9,'Données géométriques'!$B$10,'Données géométriques'!$B$11,'Données géométriques'!$B$12,I15)</f>
        <v>-0.27246643544181454</v>
      </c>
      <c r="K15">
        <f>ZCP_3D('Données géométriques'!$B$9,'Données géométriques'!$B$10,'Données géométriques'!$B$11)</f>
        <v>-0.37564783319086603</v>
      </c>
      <c r="L15">
        <f>'0.1kts'!L15</f>
        <v>2.4167177775E-2</v>
      </c>
    </row>
    <row r="16" spans="1:12" x14ac:dyDescent="0.3">
      <c r="A16">
        <v>6.5</v>
      </c>
      <c r="B16">
        <f t="shared" si="0"/>
        <v>0.11344640137963143</v>
      </c>
      <c r="C16">
        <v>0.71379999999999999</v>
      </c>
      <c r="D16">
        <v>8.7299999999999999E-3</v>
      </c>
      <c r="E16">
        <v>2.8E-3</v>
      </c>
      <c r="F16">
        <f>C16/(1+2/'Données géométriques'!$B$6)</f>
        <v>0.54962599999999995</v>
      </c>
      <c r="G16">
        <f>F16^2/(PI()*'Données géométriques'!$B$6)</f>
        <v>1.436123471018629E-2</v>
      </c>
      <c r="H16">
        <f t="shared" si="1"/>
        <v>2.309123471018629E-2</v>
      </c>
      <c r="I16">
        <f t="shared" si="2"/>
        <v>0.24605744779907532</v>
      </c>
      <c r="J16">
        <f>XCP_3D('Données géométriques'!$B$9,'Données géométriques'!$B$10,'Données géométriques'!$B$11,'Données géométriques'!$B$12,I16)</f>
        <v>-0.27231703366878107</v>
      </c>
      <c r="K16">
        <f>ZCP_3D('Données géométriques'!$B$9,'Données géométriques'!$B$10,'Données géométriques'!$B$11)</f>
        <v>-0.37564783319086603</v>
      </c>
      <c r="L16">
        <f>'0.1kts'!L16</f>
        <v>2.3912799200000001E-2</v>
      </c>
    </row>
    <row r="17" spans="1:12" x14ac:dyDescent="0.3">
      <c r="A17">
        <v>7</v>
      </c>
      <c r="B17">
        <f t="shared" si="0"/>
        <v>0.12217304763960307</v>
      </c>
      <c r="C17">
        <v>0.76619999999999999</v>
      </c>
      <c r="D17">
        <v>9.0600000000000003E-3</v>
      </c>
      <c r="E17">
        <v>3.5999999999999999E-3</v>
      </c>
      <c r="F17">
        <f>C17/(1+2/'Données géométriques'!$B$6)</f>
        <v>0.589974</v>
      </c>
      <c r="G17">
        <f>F17^2/(PI()*'Données géométriques'!$B$6)</f>
        <v>1.6547141782560251E-2</v>
      </c>
      <c r="H17">
        <f t="shared" si="1"/>
        <v>2.5607141782560253E-2</v>
      </c>
      <c r="I17">
        <f t="shared" si="2"/>
        <v>0.24527306578295613</v>
      </c>
      <c r="J17">
        <f>XCP_3D('Données géométriques'!$B$9,'Données géométriques'!$B$10,'Données géométriques'!$B$11,'Données géométriques'!$B$12,I17)</f>
        <v>-0.27212135920803077</v>
      </c>
      <c r="K17">
        <f>ZCP_3D('Données géométriques'!$B$9,'Données géométriques'!$B$10,'Données géométriques'!$B$11)</f>
        <v>-0.37564783319086603</v>
      </c>
      <c r="L17">
        <f>'0.1kts'!L17</f>
        <v>2.3602586424999999E-2</v>
      </c>
    </row>
    <row r="18" spans="1:12" x14ac:dyDescent="0.3">
      <c r="A18">
        <v>7.5</v>
      </c>
      <c r="B18">
        <f t="shared" si="0"/>
        <v>0.1308996938995747</v>
      </c>
      <c r="C18">
        <v>0.81850000000000001</v>
      </c>
      <c r="D18">
        <v>9.4199999999999996E-3</v>
      </c>
      <c r="E18">
        <v>4.3E-3</v>
      </c>
      <c r="F18">
        <f>C18/(1+2/'Données géométriques'!$B$6)</f>
        <v>0.63024500000000006</v>
      </c>
      <c r="G18">
        <f>F18^2/(PI()*'Données géométriques'!$B$6)</f>
        <v>1.8883220321295684E-2</v>
      </c>
      <c r="H18">
        <f t="shared" si="1"/>
        <v>2.8303220321295681E-2</v>
      </c>
      <c r="I18">
        <f t="shared" si="2"/>
        <v>0.2447091716282877</v>
      </c>
      <c r="J18">
        <f>XCP_3D('Données géométriques'!$B$9,'Données géométriques'!$B$10,'Données géométriques'!$B$11,'Données géométriques'!$B$12,I18)</f>
        <v>-0.27198068835841221</v>
      </c>
      <c r="K18">
        <f>ZCP_3D('Données géométriques'!$B$9,'Données géométriques'!$B$10,'Données géométriques'!$B$11)</f>
        <v>-0.37564783319086603</v>
      </c>
      <c r="L18">
        <f>'0.1kts'!L18</f>
        <v>2.3231886599999998E-2</v>
      </c>
    </row>
    <row r="19" spans="1:12" x14ac:dyDescent="0.3">
      <c r="A19">
        <v>8</v>
      </c>
      <c r="B19">
        <f t="shared" si="0"/>
        <v>0.13962634015954636</v>
      </c>
      <c r="C19">
        <v>0.87350000000000005</v>
      </c>
      <c r="D19">
        <v>9.8600000000000007E-3</v>
      </c>
      <c r="E19">
        <v>4.4000000000000003E-3</v>
      </c>
      <c r="F19">
        <f>C19/(1+2/'Données géométriques'!$B$6)</f>
        <v>0.67259500000000005</v>
      </c>
      <c r="G19">
        <f>F19^2/(PI()*'Données géométriques'!$B$6)</f>
        <v>2.150624116092742E-2</v>
      </c>
      <c r="H19">
        <f t="shared" si="1"/>
        <v>3.136624116092742E-2</v>
      </c>
      <c r="I19">
        <f t="shared" si="2"/>
        <v>0.24492134669321419</v>
      </c>
      <c r="J19">
        <f>XCP_3D('Données géométriques'!$B$9,'Données géométriques'!$B$10,'Données géométriques'!$B$11,'Données géométriques'!$B$12,I19)</f>
        <v>-0.27203361823258243</v>
      </c>
      <c r="K19">
        <f>ZCP_3D('Données géométriques'!$B$9,'Données géométriques'!$B$10,'Données géométriques'!$B$11)</f>
        <v>-0.37564783319086603</v>
      </c>
      <c r="L19">
        <f>'0.1kts'!L19</f>
        <v>2.2796046875E-2</v>
      </c>
    </row>
    <row r="20" spans="1:12" x14ac:dyDescent="0.3">
      <c r="A20">
        <v>8.5</v>
      </c>
      <c r="B20">
        <f t="shared" si="0"/>
        <v>0.14835298641951802</v>
      </c>
      <c r="C20">
        <v>0.93120000000000003</v>
      </c>
      <c r="D20">
        <v>1.0359999999999999E-2</v>
      </c>
      <c r="E20">
        <v>3.8E-3</v>
      </c>
      <c r="F20">
        <f>C20/(1+2/'Données géométriques'!$B$6)</f>
        <v>0.71702399999999999</v>
      </c>
      <c r="G20">
        <f>F20^2/(PI()*'Données géométriques'!$B$6)</f>
        <v>2.4441318330771091E-2</v>
      </c>
      <c r="H20">
        <f t="shared" si="1"/>
        <v>3.4801318330771089E-2</v>
      </c>
      <c r="I20">
        <f t="shared" si="2"/>
        <v>0.24588077165628477</v>
      </c>
      <c r="J20">
        <f>XCP_3D('Données géométriques'!$B$9,'Données géométriques'!$B$10,'Données géométriques'!$B$11,'Données géométriques'!$B$12,I20)</f>
        <v>-0.27227295946991109</v>
      </c>
      <c r="K20">
        <f>ZCP_3D('Données géométriques'!$B$9,'Données géométriques'!$B$10,'Données géométriques'!$B$11)</f>
        <v>-0.37564783319086603</v>
      </c>
      <c r="L20">
        <f>'0.1kts'!L20</f>
        <v>2.22904144E-2</v>
      </c>
    </row>
    <row r="21" spans="1:12" x14ac:dyDescent="0.3">
      <c r="A21">
        <v>10</v>
      </c>
      <c r="B21">
        <f t="shared" si="0"/>
        <v>0.17453292519943295</v>
      </c>
      <c r="C21">
        <v>1.1085</v>
      </c>
      <c r="D21">
        <v>1.204E-2</v>
      </c>
      <c r="E21">
        <v>5.0000000000000001E-4</v>
      </c>
      <c r="F21">
        <f>C21/(1+2/'Données géométriques'!$B$6)</f>
        <v>0.853545</v>
      </c>
      <c r="G21">
        <f>F21^2/(PI()*'Données géométriques'!$B$6)</f>
        <v>3.4634592939084254E-2</v>
      </c>
      <c r="H21">
        <f t="shared" si="1"/>
        <v>4.6674592939084256E-2</v>
      </c>
      <c r="I21">
        <f t="shared" si="2"/>
        <v>0.2495428571922905</v>
      </c>
      <c r="J21">
        <f>XCP_3D('Données géométriques'!$B$9,'Données géométriques'!$B$10,'Données géométriques'!$B$11,'Données géométriques'!$B$12,I21)</f>
        <v>-0.27318651510701641</v>
      </c>
      <c r="K21">
        <f>ZCP_3D('Données géométriques'!$B$9,'Données géométriques'!$B$10,'Données géométriques'!$B$11)</f>
        <v>-0.37564783319086603</v>
      </c>
      <c r="L21">
        <f>'0.1kts'!L21</f>
        <v>2.1710336324999999E-2</v>
      </c>
    </row>
    <row r="22" spans="1:12" x14ac:dyDescent="0.3">
      <c r="A22">
        <v>10.5</v>
      </c>
      <c r="B22">
        <f t="shared" si="0"/>
        <v>0.18325957145940461</v>
      </c>
      <c r="C22">
        <v>1.1532</v>
      </c>
      <c r="D22">
        <v>1.265E-2</v>
      </c>
      <c r="E22">
        <v>2.3999999999999998E-3</v>
      </c>
      <c r="F22">
        <f>C22/(1+2/'Données géométriques'!$B$6)</f>
        <v>0.88796399999999998</v>
      </c>
      <c r="G22">
        <f>F22^2/(PI()*'Données géométriques'!$B$6)</f>
        <v>3.7484175301161202E-2</v>
      </c>
      <c r="H22">
        <f t="shared" si="1"/>
        <v>5.0134175301161203E-2</v>
      </c>
      <c r="I22">
        <f t="shared" si="2"/>
        <v>0.24788768623299301</v>
      </c>
      <c r="J22">
        <f>XCP_3D('Données géométriques'!$B$9,'Données géométriques'!$B$10,'Données géométriques'!$B$11,'Données géométriques'!$B$12,I22)</f>
        <v>-0.27277361083556584</v>
      </c>
      <c r="K22">
        <f>ZCP_3D('Données géométriques'!$B$9,'Données géométriques'!$B$10,'Données géométriques'!$B$11)</f>
        <v>-0.37564783319086603</v>
      </c>
      <c r="L22">
        <f>'0.1kts'!L22</f>
        <v>2.10511598E-2</v>
      </c>
    </row>
    <row r="23" spans="1:12" x14ac:dyDescent="0.3">
      <c r="A23">
        <v>11</v>
      </c>
      <c r="B23">
        <f t="shared" si="0"/>
        <v>0.19198621771937624</v>
      </c>
      <c r="C23">
        <v>1.1998</v>
      </c>
      <c r="D23">
        <v>1.325E-2</v>
      </c>
      <c r="E23">
        <v>3.8999999999999998E-3</v>
      </c>
      <c r="F23">
        <f>C23/(1+2/'Données géométriques'!$B$6)</f>
        <v>0.92384599999999995</v>
      </c>
      <c r="G23">
        <f>F23^2/(PI()*'Données géométriques'!$B$6)</f>
        <v>4.0574801891118777E-2</v>
      </c>
      <c r="H23">
        <f t="shared" si="1"/>
        <v>5.3824801891118774E-2</v>
      </c>
      <c r="I23">
        <f t="shared" si="2"/>
        <v>0.24669571196257689</v>
      </c>
      <c r="J23">
        <f>XCP_3D('Données géométriques'!$B$9,'Données géométriques'!$B$10,'Données géométriques'!$B$11,'Données géométriques'!$B$12,I23)</f>
        <v>-0.27247625710001755</v>
      </c>
      <c r="K23">
        <f>ZCP_3D('Données géométriques'!$B$9,'Données géométriques'!$B$10,'Données géométriques'!$B$11)</f>
        <v>-0.37564783319086603</v>
      </c>
      <c r="L23">
        <f>'0.1kts'!L23</f>
        <v>2.0308231975E-2</v>
      </c>
    </row>
    <row r="24" spans="1:12" x14ac:dyDescent="0.3">
      <c r="A24">
        <v>11.5</v>
      </c>
      <c r="B24">
        <f t="shared" si="0"/>
        <v>0.20071286397934787</v>
      </c>
      <c r="C24">
        <v>1.2464</v>
      </c>
      <c r="D24">
        <v>1.393E-2</v>
      </c>
      <c r="E24">
        <v>5.3E-3</v>
      </c>
      <c r="F24">
        <f>C24/(1+2/'Données géométriques'!$B$6)</f>
        <v>0.95972800000000003</v>
      </c>
      <c r="G24">
        <f>F24^2/(PI()*'Données géométriques'!$B$6)</f>
        <v>4.3787845139888107E-2</v>
      </c>
      <c r="H24">
        <f t="shared" si="1"/>
        <v>5.7717845139888105E-2</v>
      </c>
      <c r="I24">
        <f t="shared" si="2"/>
        <v>0.24567048413236886</v>
      </c>
      <c r="J24">
        <f>XCP_3D('Données géométriques'!$B$9,'Données géométriques'!$B$10,'Données géométriques'!$B$11,'Données géométriques'!$B$12,I24)</f>
        <v>-0.27222050046779378</v>
      </c>
      <c r="K24">
        <f>ZCP_3D('Données géométriques'!$B$9,'Données géométriques'!$B$10,'Données géométriques'!$B$11)</f>
        <v>-0.37564783319086603</v>
      </c>
      <c r="L24">
        <f>'0.1kts'!L24</f>
        <v>1.9476900000000002E-2</v>
      </c>
    </row>
    <row r="25" spans="1:12" x14ac:dyDescent="0.3">
      <c r="A25">
        <v>12</v>
      </c>
      <c r="B25">
        <f t="shared" si="0"/>
        <v>0.20943951023931953</v>
      </c>
      <c r="C25">
        <v>1.2921</v>
      </c>
      <c r="D25">
        <v>1.4710000000000001E-2</v>
      </c>
      <c r="E25">
        <v>6.6E-3</v>
      </c>
      <c r="F25">
        <f>C25/(1+2/'Données géométriques'!$B$6)</f>
        <v>0.99491700000000005</v>
      </c>
      <c r="G25">
        <f>F25^2/(PI()*'Données géométriques'!$B$6)</f>
        <v>4.7057726989707761E-2</v>
      </c>
      <c r="H25">
        <f t="shared" si="1"/>
        <v>6.1767726989707762E-2</v>
      </c>
      <c r="I25">
        <f t="shared" si="2"/>
        <v>0.24479052748871885</v>
      </c>
      <c r="J25">
        <f>XCP_3D('Données géométriques'!$B$9,'Données géométriques'!$B$10,'Données géométriques'!$B$11,'Données géométriques'!$B$12,I25)</f>
        <v>-0.27200098365304071</v>
      </c>
      <c r="K25">
        <f>ZCP_3D('Données géométriques'!$B$9,'Données géométriques'!$B$10,'Données géométriques'!$B$11)</f>
        <v>-0.37564783319086603</v>
      </c>
      <c r="L25">
        <f>'0.1kts'!L25</f>
        <v>1.8552511024999999E-2</v>
      </c>
    </row>
    <row r="26" spans="1:12" x14ac:dyDescent="0.3">
      <c r="A26">
        <v>12.5</v>
      </c>
      <c r="B26">
        <f t="shared" si="0"/>
        <v>0.21816615649929119</v>
      </c>
      <c r="C26">
        <v>1.3375999999999999</v>
      </c>
      <c r="D26">
        <v>1.5469999999999999E-2</v>
      </c>
      <c r="E26">
        <v>8.0000000000000002E-3</v>
      </c>
      <c r="F26">
        <f>C26/(1+2/'Données géométriques'!$B$6)</f>
        <v>1.029952</v>
      </c>
      <c r="G26">
        <f>F26^2/(PI()*'Données géométriques'!$B$6)</f>
        <v>5.0430260672708727E-2</v>
      </c>
      <c r="H26">
        <f t="shared" si="1"/>
        <v>6.5900260672708724E-2</v>
      </c>
      <c r="I26">
        <f t="shared" si="2"/>
        <v>0.24388959347794004</v>
      </c>
      <c r="J26">
        <f>XCP_3D('Données géométriques'!$B$9,'Données géométriques'!$B$10,'Données géométriques'!$B$11,'Données géométriques'!$B$12,I26)</f>
        <v>-0.27177623375680793</v>
      </c>
      <c r="K26">
        <f>ZCP_3D('Données géométriques'!$B$9,'Données géométriques'!$B$10,'Données géométriques'!$B$11)</f>
        <v>-0.37564783319086603</v>
      </c>
      <c r="L26">
        <f>'0.1kts'!L26</f>
        <v>1.7530412199999998E-2</v>
      </c>
    </row>
    <row r="27" spans="1:12" x14ac:dyDescent="0.3">
      <c r="A27">
        <v>13</v>
      </c>
      <c r="B27">
        <f t="shared" si="0"/>
        <v>0.22689280275926285</v>
      </c>
      <c r="C27">
        <v>1.3817999999999999</v>
      </c>
      <c r="D27">
        <v>1.6299999999999999E-2</v>
      </c>
      <c r="E27">
        <v>9.4999999999999998E-3</v>
      </c>
      <c r="F27">
        <f>C27/(1+2/'Données géométriques'!$B$6)</f>
        <v>1.0639859999999999</v>
      </c>
      <c r="G27">
        <f>F27^2/(PI()*'Données géométriques'!$B$6)</f>
        <v>5.381818776180413E-2</v>
      </c>
      <c r="H27">
        <f t="shared" si="1"/>
        <v>7.0118187761804132E-2</v>
      </c>
      <c r="I27">
        <f t="shared" si="2"/>
        <v>0.2429632301397637</v>
      </c>
      <c r="J27">
        <f>XCP_3D('Données géométriques'!$B$9,'Données géométriques'!$B$10,'Données géométriques'!$B$11,'Données géométriques'!$B$12,I27)</f>
        <v>-0.27154514017877013</v>
      </c>
      <c r="K27">
        <f>ZCP_3D('Données géométriques'!$B$9,'Données géométriques'!$B$10,'Données géométriques'!$B$11)</f>
        <v>-0.37564783319086603</v>
      </c>
      <c r="L27">
        <f>'0.1kts'!L27</f>
        <v>1.6405950674999999E-2</v>
      </c>
    </row>
    <row r="28" spans="1:12" x14ac:dyDescent="0.3">
      <c r="A28">
        <v>13.5</v>
      </c>
      <c r="B28">
        <f t="shared" si="0"/>
        <v>0.23561944901923448</v>
      </c>
      <c r="C28">
        <v>1.4239999999999999</v>
      </c>
      <c r="D28">
        <v>1.7219999999999999E-2</v>
      </c>
      <c r="E28">
        <v>1.12E-2</v>
      </c>
      <c r="F28">
        <f>C28/(1+2/'Données géométriques'!$B$6)</f>
        <v>1.0964799999999999</v>
      </c>
      <c r="G28">
        <f>F28^2/(PI()*'Données géométriques'!$B$6)</f>
        <v>5.7155584634698983E-2</v>
      </c>
      <c r="H28">
        <f t="shared" si="1"/>
        <v>7.4375584634698982E-2</v>
      </c>
      <c r="I28">
        <f t="shared" si="2"/>
        <v>0.24193475618603974</v>
      </c>
      <c r="J28">
        <f>XCP_3D('Données géométriques'!$B$9,'Données géométriques'!$B$10,'Données géométriques'!$B$11,'Données géométriques'!$B$12,I28)</f>
        <v>-0.27128857375813326</v>
      </c>
      <c r="K28">
        <f>ZCP_3D('Données géométriques'!$B$9,'Données géométriques'!$B$10,'Données géométriques'!$B$11)</f>
        <v>-0.37564783319086603</v>
      </c>
      <c r="L28">
        <f>'0.1kts'!L28</f>
        <v>1.5174473599999998E-2</v>
      </c>
    </row>
    <row r="29" spans="1:12" x14ac:dyDescent="0.3">
      <c r="A29">
        <v>14</v>
      </c>
      <c r="B29">
        <f t="shared" si="0"/>
        <v>0.24434609527920614</v>
      </c>
      <c r="C29">
        <v>1.4632000000000001</v>
      </c>
      <c r="D29">
        <v>1.8280000000000001E-2</v>
      </c>
      <c r="E29">
        <v>1.32E-2</v>
      </c>
      <c r="F29">
        <f>C29/(1+2/'Données géométriques'!$B$6)</f>
        <v>1.1266640000000001</v>
      </c>
      <c r="G29">
        <f>F29^2/(PI()*'Données géométriques'!$B$6)</f>
        <v>6.0345665035653681E-2</v>
      </c>
      <c r="H29">
        <f t="shared" si="1"/>
        <v>7.8625665035653686E-2</v>
      </c>
      <c r="I29">
        <f t="shared" si="2"/>
        <v>0.24073137224207927</v>
      </c>
      <c r="J29">
        <f>XCP_3D('Données géométriques'!$B$9,'Données géométriques'!$B$10,'Données géométriques'!$B$11,'Données géométriques'!$B$12,I29)</f>
        <v>-0.27098837372872336</v>
      </c>
      <c r="K29">
        <f>ZCP_3D('Données géométriques'!$B$9,'Données géométriques'!$B$10,'Données géométriques'!$B$11)</f>
        <v>-0.37564783319086603</v>
      </c>
      <c r="L29">
        <f>'0.1kts'!L29</f>
        <v>1.3831328124999999E-2</v>
      </c>
    </row>
    <row r="30" spans="1:12" x14ac:dyDescent="0.3">
      <c r="A30">
        <v>14.5</v>
      </c>
      <c r="B30">
        <f t="shared" si="0"/>
        <v>0.2530727415391778</v>
      </c>
      <c r="C30">
        <v>1.4996</v>
      </c>
      <c r="D30">
        <v>1.9400000000000001E-2</v>
      </c>
      <c r="E30">
        <v>1.55E-2</v>
      </c>
      <c r="F30">
        <f>C30/(1+2/'Données géométriques'!$B$6)</f>
        <v>1.1546920000000001</v>
      </c>
      <c r="G30">
        <f>F30^2/(PI()*'Données géométriques'!$B$6)</f>
        <v>6.338544684985159E-2</v>
      </c>
      <c r="H30">
        <f t="shared" si="1"/>
        <v>8.2785446849851591E-2</v>
      </c>
      <c r="I30">
        <f t="shared" si="2"/>
        <v>0.23935944967279246</v>
      </c>
      <c r="J30">
        <f>XCP_3D('Données géométriques'!$B$9,'Données géométriques'!$B$10,'Données géométriques'!$B$11,'Données géométriques'!$B$12,I30)</f>
        <v>-0.27064612951172778</v>
      </c>
      <c r="K30">
        <f>ZCP_3D('Données géométriques'!$B$9,'Données géométriques'!$B$10,'Données géométriques'!$B$11)</f>
        <v>-0.37564783319086603</v>
      </c>
      <c r="L30">
        <f>'0.1kts'!L30</f>
        <v>1.23718614E-2</v>
      </c>
    </row>
    <row r="31" spans="1:12" x14ac:dyDescent="0.3">
      <c r="A31">
        <v>15</v>
      </c>
      <c r="B31">
        <f t="shared" si="0"/>
        <v>0.26179938779914941</v>
      </c>
      <c r="C31">
        <v>1.5295000000000001</v>
      </c>
      <c r="D31">
        <v>2.0549999999999999E-2</v>
      </c>
      <c r="E31">
        <v>1.89E-2</v>
      </c>
      <c r="F31">
        <f>C31/(1+2/'Données géométriques'!$B$6)</f>
        <v>1.1777150000000001</v>
      </c>
      <c r="G31">
        <f>F31^2/(PI()*'Données géométriques'!$B$6)</f>
        <v>6.5938286238604246E-2</v>
      </c>
      <c r="H31">
        <f t="shared" si="1"/>
        <v>8.6488286238604245E-2</v>
      </c>
      <c r="I31">
        <f t="shared" si="2"/>
        <v>0.23725300404491068</v>
      </c>
      <c r="J31">
        <f>XCP_3D('Données géométriques'!$B$9,'Données géométriques'!$B$10,'Données géométriques'!$B$11,'Données géométriques'!$B$12,I31)</f>
        <v>-0.27012064880989844</v>
      </c>
      <c r="K31">
        <f>ZCP_3D('Données géométriques'!$B$9,'Données géométriques'!$B$10,'Données géométriques'!$B$11)</f>
        <v>-0.37564783319086603</v>
      </c>
      <c r="L31">
        <f>'0.1kts'!L31</f>
        <v>1.0791420575E-2</v>
      </c>
    </row>
    <row r="32" spans="1:12" x14ac:dyDescent="0.3">
      <c r="A32">
        <v>15.5</v>
      </c>
      <c r="B32">
        <f t="shared" si="0"/>
        <v>0.27052603405912107</v>
      </c>
      <c r="C32">
        <v>1.5548999999999999</v>
      </c>
      <c r="D32">
        <v>2.1930000000000002E-2</v>
      </c>
      <c r="E32">
        <v>2.24E-2</v>
      </c>
      <c r="F32">
        <f>C32/(1+2/'Données géométriques'!$B$6)</f>
        <v>1.197273</v>
      </c>
      <c r="G32">
        <f>F32^2/(PI()*'Données géométriques'!$B$6)</f>
        <v>6.8146510127870374E-2</v>
      </c>
      <c r="H32">
        <f t="shared" si="1"/>
        <v>9.0076510127870379E-2</v>
      </c>
      <c r="I32">
        <f t="shared" si="2"/>
        <v>0.23510845758921645</v>
      </c>
      <c r="J32">
        <f>XCP_3D('Données géométriques'!$B$9,'Données géométriques'!$B$10,'Données géométriques'!$B$11,'Données géométriques'!$B$12,I32)</f>
        <v>-0.26958566335301193</v>
      </c>
      <c r="K32">
        <f>ZCP_3D('Données géométriques'!$B$9,'Données géométriques'!$B$10,'Données géométriques'!$B$11)</f>
        <v>-0.37564783319086603</v>
      </c>
      <c r="L32">
        <f>'0.1kts'!L32</f>
        <v>9.0853527999999965E-3</v>
      </c>
    </row>
    <row r="33" spans="1:12" x14ac:dyDescent="0.3">
      <c r="A33">
        <v>16</v>
      </c>
      <c r="B33">
        <f t="shared" si="0"/>
        <v>0.27925268031909273</v>
      </c>
      <c r="C33">
        <v>1.5772999999999999</v>
      </c>
      <c r="D33">
        <v>2.3640000000000001E-2</v>
      </c>
      <c r="E33">
        <v>2.5600000000000001E-2</v>
      </c>
      <c r="F33">
        <f>C33/(1+2/'Données géométriques'!$B$6)</f>
        <v>1.214521</v>
      </c>
      <c r="G33">
        <f>F33^2/(PI()*'Données géométriques'!$B$6)</f>
        <v>7.0124099850363789E-2</v>
      </c>
      <c r="H33">
        <f t="shared" si="1"/>
        <v>9.3764099850363797E-2</v>
      </c>
      <c r="I33">
        <f t="shared" si="2"/>
        <v>0.23318791470708847</v>
      </c>
      <c r="J33">
        <f>XCP_3D('Données géométriques'!$B$9,'Données géométriques'!$B$10,'Données géométriques'!$B$11,'Données géométriques'!$B$12,I33)</f>
        <v>-0.26910655854810689</v>
      </c>
      <c r="K33">
        <f>ZCP_3D('Données géométriques'!$B$9,'Données géométriques'!$B$10,'Données géométriques'!$B$11)</f>
        <v>-0.37564783319086603</v>
      </c>
      <c r="L33">
        <f>'0.1kts'!L33</f>
        <v>7.2490052249999971E-3</v>
      </c>
    </row>
    <row r="34" spans="1:12" x14ac:dyDescent="0.3">
      <c r="A34">
        <v>16.5</v>
      </c>
      <c r="B34">
        <f t="shared" si="0"/>
        <v>0.28797932657906439</v>
      </c>
      <c r="C34">
        <v>1.5960000000000001</v>
      </c>
      <c r="D34">
        <v>2.579E-2</v>
      </c>
      <c r="E34">
        <v>2.8400000000000002E-2</v>
      </c>
      <c r="F34">
        <f>C34/(1+2/'Données géométriques'!$B$6)</f>
        <v>1.22892</v>
      </c>
      <c r="G34">
        <f>F34^2/(PI()*'Données géométriques'!$B$6)</f>
        <v>7.179669730328174E-2</v>
      </c>
      <c r="H34">
        <f t="shared" si="1"/>
        <v>9.7586697303281733E-2</v>
      </c>
      <c r="I34">
        <f t="shared" si="2"/>
        <v>0.23152966925187118</v>
      </c>
      <c r="J34">
        <f>XCP_3D('Données géométriques'!$B$9,'Données géométriques'!$B$10,'Données géométriques'!$B$11,'Données géométriques'!$B$12,I34)</f>
        <v>-0.26869288730301305</v>
      </c>
      <c r="K34">
        <f>ZCP_3D('Données géométriques'!$B$9,'Données géométriques'!$B$10,'Données géométriques'!$B$11)</f>
        <v>-0.37564783319086603</v>
      </c>
      <c r="L34">
        <f>'0.1kts'!L34</f>
        <v>5.2777249999999987E-3</v>
      </c>
    </row>
    <row r="35" spans="1:12" x14ac:dyDescent="0.3">
      <c r="A35">
        <v>17</v>
      </c>
      <c r="B35">
        <f t="shared" si="0"/>
        <v>0.29670597283903605</v>
      </c>
      <c r="C35">
        <v>1.6104000000000001</v>
      </c>
      <c r="D35">
        <v>2.8559999999999999E-2</v>
      </c>
      <c r="E35">
        <v>3.0499999999999999E-2</v>
      </c>
      <c r="F35">
        <f>C35/(1+2/'Données géométriques'!$B$6)</f>
        <v>1.240008</v>
      </c>
      <c r="G35">
        <f>F35^2/(PI()*'Données géométriques'!$B$6)</f>
        <v>7.3098121523041154E-2</v>
      </c>
      <c r="H35">
        <f t="shared" si="1"/>
        <v>0.10165812152304116</v>
      </c>
      <c r="I35">
        <f t="shared" si="2"/>
        <v>0.23030203522170373</v>
      </c>
      <c r="J35">
        <f>XCP_3D('Données géométriques'!$B$9,'Données géométriques'!$B$10,'Données géométriques'!$B$11,'Données géométriques'!$B$12,I35)</f>
        <v>-0.26838663776909494</v>
      </c>
      <c r="K35">
        <f>ZCP_3D('Données géométriques'!$B$9,'Données géométriques'!$B$10,'Données géométriques'!$B$11)</f>
        <v>-0.37564783319086603</v>
      </c>
      <c r="L35">
        <f>'0.1kts'!L35</f>
        <v>3.1668592749999986E-3</v>
      </c>
    </row>
    <row r="36" spans="1:12" x14ac:dyDescent="0.3">
      <c r="A36">
        <v>17.5</v>
      </c>
      <c r="B36">
        <f t="shared" si="0"/>
        <v>0.30543261909900765</v>
      </c>
      <c r="C36">
        <v>1.62</v>
      </c>
      <c r="D36">
        <v>3.2169999999999997E-2</v>
      </c>
      <c r="E36">
        <v>3.1699999999999999E-2</v>
      </c>
      <c r="F36">
        <f>C36/(1+2/'Données géométriques'!$B$6)</f>
        <v>1.2474000000000001</v>
      </c>
      <c r="G36">
        <f>F36^2/(PI()*'Données géométriques'!$B$6)</f>
        <v>7.3972231802380564E-2</v>
      </c>
      <c r="H36">
        <f t="shared" si="1"/>
        <v>0.10614223180238055</v>
      </c>
      <c r="I36">
        <f t="shared" si="2"/>
        <v>0.22961015078859431</v>
      </c>
      <c r="J36">
        <f>XCP_3D('Données géométriques'!$B$9,'Données géométriques'!$B$10,'Données géométriques'!$B$11,'Données géométriques'!$B$12,I36)</f>
        <v>-0.26821403805292843</v>
      </c>
      <c r="K36">
        <f>ZCP_3D('Données géométriques'!$B$9,'Données géométriques'!$B$10,'Données géométriques'!$B$11)</f>
        <v>-0.37564783319086603</v>
      </c>
      <c r="L36">
        <f>'0.1kts'!L36</f>
        <v>9.1175519999999951E-4</v>
      </c>
    </row>
    <row r="37" spans="1:12" x14ac:dyDescent="0.3">
      <c r="A37">
        <v>18</v>
      </c>
      <c r="B37">
        <f t="shared" si="0"/>
        <v>0.31415926535897931</v>
      </c>
      <c r="C37">
        <v>1.6234</v>
      </c>
      <c r="D37">
        <v>3.6900000000000002E-2</v>
      </c>
      <c r="E37">
        <v>3.1699999999999999E-2</v>
      </c>
      <c r="F37">
        <f>C37/(1+2/'Données géométriques'!$B$6)</f>
        <v>1.2500180000000001</v>
      </c>
      <c r="G37">
        <f>F37^2/(PI()*'Données géométriques'!$B$6)</f>
        <v>7.4283058362559912E-2</v>
      </c>
      <c r="H37">
        <f t="shared" si="1"/>
        <v>0.11118305836255991</v>
      </c>
      <c r="I37">
        <f t="shared" si="2"/>
        <v>0.22961870749536728</v>
      </c>
      <c r="J37">
        <f>XCP_3D('Données géométriques'!$B$9,'Données géométriques'!$B$10,'Données géométriques'!$B$11,'Données géométriques'!$B$12,I37)</f>
        <v>-0.26821617263652486</v>
      </c>
      <c r="K37">
        <f>ZCP_3D('Données géométriques'!$B$9,'Données géométriques'!$B$10,'Données géométriques'!$B$11)</f>
        <v>-0.37564783319086603</v>
      </c>
      <c r="L37">
        <f>'0.1kts'!L37</f>
        <v>-1.4922400750000014E-3</v>
      </c>
    </row>
    <row r="38" spans="1:12" x14ac:dyDescent="0.3">
      <c r="A38">
        <v>18.5</v>
      </c>
      <c r="B38">
        <f t="shared" si="0"/>
        <v>0.32288591161895097</v>
      </c>
      <c r="C38">
        <v>1.6185</v>
      </c>
      <c r="D38">
        <v>4.3180000000000003E-2</v>
      </c>
      <c r="E38">
        <v>3.0200000000000001E-2</v>
      </c>
      <c r="F38">
        <f>C38/(1+2/'Données géométriques'!$B$6)</f>
        <v>1.246245</v>
      </c>
      <c r="G38">
        <f>F38^2/(PI()*'Données géométriques'!$B$6)</f>
        <v>7.3835309607197655E-2</v>
      </c>
      <c r="H38">
        <f t="shared" si="1"/>
        <v>0.11701530960719767</v>
      </c>
      <c r="I38">
        <f t="shared" si="2"/>
        <v>0.23049804947870264</v>
      </c>
      <c r="J38">
        <f>XCP_3D('Données géométriques'!$B$9,'Données géométriques'!$B$10,'Données géométriques'!$B$11,'Données géométriques'!$B$12,I38)</f>
        <v>-0.26843553611613724</v>
      </c>
      <c r="K38">
        <f>ZCP_3D('Données géométriques'!$B$9,'Données géométriques'!$B$10,'Données géométriques'!$B$11)</f>
        <v>-0.37564783319086603</v>
      </c>
      <c r="L38">
        <f>'0.1kts'!L38</f>
        <v>-4.0497794000000026E-3</v>
      </c>
    </row>
    <row r="39" spans="1:12" x14ac:dyDescent="0.3">
      <c r="A39">
        <v>19</v>
      </c>
      <c r="B39">
        <f t="shared" si="0"/>
        <v>0.33161255787892258</v>
      </c>
      <c r="C39">
        <v>1.6026</v>
      </c>
      <c r="D39">
        <v>5.1459999999999999E-2</v>
      </c>
      <c r="E39">
        <v>2.7E-2</v>
      </c>
      <c r="F39">
        <f>C39/(1+2/'Données géométriques'!$B$6)</f>
        <v>1.234002</v>
      </c>
      <c r="G39">
        <f>F39^2/(PI()*'Données géométriques'!$B$6)</f>
        <v>7.2391732371199904E-2</v>
      </c>
      <c r="H39">
        <f t="shared" si="1"/>
        <v>0.1238517323711999</v>
      </c>
      <c r="I39">
        <f t="shared" si="2"/>
        <v>0.23237646003801465</v>
      </c>
      <c r="J39">
        <f>XCP_3D('Données géométriques'!$B$9,'Données géométriques'!$B$10,'Données géométriques'!$B$11,'Données géométriques'!$B$12,I39)</f>
        <v>-0.26890413045627226</v>
      </c>
      <c r="K39">
        <f>ZCP_3D('Données géométriques'!$B$9,'Données géométriques'!$B$10,'Données géométriques'!$B$11)</f>
        <v>-0.37564783319086603</v>
      </c>
      <c r="L39">
        <f>'0.1kts'!L39</f>
        <v>-6.7655156249999994E-3</v>
      </c>
    </row>
    <row r="40" spans="1:12" x14ac:dyDescent="0.3">
      <c r="A40">
        <v>19.5</v>
      </c>
      <c r="B40">
        <f t="shared" si="0"/>
        <v>0.34033920413889424</v>
      </c>
      <c r="C40">
        <v>1.5741000000000001</v>
      </c>
      <c r="D40">
        <v>6.2059999999999997E-2</v>
      </c>
      <c r="E40">
        <v>2.2200000000000001E-2</v>
      </c>
      <c r="F40">
        <f>C40/(1+2/'Données géométriques'!$B$6)</f>
        <v>1.2120570000000002</v>
      </c>
      <c r="G40">
        <f>F40^2/(PI()*'Données géométriques'!$B$6)</f>
        <v>6.9839855264109255E-2</v>
      </c>
      <c r="H40">
        <f t="shared" si="1"/>
        <v>0.13189985526410924</v>
      </c>
      <c r="I40">
        <f t="shared" si="2"/>
        <v>0.23524454205313297</v>
      </c>
      <c r="J40">
        <f>XCP_3D('Données géométriques'!$B$9,'Données géométriques'!$B$10,'Données géométriques'!$B$11,'Données géométriques'!$B$12,I40)</f>
        <v>-0.26961961142110297</v>
      </c>
      <c r="K40">
        <f>ZCP_3D('Données géométriques'!$B$9,'Données géométriques'!$B$10,'Données géométriques'!$B$11)</f>
        <v>-0.37564783319086603</v>
      </c>
      <c r="L40">
        <f>'0.1kts'!L40</f>
        <v>-9.6441016000000015E-3</v>
      </c>
    </row>
    <row r="41" spans="1:12" x14ac:dyDescent="0.3">
      <c r="A41">
        <v>20</v>
      </c>
      <c r="B41">
        <f t="shared" si="0"/>
        <v>0.3490658503988659</v>
      </c>
      <c r="C41">
        <v>1.5244</v>
      </c>
      <c r="D41">
        <v>7.646E-2</v>
      </c>
      <c r="E41">
        <v>1.5100000000000001E-2</v>
      </c>
      <c r="F41">
        <f>C41/(1+2/'Données géométriques'!$B$6)</f>
        <v>1.1737880000000001</v>
      </c>
      <c r="G41">
        <f>F41^2/(PI()*'Données géométriques'!$B$6)</f>
        <v>6.549928708703566E-2</v>
      </c>
      <c r="H41">
        <f t="shared" si="1"/>
        <v>0.14195928708703565</v>
      </c>
      <c r="I41">
        <f t="shared" si="2"/>
        <v>0.23964773711517065</v>
      </c>
      <c r="J41">
        <f>XCP_3D('Données géométriques'!$B$9,'Données géométriques'!$B$10,'Données géométriques'!$B$11,'Données géométriques'!$B$12,I41)</f>
        <v>-0.27071804662439397</v>
      </c>
      <c r="K41">
        <f>ZCP_3D('Données géométriques'!$B$9,'Données géométriques'!$B$10,'Données géométriques'!$B$11)</f>
        <v>-0.37564783319086603</v>
      </c>
      <c r="L41">
        <f>'0.1kts'!L41</f>
        <v>-1.2690190175000003E-2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51858-7B48-43E9-B39B-D795B8B3B5E9}">
  <sheetPr codeName="Feuil12"/>
  <dimension ref="A1:G12"/>
  <sheetViews>
    <sheetView workbookViewId="0">
      <selection activeCell="D14" sqref="D14"/>
    </sheetView>
  </sheetViews>
  <sheetFormatPr baseColWidth="10" defaultRowHeight="14.4" x14ac:dyDescent="0.3"/>
  <cols>
    <col min="1" max="1" width="17.21875" bestFit="1" customWidth="1"/>
    <col min="3" max="3" width="20.88671875" bestFit="1" customWidth="1"/>
    <col min="4" max="4" width="24.88671875" bestFit="1" customWidth="1"/>
    <col min="7" max="7" width="22.33203125" bestFit="1" customWidth="1"/>
  </cols>
  <sheetData>
    <row r="1" spans="1:7" x14ac:dyDescent="0.3">
      <c r="A1" t="s">
        <v>13</v>
      </c>
      <c r="D1" t="s">
        <v>16</v>
      </c>
      <c r="G1" t="s">
        <v>15</v>
      </c>
    </row>
    <row r="2" spans="1:7" x14ac:dyDescent="0.3">
      <c r="A2" t="s">
        <v>14</v>
      </c>
      <c r="B2">
        <f>(D2+D3)/2</f>
        <v>0.23</v>
      </c>
      <c r="D2">
        <v>0.183</v>
      </c>
      <c r="G2" s="2">
        <v>1.0070000000000001E-6</v>
      </c>
    </row>
    <row r="3" spans="1:7" x14ac:dyDescent="0.3">
      <c r="A3" t="s">
        <v>17</v>
      </c>
      <c r="B3">
        <v>0.77</v>
      </c>
      <c r="D3">
        <v>0.27700000000000002</v>
      </c>
    </row>
    <row r="4" spans="1:7" x14ac:dyDescent="0.3">
      <c r="A4" t="s">
        <v>18</v>
      </c>
      <c r="B4">
        <f>B3/B2</f>
        <v>3.3478260869565215</v>
      </c>
    </row>
    <row r="5" spans="1:7" x14ac:dyDescent="0.3">
      <c r="A5" t="s">
        <v>19</v>
      </c>
      <c r="B5">
        <v>2</v>
      </c>
      <c r="C5" t="s">
        <v>21</v>
      </c>
    </row>
    <row r="6" spans="1:7" x14ac:dyDescent="0.3">
      <c r="A6" t="s">
        <v>20</v>
      </c>
      <c r="B6">
        <f>B5*B4</f>
        <v>6.695652173913043</v>
      </c>
    </row>
    <row r="9" spans="1:7" x14ac:dyDescent="0.3">
      <c r="A9" t="s">
        <v>23</v>
      </c>
      <c r="B9">
        <v>0.30880000000000002</v>
      </c>
    </row>
    <row r="10" spans="1:7" x14ac:dyDescent="0.3">
      <c r="A10" t="s">
        <v>24</v>
      </c>
      <c r="B10">
        <v>0.17849999999999999</v>
      </c>
    </row>
    <row r="11" spans="1:7" x14ac:dyDescent="0.3">
      <c r="A11" t="s">
        <v>25</v>
      </c>
      <c r="B11">
        <v>0.82489999999999997</v>
      </c>
    </row>
    <row r="12" spans="1:7" x14ac:dyDescent="0.3">
      <c r="A12" t="s">
        <v>26</v>
      </c>
      <c r="B12">
        <v>0.4632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0.1kts</vt:lpstr>
      <vt:lpstr>0.5kts</vt:lpstr>
      <vt:lpstr>1kts</vt:lpstr>
      <vt:lpstr>1.5kts</vt:lpstr>
      <vt:lpstr>2kts</vt:lpstr>
      <vt:lpstr>2.5kts</vt:lpstr>
      <vt:lpstr>3kts</vt:lpstr>
      <vt:lpstr>3.5kts</vt:lpstr>
      <vt:lpstr>4kts</vt:lpstr>
      <vt:lpstr>5kts</vt:lpstr>
      <vt:lpstr>10kts</vt:lpstr>
      <vt:lpstr>Données géométriques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Loughlin</dc:creator>
  <cp:lastModifiedBy>Loughlin</cp:lastModifiedBy>
  <dcterms:created xsi:type="dcterms:W3CDTF">2015-06-05T18:19:34Z</dcterms:created>
  <dcterms:modified xsi:type="dcterms:W3CDTF">2020-03-18T12:25:35Z</dcterms:modified>
</cp:coreProperties>
</file>