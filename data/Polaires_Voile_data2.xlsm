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eo\Documents\GitHub\ProjetMT\"/>
    </mc:Choice>
  </mc:AlternateContent>
  <xr:revisionPtr revIDLastSave="0" documentId="13_ncr:1_{D5539202-C73D-4BE9-B0E2-04CF7A47D2BB}" xr6:coauthVersionLast="44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1kts" sheetId="10" r:id="rId1"/>
    <sheet name="5kts" sheetId="1" r:id="rId2"/>
    <sheet name="10kts" sheetId="2" r:id="rId3"/>
    <sheet name="15kts" sheetId="3" r:id="rId4"/>
    <sheet name="20kts" sheetId="4" r:id="rId5"/>
    <sheet name="25kts" sheetId="5" r:id="rId6"/>
    <sheet name="30kts" sheetId="6" r:id="rId7"/>
    <sheet name="35kts" sheetId="7" r:id="rId8"/>
    <sheet name="40kts" sheetId="8" r:id="rId9"/>
    <sheet name="Données géométriques" sheetId="9" r:id="rId10"/>
  </sheets>
  <functionGroups builtInGroupCount="19"/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'1kts'!$J$4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" i="10" l="1"/>
  <c r="K43" i="8" l="1"/>
  <c r="F42" i="8"/>
  <c r="G42" i="8" s="1"/>
  <c r="H42" i="8" s="1"/>
  <c r="I42" i="8"/>
  <c r="K42" i="8"/>
  <c r="M42" i="8"/>
  <c r="F43" i="8"/>
  <c r="G43" i="8"/>
  <c r="H43" i="8" s="1"/>
  <c r="I43" i="8"/>
  <c r="M43" i="8"/>
  <c r="B43" i="8"/>
  <c r="B42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5" i="8"/>
  <c r="K43" i="7"/>
  <c r="F43" i="7"/>
  <c r="G43" i="7" s="1"/>
  <c r="H43" i="7" s="1"/>
  <c r="I43" i="7"/>
  <c r="M4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" i="7"/>
  <c r="K44" i="6"/>
  <c r="K43" i="6"/>
  <c r="F42" i="6"/>
  <c r="G42" i="6" s="1"/>
  <c r="H42" i="6" s="1"/>
  <c r="I42" i="6"/>
  <c r="K42" i="6"/>
  <c r="M42" i="6"/>
  <c r="F43" i="6"/>
  <c r="G43" i="6"/>
  <c r="H43" i="6" s="1"/>
  <c r="I43" i="6"/>
  <c r="M43" i="6"/>
  <c r="F44" i="6"/>
  <c r="G44" i="6" s="1"/>
  <c r="H44" i="6" s="1"/>
  <c r="I44" i="6"/>
  <c r="M44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B42" i="6"/>
  <c r="B43" i="6"/>
  <c r="B4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" i="6"/>
  <c r="F38" i="5"/>
  <c r="G38" i="5" s="1"/>
  <c r="H38" i="5" s="1"/>
  <c r="I38" i="5"/>
  <c r="K38" i="5"/>
  <c r="M38" i="5"/>
  <c r="F39" i="5"/>
  <c r="G39" i="5" s="1"/>
  <c r="H39" i="5" s="1"/>
  <c r="I39" i="5"/>
  <c r="K39" i="5"/>
  <c r="M39" i="5"/>
  <c r="F40" i="5"/>
  <c r="G40" i="5" s="1"/>
  <c r="H40" i="5" s="1"/>
  <c r="I40" i="5"/>
  <c r="K40" i="5"/>
  <c r="M40" i="5"/>
  <c r="F41" i="5"/>
  <c r="G41" i="5" s="1"/>
  <c r="H41" i="5" s="1"/>
  <c r="I41" i="5"/>
  <c r="K41" i="5"/>
  <c r="M41" i="5"/>
  <c r="F42" i="5"/>
  <c r="G42" i="5" s="1"/>
  <c r="H42" i="5" s="1"/>
  <c r="I42" i="5"/>
  <c r="K42" i="5"/>
  <c r="M42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" i="5"/>
  <c r="K43" i="4"/>
  <c r="G43" i="4"/>
  <c r="H43" i="4" s="1"/>
  <c r="I43" i="4"/>
  <c r="M43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" i="4"/>
  <c r="K43" i="3"/>
  <c r="F41" i="3"/>
  <c r="G41" i="3"/>
  <c r="H41" i="3"/>
  <c r="I41" i="3"/>
  <c r="K41" i="3"/>
  <c r="M41" i="3"/>
  <c r="F42" i="3"/>
  <c r="G42" i="3"/>
  <c r="H42" i="3" s="1"/>
  <c r="I42" i="3"/>
  <c r="K42" i="3"/>
  <c r="M42" i="3"/>
  <c r="F43" i="3"/>
  <c r="G43" i="3" s="1"/>
  <c r="H43" i="3" s="1"/>
  <c r="I43" i="3"/>
  <c r="M43" i="3"/>
  <c r="B41" i="3"/>
  <c r="B42" i="3"/>
  <c r="B43" i="3"/>
  <c r="B5" i="3"/>
  <c r="I5" i="3" s="1"/>
  <c r="B6" i="3"/>
  <c r="I6" i="3" s="1"/>
  <c r="B7" i="3"/>
  <c r="I7" i="3" s="1"/>
  <c r="B8" i="3"/>
  <c r="I8" i="3" s="1"/>
  <c r="B9" i="3"/>
  <c r="B10" i="3"/>
  <c r="B11" i="3"/>
  <c r="B12" i="3"/>
  <c r="B13" i="3"/>
  <c r="B14" i="3"/>
  <c r="B15" i="3"/>
  <c r="B16" i="3"/>
  <c r="I16" i="3" s="1"/>
  <c r="B17" i="3"/>
  <c r="I17" i="3" s="1"/>
  <c r="B18" i="3"/>
  <c r="I18" i="3" s="1"/>
  <c r="B19" i="3"/>
  <c r="I19" i="3" s="1"/>
  <c r="B20" i="3"/>
  <c r="I20" i="3" s="1"/>
  <c r="B21" i="3"/>
  <c r="B22" i="3"/>
  <c r="B23" i="3"/>
  <c r="B24" i="3"/>
  <c r="B25" i="3"/>
  <c r="B26" i="3"/>
  <c r="B27" i="3"/>
  <c r="B28" i="3"/>
  <c r="I28" i="3" s="1"/>
  <c r="B29" i="3"/>
  <c r="I29" i="3" s="1"/>
  <c r="B30" i="3"/>
  <c r="I30" i="3" s="1"/>
  <c r="B31" i="3"/>
  <c r="I31" i="3" s="1"/>
  <c r="B32" i="3"/>
  <c r="I32" i="3" s="1"/>
  <c r="B33" i="3"/>
  <c r="B34" i="3"/>
  <c r="B35" i="3"/>
  <c r="B36" i="3"/>
  <c r="B37" i="3"/>
  <c r="B38" i="3"/>
  <c r="B39" i="3"/>
  <c r="B40" i="3"/>
  <c r="I40" i="3" s="1"/>
  <c r="B4" i="3"/>
  <c r="F33" i="2"/>
  <c r="G33" i="2"/>
  <c r="H33" i="2"/>
  <c r="I33" i="2"/>
  <c r="K33" i="2"/>
  <c r="B33" i="2"/>
  <c r="M33" i="2"/>
  <c r="B5" i="2"/>
  <c r="I5" i="2" s="1"/>
  <c r="B6" i="2"/>
  <c r="I6" i="2" s="1"/>
  <c r="B7" i="2"/>
  <c r="I7" i="2" s="1"/>
  <c r="B8" i="2"/>
  <c r="I8" i="2" s="1"/>
  <c r="B9" i="2"/>
  <c r="I9" i="2" s="1"/>
  <c r="B10" i="2"/>
  <c r="B11" i="2"/>
  <c r="B12" i="2"/>
  <c r="I12" i="2" s="1"/>
  <c r="B13" i="2"/>
  <c r="I13" i="2" s="1"/>
  <c r="B14" i="2"/>
  <c r="I14" i="2" s="1"/>
  <c r="B15" i="2"/>
  <c r="B16" i="2"/>
  <c r="I16" i="2" s="1"/>
  <c r="B17" i="2"/>
  <c r="I17" i="2" s="1"/>
  <c r="B18" i="2"/>
  <c r="I18" i="2" s="1"/>
  <c r="B19" i="2"/>
  <c r="I19" i="2" s="1"/>
  <c r="B20" i="2"/>
  <c r="I20" i="2" s="1"/>
  <c r="B21" i="2"/>
  <c r="B22" i="2"/>
  <c r="B23" i="2"/>
  <c r="I23" i="2" s="1"/>
  <c r="B24" i="2"/>
  <c r="I24" i="2" s="1"/>
  <c r="B25" i="2"/>
  <c r="I25" i="2" s="1"/>
  <c r="B26" i="2"/>
  <c r="I26" i="2" s="1"/>
  <c r="B27" i="2"/>
  <c r="I27" i="2" s="1"/>
  <c r="B28" i="2"/>
  <c r="I28" i="2" s="1"/>
  <c r="B29" i="2"/>
  <c r="I29" i="2" s="1"/>
  <c r="B30" i="2"/>
  <c r="I30" i="2" s="1"/>
  <c r="B31" i="2"/>
  <c r="I31" i="2" s="1"/>
  <c r="B32" i="2"/>
  <c r="I32" i="2" s="1"/>
  <c r="B34" i="2"/>
  <c r="I34" i="2" s="1"/>
  <c r="B35" i="2"/>
  <c r="B36" i="2"/>
  <c r="B37" i="2"/>
  <c r="I37" i="2" s="1"/>
  <c r="B38" i="2"/>
  <c r="I38" i="2" s="1"/>
  <c r="B39" i="2"/>
  <c r="I39" i="2" s="1"/>
  <c r="B40" i="2"/>
  <c r="I40" i="2" s="1"/>
  <c r="B41" i="2"/>
  <c r="I41" i="2" s="1"/>
  <c r="B42" i="2"/>
  <c r="B43" i="2"/>
  <c r="I43" i="2" s="1"/>
  <c r="B4" i="2"/>
  <c r="C1" i="2"/>
  <c r="B5" i="10"/>
  <c r="B6" i="10"/>
  <c r="B7" i="10"/>
  <c r="I7" i="10" s="1"/>
  <c r="B8" i="10"/>
  <c r="I8" i="10" s="1"/>
  <c r="B9" i="10"/>
  <c r="B10" i="10"/>
  <c r="B11" i="10"/>
  <c r="B12" i="10"/>
  <c r="B13" i="10"/>
  <c r="I13" i="10" s="1"/>
  <c r="B14" i="10"/>
  <c r="I14" i="10" s="1"/>
  <c r="B15" i="10"/>
  <c r="B16" i="10"/>
  <c r="B17" i="10"/>
  <c r="B18" i="10"/>
  <c r="B19" i="10"/>
  <c r="I19" i="10" s="1"/>
  <c r="B20" i="10"/>
  <c r="I20" i="10" s="1"/>
  <c r="B21" i="10"/>
  <c r="B22" i="10"/>
  <c r="B23" i="10"/>
  <c r="B24" i="10"/>
  <c r="B25" i="10"/>
  <c r="I25" i="10" s="1"/>
  <c r="B26" i="10"/>
  <c r="I26" i="10" s="1"/>
  <c r="B27" i="10"/>
  <c r="B28" i="10"/>
  <c r="B29" i="10"/>
  <c r="B30" i="10"/>
  <c r="B31" i="10"/>
  <c r="I31" i="10" s="1"/>
  <c r="B32" i="10"/>
  <c r="I32" i="10" s="1"/>
  <c r="B33" i="10"/>
  <c r="B34" i="10"/>
  <c r="B35" i="10"/>
  <c r="B36" i="10"/>
  <c r="B37" i="10"/>
  <c r="I37" i="10" s="1"/>
  <c r="B38" i="10"/>
  <c r="I38" i="10" s="1"/>
  <c r="B39" i="10"/>
  <c r="B40" i="10"/>
  <c r="B41" i="10"/>
  <c r="B42" i="10"/>
  <c r="B43" i="10"/>
  <c r="I43" i="10" s="1"/>
  <c r="B4" i="10"/>
  <c r="I41" i="1"/>
  <c r="F41" i="1"/>
  <c r="G41" i="1"/>
  <c r="H41" i="1" s="1"/>
  <c r="M41" i="1"/>
  <c r="F42" i="1"/>
  <c r="G42" i="1"/>
  <c r="H42" i="1" s="1"/>
  <c r="I42" i="1"/>
  <c r="M42" i="1"/>
  <c r="B41" i="1"/>
  <c r="B42" i="1"/>
  <c r="B6" i="1"/>
  <c r="B7" i="1"/>
  <c r="B8" i="1"/>
  <c r="I8" i="1" s="1"/>
  <c r="B9" i="1"/>
  <c r="I9" i="1" s="1"/>
  <c r="B10" i="1"/>
  <c r="B11" i="1"/>
  <c r="B12" i="1"/>
  <c r="B13" i="1"/>
  <c r="B14" i="1"/>
  <c r="I14" i="1" s="1"/>
  <c r="B15" i="1"/>
  <c r="I15" i="1" s="1"/>
  <c r="B16" i="1"/>
  <c r="B17" i="1"/>
  <c r="B18" i="1"/>
  <c r="B19" i="1"/>
  <c r="B20" i="1"/>
  <c r="I20" i="1" s="1"/>
  <c r="B21" i="1"/>
  <c r="I21" i="1" s="1"/>
  <c r="B22" i="1"/>
  <c r="B23" i="1"/>
  <c r="B24" i="1"/>
  <c r="B25" i="1"/>
  <c r="B26" i="1"/>
  <c r="I26" i="1" s="1"/>
  <c r="B27" i="1"/>
  <c r="I27" i="1" s="1"/>
  <c r="B28" i="1"/>
  <c r="B29" i="1"/>
  <c r="B30" i="1"/>
  <c r="B31" i="1"/>
  <c r="B32" i="1"/>
  <c r="I32" i="1" s="1"/>
  <c r="B33" i="1"/>
  <c r="I33" i="1" s="1"/>
  <c r="B34" i="1"/>
  <c r="B35" i="1"/>
  <c r="B36" i="1"/>
  <c r="B37" i="1"/>
  <c r="B38" i="1"/>
  <c r="I38" i="1" s="1"/>
  <c r="B39" i="1"/>
  <c r="I39" i="1" s="1"/>
  <c r="B40" i="1"/>
  <c r="B5" i="1"/>
  <c r="I5" i="1" s="1"/>
  <c r="I9" i="3"/>
  <c r="I10" i="3"/>
  <c r="I11" i="3"/>
  <c r="I12" i="3"/>
  <c r="I13" i="3"/>
  <c r="I14" i="3"/>
  <c r="I15" i="3"/>
  <c r="I21" i="3"/>
  <c r="I22" i="3"/>
  <c r="I23" i="3"/>
  <c r="I24" i="3"/>
  <c r="I25" i="3"/>
  <c r="I26" i="3"/>
  <c r="I27" i="3"/>
  <c r="I33" i="3"/>
  <c r="I34" i="3"/>
  <c r="I35" i="3"/>
  <c r="I36" i="3"/>
  <c r="I37" i="3"/>
  <c r="I38" i="3"/>
  <c r="I39" i="3"/>
  <c r="I10" i="2"/>
  <c r="I11" i="2"/>
  <c r="I15" i="2"/>
  <c r="I21" i="2"/>
  <c r="I22" i="2"/>
  <c r="I35" i="2"/>
  <c r="I36" i="2"/>
  <c r="I42" i="2"/>
  <c r="I6" i="1"/>
  <c r="I7" i="1"/>
  <c r="I10" i="1"/>
  <c r="I11" i="1"/>
  <c r="I12" i="1"/>
  <c r="I13" i="1"/>
  <c r="I16" i="1"/>
  <c r="I17" i="1"/>
  <c r="I18" i="1"/>
  <c r="I19" i="1"/>
  <c r="I22" i="1"/>
  <c r="I23" i="1"/>
  <c r="I24" i="1"/>
  <c r="I25" i="1"/>
  <c r="I28" i="1"/>
  <c r="I29" i="1"/>
  <c r="I30" i="1"/>
  <c r="I31" i="1"/>
  <c r="I34" i="1"/>
  <c r="I35" i="1"/>
  <c r="I36" i="1"/>
  <c r="I37" i="1"/>
  <c r="I40" i="1"/>
  <c r="I6" i="10"/>
  <c r="I9" i="10"/>
  <c r="I10" i="10"/>
  <c r="I11" i="10"/>
  <c r="I12" i="10"/>
  <c r="I15" i="10"/>
  <c r="I16" i="10"/>
  <c r="I17" i="10"/>
  <c r="I18" i="10"/>
  <c r="I21" i="10"/>
  <c r="I22" i="10"/>
  <c r="I23" i="10"/>
  <c r="I24" i="10"/>
  <c r="I27" i="10"/>
  <c r="I28" i="10"/>
  <c r="I29" i="10"/>
  <c r="I30" i="10"/>
  <c r="I33" i="10"/>
  <c r="I34" i="10"/>
  <c r="I35" i="10"/>
  <c r="I36" i="10"/>
  <c r="I39" i="10"/>
  <c r="I40" i="10"/>
  <c r="I41" i="10"/>
  <c r="I42" i="10"/>
  <c r="I5" i="10"/>
  <c r="J43" i="8"/>
  <c r="J42" i="8"/>
  <c r="J43" i="7"/>
  <c r="J43" i="6"/>
  <c r="J42" i="6"/>
  <c r="J44" i="6"/>
  <c r="J39" i="5"/>
  <c r="J42" i="5"/>
  <c r="J38" i="5"/>
  <c r="J41" i="5"/>
  <c r="J40" i="5"/>
  <c r="J43" i="4"/>
  <c r="J41" i="3"/>
  <c r="J43" i="3"/>
  <c r="J42" i="3"/>
  <c r="J33" i="2"/>
  <c r="K41" i="1"/>
  <c r="J42" i="1"/>
  <c r="J41" i="1"/>
  <c r="K42" i="1"/>
  <c r="L42" i="8" l="1"/>
  <c r="L43" i="8"/>
  <c r="L43" i="7"/>
  <c r="L44" i="6"/>
  <c r="L42" i="6"/>
  <c r="L43" i="6"/>
  <c r="L40" i="5"/>
  <c r="L41" i="5"/>
  <c r="L38" i="5"/>
  <c r="L42" i="5"/>
  <c r="L39" i="5"/>
  <c r="L43" i="4"/>
  <c r="L42" i="3"/>
  <c r="L43" i="3"/>
  <c r="L41" i="3"/>
  <c r="L33" i="2"/>
  <c r="L41" i="1"/>
  <c r="L42" i="1"/>
  <c r="F41" i="10"/>
  <c r="G41" i="10" s="1"/>
  <c r="H41" i="10" s="1"/>
  <c r="M41" i="10"/>
  <c r="F42" i="10"/>
  <c r="G42" i="10" s="1"/>
  <c r="H42" i="10" s="1"/>
  <c r="M42" i="10"/>
  <c r="F43" i="10"/>
  <c r="G43" i="10"/>
  <c r="H43" i="10" s="1"/>
  <c r="K43" i="10"/>
  <c r="M43" i="10"/>
  <c r="M40" i="10"/>
  <c r="F40" i="10"/>
  <c r="G40" i="10" s="1"/>
  <c r="H40" i="10" s="1"/>
  <c r="M39" i="10"/>
  <c r="F39" i="10"/>
  <c r="G39" i="10" s="1"/>
  <c r="H39" i="10" s="1"/>
  <c r="M38" i="10"/>
  <c r="F38" i="10"/>
  <c r="G38" i="10" s="1"/>
  <c r="H38" i="10" s="1"/>
  <c r="M37" i="10"/>
  <c r="F37" i="10"/>
  <c r="G37" i="10" s="1"/>
  <c r="H37" i="10" s="1"/>
  <c r="M36" i="10"/>
  <c r="F36" i="10"/>
  <c r="G36" i="10" s="1"/>
  <c r="H36" i="10" s="1"/>
  <c r="M35" i="10"/>
  <c r="F35" i="10"/>
  <c r="G35" i="10" s="1"/>
  <c r="H35" i="10" s="1"/>
  <c r="M34" i="10"/>
  <c r="F34" i="10"/>
  <c r="G34" i="10" s="1"/>
  <c r="H34" i="10" s="1"/>
  <c r="M33" i="10"/>
  <c r="F33" i="10"/>
  <c r="G33" i="10" s="1"/>
  <c r="H33" i="10" s="1"/>
  <c r="M32" i="10"/>
  <c r="F32" i="10"/>
  <c r="G32" i="10" s="1"/>
  <c r="H32" i="10" s="1"/>
  <c r="M31" i="10"/>
  <c r="F31" i="10"/>
  <c r="G31" i="10" s="1"/>
  <c r="H31" i="10" s="1"/>
  <c r="M30" i="10"/>
  <c r="F30" i="10"/>
  <c r="G30" i="10" s="1"/>
  <c r="H30" i="10" s="1"/>
  <c r="M29" i="10"/>
  <c r="F29" i="10"/>
  <c r="G29" i="10" s="1"/>
  <c r="H29" i="10" s="1"/>
  <c r="M28" i="10"/>
  <c r="F28" i="10"/>
  <c r="G28" i="10" s="1"/>
  <c r="H28" i="10" s="1"/>
  <c r="M27" i="10"/>
  <c r="F27" i="10"/>
  <c r="G27" i="10" s="1"/>
  <c r="H27" i="10" s="1"/>
  <c r="M26" i="10"/>
  <c r="F26" i="10"/>
  <c r="G26" i="10" s="1"/>
  <c r="H26" i="10" s="1"/>
  <c r="M25" i="10"/>
  <c r="F25" i="10"/>
  <c r="G25" i="10" s="1"/>
  <c r="H25" i="10" s="1"/>
  <c r="M24" i="10"/>
  <c r="F24" i="10"/>
  <c r="G24" i="10" s="1"/>
  <c r="H24" i="10" s="1"/>
  <c r="M23" i="10"/>
  <c r="F23" i="10"/>
  <c r="G23" i="10" s="1"/>
  <c r="H23" i="10" s="1"/>
  <c r="M22" i="10"/>
  <c r="F22" i="10"/>
  <c r="G22" i="10" s="1"/>
  <c r="H22" i="10" s="1"/>
  <c r="M21" i="10"/>
  <c r="F21" i="10"/>
  <c r="G21" i="10" s="1"/>
  <c r="H21" i="10" s="1"/>
  <c r="M20" i="10"/>
  <c r="F20" i="10"/>
  <c r="G20" i="10" s="1"/>
  <c r="H20" i="10" s="1"/>
  <c r="M19" i="10"/>
  <c r="F19" i="10"/>
  <c r="G19" i="10" s="1"/>
  <c r="H19" i="10" s="1"/>
  <c r="M18" i="10"/>
  <c r="F18" i="10"/>
  <c r="G18" i="10" s="1"/>
  <c r="H18" i="10" s="1"/>
  <c r="M17" i="10"/>
  <c r="F17" i="10"/>
  <c r="G17" i="10" s="1"/>
  <c r="H17" i="10" s="1"/>
  <c r="M16" i="10"/>
  <c r="F16" i="10"/>
  <c r="G16" i="10" s="1"/>
  <c r="H16" i="10" s="1"/>
  <c r="M15" i="10"/>
  <c r="F15" i="10"/>
  <c r="G15" i="10" s="1"/>
  <c r="H15" i="10" s="1"/>
  <c r="M14" i="10"/>
  <c r="F14" i="10"/>
  <c r="G14" i="10" s="1"/>
  <c r="H14" i="10" s="1"/>
  <c r="M13" i="10"/>
  <c r="F13" i="10"/>
  <c r="G13" i="10" s="1"/>
  <c r="H13" i="10" s="1"/>
  <c r="M12" i="10"/>
  <c r="F12" i="10"/>
  <c r="G12" i="10" s="1"/>
  <c r="H12" i="10" s="1"/>
  <c r="M11" i="10"/>
  <c r="F11" i="10"/>
  <c r="G11" i="10" s="1"/>
  <c r="H11" i="10" s="1"/>
  <c r="M10" i="10"/>
  <c r="F10" i="10"/>
  <c r="G10" i="10" s="1"/>
  <c r="H10" i="10" s="1"/>
  <c r="M9" i="10"/>
  <c r="F9" i="10"/>
  <c r="G9" i="10" s="1"/>
  <c r="H9" i="10" s="1"/>
  <c r="M8" i="10"/>
  <c r="F8" i="10"/>
  <c r="G8" i="10" s="1"/>
  <c r="H8" i="10" s="1"/>
  <c r="M7" i="10"/>
  <c r="F7" i="10"/>
  <c r="G7" i="10" s="1"/>
  <c r="H7" i="10" s="1"/>
  <c r="M6" i="10"/>
  <c r="F6" i="10"/>
  <c r="G6" i="10" s="1"/>
  <c r="H6" i="10" s="1"/>
  <c r="M5" i="10"/>
  <c r="F5" i="10"/>
  <c r="G5" i="10" s="1"/>
  <c r="H5" i="10" s="1"/>
  <c r="M4" i="10"/>
  <c r="F4" i="10"/>
  <c r="G4" i="10" s="1"/>
  <c r="H4" i="10" s="1"/>
  <c r="C1" i="8"/>
  <c r="C1" i="7"/>
  <c r="C1" i="6"/>
  <c r="C1" i="5"/>
  <c r="C1" i="4"/>
  <c r="C1" i="3"/>
  <c r="C1" i="1"/>
  <c r="J41" i="10"/>
  <c r="K41" i="10"/>
  <c r="J43" i="10"/>
  <c r="K42" i="10"/>
  <c r="J42" i="10"/>
  <c r="J37" i="10"/>
  <c r="J25" i="10"/>
  <c r="J13" i="10"/>
  <c r="J30" i="10"/>
  <c r="J18" i="10"/>
  <c r="J6" i="10"/>
  <c r="J11" i="10"/>
  <c r="K4" i="10"/>
  <c r="J35" i="10"/>
  <c r="J23" i="10"/>
  <c r="J40" i="10"/>
  <c r="J28" i="10"/>
  <c r="J16" i="10"/>
  <c r="J4" i="10"/>
  <c r="J9" i="10"/>
  <c r="J33" i="10"/>
  <c r="J21" i="10"/>
  <c r="J38" i="10"/>
  <c r="J26" i="10"/>
  <c r="J14" i="10"/>
  <c r="J31" i="10"/>
  <c r="J19" i="10"/>
  <c r="J7" i="10"/>
  <c r="K5" i="10"/>
  <c r="J36" i="10"/>
  <c r="J24" i="10"/>
  <c r="J12" i="10"/>
  <c r="J22" i="10"/>
  <c r="J29" i="10"/>
  <c r="J17" i="10"/>
  <c r="J5" i="10"/>
  <c r="J34" i="10"/>
  <c r="J39" i="10"/>
  <c r="J27" i="10"/>
  <c r="J15" i="10"/>
  <c r="J8" i="10"/>
  <c r="J32" i="10"/>
  <c r="J20" i="10"/>
  <c r="J10" i="10"/>
  <c r="L42" i="10" l="1"/>
  <c r="L43" i="10"/>
  <c r="L41" i="10"/>
  <c r="L10" i="10"/>
  <c r="L20" i="10"/>
  <c r="L32" i="10"/>
  <c r="L8" i="10"/>
  <c r="L15" i="10"/>
  <c r="L27" i="10"/>
  <c r="L39" i="10"/>
  <c r="L34" i="10"/>
  <c r="L5" i="10"/>
  <c r="L17" i="10"/>
  <c r="L29" i="10"/>
  <c r="L22" i="10"/>
  <c r="L12" i="10"/>
  <c r="L24" i="10"/>
  <c r="L36" i="10"/>
  <c r="L7" i="10"/>
  <c r="L19" i="10"/>
  <c r="L31" i="10"/>
  <c r="L14" i="10"/>
  <c r="L26" i="10"/>
  <c r="L38" i="10"/>
  <c r="L21" i="10"/>
  <c r="L33" i="10"/>
  <c r="L9" i="10"/>
  <c r="L4" i="10"/>
  <c r="L16" i="10"/>
  <c r="L28" i="10"/>
  <c r="L40" i="10"/>
  <c r="L23" i="10"/>
  <c r="L35" i="10"/>
  <c r="K30" i="10"/>
  <c r="K18" i="10"/>
  <c r="K6" i="10"/>
  <c r="K35" i="10"/>
  <c r="K23" i="10"/>
  <c r="K11" i="10"/>
  <c r="K40" i="10"/>
  <c r="K28" i="10"/>
  <c r="K16" i="10"/>
  <c r="K33" i="10"/>
  <c r="K21" i="10"/>
  <c r="K9" i="10"/>
  <c r="K14" i="10"/>
  <c r="K38" i="10"/>
  <c r="K26" i="10"/>
  <c r="K31" i="10"/>
  <c r="K19" i="10"/>
  <c r="K7" i="10"/>
  <c r="K36" i="10"/>
  <c r="K24" i="10"/>
  <c r="K12" i="10"/>
  <c r="K29" i="10"/>
  <c r="K17" i="10"/>
  <c r="K34" i="10"/>
  <c r="K22" i="10"/>
  <c r="K10" i="10"/>
  <c r="K27" i="10"/>
  <c r="K15" i="10"/>
  <c r="K39" i="10"/>
  <c r="K32" i="10"/>
  <c r="K20" i="10"/>
  <c r="K8" i="10"/>
  <c r="K37" i="10"/>
  <c r="K25" i="10"/>
  <c r="K13" i="10"/>
  <c r="L11" i="10"/>
  <c r="L6" i="10"/>
  <c r="L18" i="10"/>
  <c r="L30" i="10"/>
  <c r="L13" i="10"/>
  <c r="L25" i="10"/>
  <c r="L37" i="10"/>
  <c r="L4" i="8"/>
  <c r="L4" i="7"/>
  <c r="L4" i="6"/>
  <c r="L4" i="5"/>
  <c r="L4" i="4"/>
  <c r="L4" i="3"/>
  <c r="L4" i="1"/>
  <c r="K41" i="8" l="1"/>
  <c r="K41" i="7"/>
  <c r="K42" i="7"/>
  <c r="K41" i="6"/>
  <c r="K41" i="4"/>
  <c r="K42" i="4"/>
  <c r="K42" i="2"/>
  <c r="K43" i="2"/>
  <c r="F5" i="8"/>
  <c r="G5" i="8" s="1"/>
  <c r="H5" i="8" s="1"/>
  <c r="F6" i="8"/>
  <c r="G6" i="8" s="1"/>
  <c r="H6" i="8" s="1"/>
  <c r="F7" i="8"/>
  <c r="G7" i="8"/>
  <c r="H7" i="8" s="1"/>
  <c r="F8" i="8"/>
  <c r="G8" i="8" s="1"/>
  <c r="H8" i="8" s="1"/>
  <c r="F9" i="8"/>
  <c r="G9" i="8"/>
  <c r="H9" i="8"/>
  <c r="F10" i="8"/>
  <c r="G10" i="8" s="1"/>
  <c r="H10" i="8" s="1"/>
  <c r="F11" i="8"/>
  <c r="G11" i="8" s="1"/>
  <c r="H11" i="8" s="1"/>
  <c r="F12" i="8"/>
  <c r="G12" i="8"/>
  <c r="H12" i="8"/>
  <c r="F13" i="8"/>
  <c r="G13" i="8" s="1"/>
  <c r="H13" i="8" s="1"/>
  <c r="F14" i="8"/>
  <c r="G14" i="8" s="1"/>
  <c r="H14" i="8" s="1"/>
  <c r="F15" i="8"/>
  <c r="G15" i="8"/>
  <c r="H15" i="8" s="1"/>
  <c r="F16" i="8"/>
  <c r="G16" i="8" s="1"/>
  <c r="H16" i="8" s="1"/>
  <c r="F17" i="8"/>
  <c r="G17" i="8" s="1"/>
  <c r="H17" i="8" s="1"/>
  <c r="F18" i="8"/>
  <c r="G18" i="8" s="1"/>
  <c r="H18" i="8" s="1"/>
  <c r="F19" i="8"/>
  <c r="G19" i="8" s="1"/>
  <c r="H19" i="8" s="1"/>
  <c r="F20" i="8"/>
  <c r="G20" i="8" s="1"/>
  <c r="H20" i="8" s="1"/>
  <c r="F21" i="8"/>
  <c r="G21" i="8" s="1"/>
  <c r="H21" i="8" s="1"/>
  <c r="F22" i="8"/>
  <c r="G22" i="8" s="1"/>
  <c r="H22" i="8" s="1"/>
  <c r="F23" i="8"/>
  <c r="G23" i="8"/>
  <c r="H23" i="8" s="1"/>
  <c r="F24" i="8"/>
  <c r="G24" i="8" s="1"/>
  <c r="H24" i="8" s="1"/>
  <c r="F25" i="8"/>
  <c r="G25" i="8"/>
  <c r="H25" i="8"/>
  <c r="F26" i="8"/>
  <c r="G26" i="8" s="1"/>
  <c r="H26" i="8" s="1"/>
  <c r="F27" i="8"/>
  <c r="G27" i="8" s="1"/>
  <c r="H27" i="8" s="1"/>
  <c r="F28" i="8"/>
  <c r="G28" i="8"/>
  <c r="H28" i="8"/>
  <c r="F29" i="8"/>
  <c r="G29" i="8" s="1"/>
  <c r="H29" i="8" s="1"/>
  <c r="F30" i="8"/>
  <c r="G30" i="8" s="1"/>
  <c r="H30" i="8" s="1"/>
  <c r="F31" i="8"/>
  <c r="G31" i="8"/>
  <c r="H31" i="8" s="1"/>
  <c r="F32" i="8"/>
  <c r="G32" i="8"/>
  <c r="H32" i="8" s="1"/>
  <c r="F33" i="8"/>
  <c r="G33" i="8" s="1"/>
  <c r="H33" i="8" s="1"/>
  <c r="F34" i="8"/>
  <c r="G34" i="8" s="1"/>
  <c r="H34" i="8" s="1"/>
  <c r="F35" i="8"/>
  <c r="G35" i="8" s="1"/>
  <c r="H35" i="8" s="1"/>
  <c r="F36" i="8"/>
  <c r="G36" i="8" s="1"/>
  <c r="H36" i="8" s="1"/>
  <c r="F37" i="8"/>
  <c r="G37" i="8" s="1"/>
  <c r="H37" i="8" s="1"/>
  <c r="F38" i="8"/>
  <c r="G38" i="8" s="1"/>
  <c r="H38" i="8" s="1"/>
  <c r="F39" i="8"/>
  <c r="G39" i="8" s="1"/>
  <c r="H39" i="8" s="1"/>
  <c r="F40" i="8"/>
  <c r="G40" i="8"/>
  <c r="H40" i="8" s="1"/>
  <c r="F41" i="8"/>
  <c r="G41" i="8"/>
  <c r="H41" i="8" s="1"/>
  <c r="F4" i="8"/>
  <c r="G4" i="8" s="1"/>
  <c r="H4" i="8" s="1"/>
  <c r="G5" i="7"/>
  <c r="H5" i="7" s="1"/>
  <c r="G6" i="7"/>
  <c r="H6" i="7" s="1"/>
  <c r="G7" i="7"/>
  <c r="H7" i="7" s="1"/>
  <c r="G8" i="7"/>
  <c r="H8" i="7" s="1"/>
  <c r="G9" i="7"/>
  <c r="H9" i="7" s="1"/>
  <c r="G10" i="7"/>
  <c r="H10" i="7" s="1"/>
  <c r="G11" i="7"/>
  <c r="H11" i="7" s="1"/>
  <c r="G12" i="7"/>
  <c r="H12" i="7" s="1"/>
  <c r="G13" i="7"/>
  <c r="H13" i="7" s="1"/>
  <c r="G14" i="7"/>
  <c r="H14" i="7" s="1"/>
  <c r="G15" i="7"/>
  <c r="H15" i="7" s="1"/>
  <c r="G16" i="7"/>
  <c r="H16" i="7"/>
  <c r="G17" i="7"/>
  <c r="H17" i="7" s="1"/>
  <c r="G18" i="7"/>
  <c r="H18" i="7" s="1"/>
  <c r="G19" i="7"/>
  <c r="H19" i="7" s="1"/>
  <c r="G20" i="7"/>
  <c r="H20" i="7" s="1"/>
  <c r="G21" i="7"/>
  <c r="H21" i="7" s="1"/>
  <c r="G22" i="7"/>
  <c r="H22" i="7" s="1"/>
  <c r="G23" i="7"/>
  <c r="H23" i="7" s="1"/>
  <c r="G24" i="7"/>
  <c r="H24" i="7" s="1"/>
  <c r="G25" i="7"/>
  <c r="H25" i="7" s="1"/>
  <c r="G26" i="7"/>
  <c r="H26" i="7" s="1"/>
  <c r="G27" i="7"/>
  <c r="H27" i="7" s="1"/>
  <c r="G28" i="7"/>
  <c r="H28" i="7" s="1"/>
  <c r="G29" i="7"/>
  <c r="H29" i="7" s="1"/>
  <c r="G30" i="7"/>
  <c r="H30" i="7" s="1"/>
  <c r="G31" i="7"/>
  <c r="H31" i="7" s="1"/>
  <c r="G32" i="7"/>
  <c r="H32" i="7" s="1"/>
  <c r="G33" i="7"/>
  <c r="H33" i="7" s="1"/>
  <c r="G34" i="7"/>
  <c r="H34" i="7" s="1"/>
  <c r="G35" i="7"/>
  <c r="H35" i="7" s="1"/>
  <c r="G36" i="7"/>
  <c r="H36" i="7" s="1"/>
  <c r="G37" i="7"/>
  <c r="H37" i="7" s="1"/>
  <c r="G38" i="7"/>
  <c r="H38" i="7" s="1"/>
  <c r="G39" i="7"/>
  <c r="H39" i="7" s="1"/>
  <c r="G40" i="7"/>
  <c r="H40" i="7" s="1"/>
  <c r="G41" i="7"/>
  <c r="H41" i="7" s="1"/>
  <c r="G42" i="7"/>
  <c r="H42" i="7" s="1"/>
  <c r="G4" i="7"/>
  <c r="H4" i="7" s="1"/>
  <c r="G5" i="6"/>
  <c r="H5" i="6" s="1"/>
  <c r="G6" i="6"/>
  <c r="H6" i="6" s="1"/>
  <c r="G7" i="6"/>
  <c r="H7" i="6" s="1"/>
  <c r="G8" i="6"/>
  <c r="H8" i="6" s="1"/>
  <c r="G9" i="6"/>
  <c r="H9" i="6" s="1"/>
  <c r="G10" i="6"/>
  <c r="H10" i="6" s="1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17" i="6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4" i="6"/>
  <c r="H34" i="6" s="1"/>
  <c r="G35" i="6"/>
  <c r="H35" i="6" s="1"/>
  <c r="G36" i="6"/>
  <c r="H36" i="6" s="1"/>
  <c r="G37" i="6"/>
  <c r="H37" i="6" s="1"/>
  <c r="G38" i="6"/>
  <c r="H38" i="6" s="1"/>
  <c r="G39" i="6"/>
  <c r="H39" i="6" s="1"/>
  <c r="G40" i="6"/>
  <c r="H40" i="6" s="1"/>
  <c r="G41" i="6"/>
  <c r="H41" i="6" s="1"/>
  <c r="G4" i="6"/>
  <c r="H4" i="6" s="1"/>
  <c r="F5" i="5"/>
  <c r="G5" i="5" s="1"/>
  <c r="H5" i="5" s="1"/>
  <c r="F6" i="5"/>
  <c r="G6" i="5"/>
  <c r="H6" i="5" s="1"/>
  <c r="F7" i="5"/>
  <c r="G7" i="5" s="1"/>
  <c r="H7" i="5" s="1"/>
  <c r="F8" i="5"/>
  <c r="G8" i="5" s="1"/>
  <c r="H8" i="5" s="1"/>
  <c r="F9" i="5"/>
  <c r="G9" i="5" s="1"/>
  <c r="H9" i="5" s="1"/>
  <c r="F10" i="5"/>
  <c r="G10" i="5" s="1"/>
  <c r="H10" i="5" s="1"/>
  <c r="F11" i="5"/>
  <c r="G11" i="5"/>
  <c r="H11" i="5" s="1"/>
  <c r="F12" i="5"/>
  <c r="G12" i="5" s="1"/>
  <c r="H12" i="5" s="1"/>
  <c r="F13" i="5"/>
  <c r="G13" i="5"/>
  <c r="H13" i="5" s="1"/>
  <c r="F14" i="5"/>
  <c r="G14" i="5"/>
  <c r="H14" i="5" s="1"/>
  <c r="F15" i="5"/>
  <c r="G15" i="5"/>
  <c r="H15" i="5" s="1"/>
  <c r="F16" i="5"/>
  <c r="G16" i="5" s="1"/>
  <c r="H16" i="5" s="1"/>
  <c r="F17" i="5"/>
  <c r="G17" i="5" s="1"/>
  <c r="H17" i="5" s="1"/>
  <c r="F18" i="5"/>
  <c r="G18" i="5" s="1"/>
  <c r="H18" i="5" s="1"/>
  <c r="F19" i="5"/>
  <c r="G19" i="5" s="1"/>
  <c r="H19" i="5" s="1"/>
  <c r="F20" i="5"/>
  <c r="G20" i="5"/>
  <c r="H20" i="5" s="1"/>
  <c r="F21" i="5"/>
  <c r="G21" i="5"/>
  <c r="H21" i="5" s="1"/>
  <c r="F22" i="5"/>
  <c r="G22" i="5"/>
  <c r="H22" i="5" s="1"/>
  <c r="F23" i="5"/>
  <c r="G23" i="5" s="1"/>
  <c r="H23" i="5" s="1"/>
  <c r="F24" i="5"/>
  <c r="G24" i="5" s="1"/>
  <c r="H24" i="5" s="1"/>
  <c r="F25" i="5"/>
  <c r="G25" i="5" s="1"/>
  <c r="H25" i="5" s="1"/>
  <c r="F26" i="5"/>
  <c r="G26" i="5" s="1"/>
  <c r="H26" i="5" s="1"/>
  <c r="F27" i="5"/>
  <c r="G27" i="5" s="1"/>
  <c r="H27" i="5" s="1"/>
  <c r="F28" i="5"/>
  <c r="G28" i="5"/>
  <c r="H28" i="5"/>
  <c r="F29" i="5"/>
  <c r="G29" i="5" s="1"/>
  <c r="H29" i="5" s="1"/>
  <c r="F30" i="5"/>
  <c r="G30" i="5" s="1"/>
  <c r="H30" i="5" s="1"/>
  <c r="F31" i="5"/>
  <c r="G31" i="5"/>
  <c r="H31" i="5" s="1"/>
  <c r="F32" i="5"/>
  <c r="G32" i="5" s="1"/>
  <c r="H32" i="5" s="1"/>
  <c r="F33" i="5"/>
  <c r="G33" i="5" s="1"/>
  <c r="H33" i="5" s="1"/>
  <c r="F34" i="5"/>
  <c r="G34" i="5" s="1"/>
  <c r="H34" i="5" s="1"/>
  <c r="F35" i="5"/>
  <c r="G35" i="5"/>
  <c r="H35" i="5" s="1"/>
  <c r="F36" i="5"/>
  <c r="G36" i="5"/>
  <c r="H36" i="5" s="1"/>
  <c r="F37" i="5"/>
  <c r="G37" i="5" s="1"/>
  <c r="H37" i="5" s="1"/>
  <c r="F4" i="5"/>
  <c r="G4" i="5" s="1"/>
  <c r="H4" i="5" s="1"/>
  <c r="G5" i="4"/>
  <c r="H5" i="4" s="1"/>
  <c r="G6" i="4"/>
  <c r="H6" i="4" s="1"/>
  <c r="G7" i="4"/>
  <c r="H7" i="4" s="1"/>
  <c r="G8" i="4"/>
  <c r="H8" i="4" s="1"/>
  <c r="G9" i="4"/>
  <c r="H9" i="4" s="1"/>
  <c r="G10" i="4"/>
  <c r="H10" i="4" s="1"/>
  <c r="G11" i="4"/>
  <c r="H11" i="4" s="1"/>
  <c r="G12" i="4"/>
  <c r="H12" i="4" s="1"/>
  <c r="G13" i="4"/>
  <c r="H13" i="4" s="1"/>
  <c r="G14" i="4"/>
  <c r="H14" i="4" s="1"/>
  <c r="G15" i="4"/>
  <c r="H15" i="4" s="1"/>
  <c r="G16" i="4"/>
  <c r="H16" i="4" s="1"/>
  <c r="G17" i="4"/>
  <c r="H17" i="4" s="1"/>
  <c r="G18" i="4"/>
  <c r="H18" i="4" s="1"/>
  <c r="G19" i="4"/>
  <c r="H19" i="4" s="1"/>
  <c r="G20" i="4"/>
  <c r="H20" i="4" s="1"/>
  <c r="G21" i="4"/>
  <c r="H21" i="4" s="1"/>
  <c r="G22" i="4"/>
  <c r="H22" i="4" s="1"/>
  <c r="G23" i="4"/>
  <c r="H23" i="4" s="1"/>
  <c r="G24" i="4"/>
  <c r="H24" i="4" s="1"/>
  <c r="G25" i="4"/>
  <c r="H25" i="4" s="1"/>
  <c r="G26" i="4"/>
  <c r="H26" i="4" s="1"/>
  <c r="G27" i="4"/>
  <c r="H27" i="4" s="1"/>
  <c r="G28" i="4"/>
  <c r="H28" i="4" s="1"/>
  <c r="G29" i="4"/>
  <c r="H29" i="4" s="1"/>
  <c r="G30" i="4"/>
  <c r="H30" i="4" s="1"/>
  <c r="G31" i="4"/>
  <c r="H31" i="4" s="1"/>
  <c r="G32" i="4"/>
  <c r="H32" i="4" s="1"/>
  <c r="G33" i="4"/>
  <c r="H33" i="4" s="1"/>
  <c r="G34" i="4"/>
  <c r="H34" i="4" s="1"/>
  <c r="G35" i="4"/>
  <c r="H35" i="4" s="1"/>
  <c r="G36" i="4"/>
  <c r="H36" i="4" s="1"/>
  <c r="G37" i="4"/>
  <c r="H37" i="4" s="1"/>
  <c r="G38" i="4"/>
  <c r="H38" i="4" s="1"/>
  <c r="G39" i="4"/>
  <c r="H39" i="4" s="1"/>
  <c r="G40" i="4"/>
  <c r="H40" i="4" s="1"/>
  <c r="G41" i="4"/>
  <c r="H41" i="4" s="1"/>
  <c r="G42" i="4"/>
  <c r="H42" i="4" s="1"/>
  <c r="G4" i="4"/>
  <c r="H4" i="4" s="1"/>
  <c r="F5" i="3"/>
  <c r="G5" i="3" s="1"/>
  <c r="H5" i="3" s="1"/>
  <c r="F6" i="3"/>
  <c r="G6" i="3" s="1"/>
  <c r="H6" i="3" s="1"/>
  <c r="F7" i="3"/>
  <c r="G7" i="3" s="1"/>
  <c r="H7" i="3" s="1"/>
  <c r="F8" i="3"/>
  <c r="G8" i="3" s="1"/>
  <c r="H8" i="3" s="1"/>
  <c r="F9" i="3"/>
  <c r="G9" i="3" s="1"/>
  <c r="H9" i="3" s="1"/>
  <c r="F10" i="3"/>
  <c r="G10" i="3" s="1"/>
  <c r="H10" i="3" s="1"/>
  <c r="F11" i="3"/>
  <c r="G11" i="3" s="1"/>
  <c r="H11" i="3" s="1"/>
  <c r="F12" i="3"/>
  <c r="G12" i="3" s="1"/>
  <c r="H12" i="3" s="1"/>
  <c r="F13" i="3"/>
  <c r="G13" i="3" s="1"/>
  <c r="H13" i="3" s="1"/>
  <c r="F14" i="3"/>
  <c r="G14" i="3" s="1"/>
  <c r="H14" i="3" s="1"/>
  <c r="F15" i="3"/>
  <c r="G15" i="3" s="1"/>
  <c r="H15" i="3" s="1"/>
  <c r="F16" i="3"/>
  <c r="G16" i="3" s="1"/>
  <c r="H16" i="3" s="1"/>
  <c r="F17" i="3"/>
  <c r="G17" i="3" s="1"/>
  <c r="H17" i="3" s="1"/>
  <c r="F18" i="3"/>
  <c r="G18" i="3" s="1"/>
  <c r="H18" i="3" s="1"/>
  <c r="F19" i="3"/>
  <c r="G19" i="3" s="1"/>
  <c r="H19" i="3" s="1"/>
  <c r="F20" i="3"/>
  <c r="G20" i="3" s="1"/>
  <c r="H20" i="3" s="1"/>
  <c r="F21" i="3"/>
  <c r="G21" i="3" s="1"/>
  <c r="H21" i="3" s="1"/>
  <c r="F22" i="3"/>
  <c r="G22" i="3" s="1"/>
  <c r="H22" i="3" s="1"/>
  <c r="F23" i="3"/>
  <c r="G23" i="3" s="1"/>
  <c r="H23" i="3" s="1"/>
  <c r="F24" i="3"/>
  <c r="G24" i="3"/>
  <c r="H24" i="3" s="1"/>
  <c r="F25" i="3"/>
  <c r="G25" i="3" s="1"/>
  <c r="H25" i="3" s="1"/>
  <c r="F26" i="3"/>
  <c r="G26" i="3" s="1"/>
  <c r="H26" i="3" s="1"/>
  <c r="F27" i="3"/>
  <c r="G27" i="3" s="1"/>
  <c r="H27" i="3" s="1"/>
  <c r="F28" i="3"/>
  <c r="G28" i="3"/>
  <c r="H28" i="3" s="1"/>
  <c r="F29" i="3"/>
  <c r="G29" i="3" s="1"/>
  <c r="H29" i="3" s="1"/>
  <c r="F30" i="3"/>
  <c r="G30" i="3" s="1"/>
  <c r="H30" i="3" s="1"/>
  <c r="F31" i="3"/>
  <c r="G31" i="3" s="1"/>
  <c r="H31" i="3" s="1"/>
  <c r="F32" i="3"/>
  <c r="G32" i="3" s="1"/>
  <c r="H32" i="3" s="1"/>
  <c r="F33" i="3"/>
  <c r="G33" i="3" s="1"/>
  <c r="H33" i="3" s="1"/>
  <c r="F34" i="3"/>
  <c r="G34" i="3" s="1"/>
  <c r="H34" i="3" s="1"/>
  <c r="F35" i="3"/>
  <c r="G35" i="3" s="1"/>
  <c r="H35" i="3" s="1"/>
  <c r="F36" i="3"/>
  <c r="G36" i="3"/>
  <c r="H36" i="3" s="1"/>
  <c r="F37" i="3"/>
  <c r="G37" i="3" s="1"/>
  <c r="H37" i="3" s="1"/>
  <c r="F38" i="3"/>
  <c r="G38" i="3" s="1"/>
  <c r="H38" i="3" s="1"/>
  <c r="F39" i="3"/>
  <c r="G39" i="3" s="1"/>
  <c r="H39" i="3" s="1"/>
  <c r="F40" i="3"/>
  <c r="G40" i="3"/>
  <c r="H40" i="3" s="1"/>
  <c r="G4" i="3"/>
  <c r="H4" i="3" s="1"/>
  <c r="F4" i="3"/>
  <c r="F5" i="2"/>
  <c r="G5" i="2" s="1"/>
  <c r="H5" i="2" s="1"/>
  <c r="F6" i="2"/>
  <c r="G6" i="2" s="1"/>
  <c r="H6" i="2" s="1"/>
  <c r="F7" i="2"/>
  <c r="G7" i="2" s="1"/>
  <c r="H7" i="2" s="1"/>
  <c r="F8" i="2"/>
  <c r="G8" i="2" s="1"/>
  <c r="H8" i="2" s="1"/>
  <c r="F9" i="2"/>
  <c r="G9" i="2" s="1"/>
  <c r="H9" i="2" s="1"/>
  <c r="F10" i="2"/>
  <c r="G10" i="2" s="1"/>
  <c r="H10" i="2" s="1"/>
  <c r="F11" i="2"/>
  <c r="G11" i="2" s="1"/>
  <c r="H11" i="2" s="1"/>
  <c r="F12" i="2"/>
  <c r="G12" i="2" s="1"/>
  <c r="H12" i="2" s="1"/>
  <c r="F13" i="2"/>
  <c r="G13" i="2" s="1"/>
  <c r="H13" i="2" s="1"/>
  <c r="F14" i="2"/>
  <c r="G14" i="2" s="1"/>
  <c r="H14" i="2" s="1"/>
  <c r="F15" i="2"/>
  <c r="G15" i="2" s="1"/>
  <c r="H15" i="2" s="1"/>
  <c r="F16" i="2"/>
  <c r="G16" i="2" s="1"/>
  <c r="H16" i="2" s="1"/>
  <c r="F17" i="2"/>
  <c r="G17" i="2" s="1"/>
  <c r="H17" i="2" s="1"/>
  <c r="F18" i="2"/>
  <c r="G18" i="2" s="1"/>
  <c r="H18" i="2" s="1"/>
  <c r="F19" i="2"/>
  <c r="G19" i="2" s="1"/>
  <c r="H19" i="2" s="1"/>
  <c r="F20" i="2"/>
  <c r="G20" i="2" s="1"/>
  <c r="H20" i="2" s="1"/>
  <c r="F21" i="2"/>
  <c r="G21" i="2" s="1"/>
  <c r="H21" i="2" s="1"/>
  <c r="F22" i="2"/>
  <c r="G22" i="2" s="1"/>
  <c r="H22" i="2" s="1"/>
  <c r="F23" i="2"/>
  <c r="G23" i="2" s="1"/>
  <c r="H23" i="2" s="1"/>
  <c r="F24" i="2"/>
  <c r="G24" i="2" s="1"/>
  <c r="H24" i="2" s="1"/>
  <c r="F25" i="2"/>
  <c r="G25" i="2" s="1"/>
  <c r="H25" i="2" s="1"/>
  <c r="F26" i="2"/>
  <c r="G26" i="2" s="1"/>
  <c r="H26" i="2" s="1"/>
  <c r="F27" i="2"/>
  <c r="G27" i="2" s="1"/>
  <c r="H27" i="2" s="1"/>
  <c r="F28" i="2"/>
  <c r="G28" i="2" s="1"/>
  <c r="H28" i="2" s="1"/>
  <c r="F29" i="2"/>
  <c r="G29" i="2" s="1"/>
  <c r="H29" i="2" s="1"/>
  <c r="F30" i="2"/>
  <c r="G30" i="2" s="1"/>
  <c r="H30" i="2" s="1"/>
  <c r="F31" i="2"/>
  <c r="G31" i="2" s="1"/>
  <c r="H31" i="2" s="1"/>
  <c r="F32" i="2"/>
  <c r="G32" i="2" s="1"/>
  <c r="H32" i="2" s="1"/>
  <c r="F34" i="2"/>
  <c r="G34" i="2" s="1"/>
  <c r="H34" i="2" s="1"/>
  <c r="F35" i="2"/>
  <c r="G35" i="2" s="1"/>
  <c r="H35" i="2" s="1"/>
  <c r="F36" i="2"/>
  <c r="G36" i="2"/>
  <c r="H36" i="2" s="1"/>
  <c r="F37" i="2"/>
  <c r="G37" i="2" s="1"/>
  <c r="H37" i="2" s="1"/>
  <c r="F38" i="2"/>
  <c r="G38" i="2" s="1"/>
  <c r="H38" i="2" s="1"/>
  <c r="F39" i="2"/>
  <c r="G39" i="2" s="1"/>
  <c r="H39" i="2" s="1"/>
  <c r="F40" i="2"/>
  <c r="G40" i="2" s="1"/>
  <c r="H40" i="2" s="1"/>
  <c r="F41" i="2"/>
  <c r="G41" i="2" s="1"/>
  <c r="H41" i="2" s="1"/>
  <c r="F42" i="2"/>
  <c r="G42" i="2" s="1"/>
  <c r="H42" i="2" s="1"/>
  <c r="F43" i="2"/>
  <c r="G43" i="2" s="1"/>
  <c r="H43" i="2" s="1"/>
  <c r="F4" i="2"/>
  <c r="G4" i="2" s="1"/>
  <c r="H4" i="2" s="1"/>
  <c r="B12" i="9"/>
  <c r="J4" i="3"/>
  <c r="J4" i="7"/>
  <c r="J4" i="5"/>
  <c r="K5" i="1"/>
  <c r="J4" i="8"/>
  <c r="K4" i="1"/>
  <c r="J4" i="1"/>
  <c r="J4" i="6"/>
  <c r="J4" i="4"/>
  <c r="J4" i="2"/>
  <c r="J32" i="3"/>
  <c r="J22" i="3"/>
  <c r="J40" i="3"/>
  <c r="J21" i="3"/>
  <c r="J18" i="3"/>
  <c r="J17" i="3"/>
  <c r="J31" i="3"/>
  <c r="J19" i="3"/>
  <c r="J36" i="3"/>
  <c r="J16" i="3"/>
  <c r="J27" i="3"/>
  <c r="J30" i="3"/>
  <c r="J11" i="3"/>
  <c r="J10" i="3"/>
  <c r="J8" i="3"/>
  <c r="J15" i="3"/>
  <c r="J37" i="3"/>
  <c r="J7" i="3"/>
  <c r="J9" i="3"/>
  <c r="J28" i="3"/>
  <c r="J39" i="3"/>
  <c r="J38" i="3"/>
  <c r="J33" i="3"/>
  <c r="J20" i="3"/>
  <c r="J35" i="3"/>
  <c r="J6" i="3"/>
  <c r="J25" i="3"/>
  <c r="J14" i="3"/>
  <c r="J13" i="3"/>
  <c r="J12" i="3"/>
  <c r="J34" i="3"/>
  <c r="J26" i="3"/>
  <c r="J24" i="3"/>
  <c r="J29" i="3"/>
  <c r="J23" i="3"/>
  <c r="J5" i="3"/>
  <c r="J28" i="2"/>
  <c r="J25" i="2"/>
  <c r="J11" i="2"/>
  <c r="J19" i="2"/>
  <c r="J38" i="2"/>
  <c r="J23" i="2"/>
  <c r="J42" i="2"/>
  <c r="J27" i="2"/>
  <c r="J21" i="2"/>
  <c r="J7" i="2"/>
  <c r="J32" i="2"/>
  <c r="J18" i="2"/>
  <c r="J43" i="2"/>
  <c r="J37" i="2"/>
  <c r="J31" i="2"/>
  <c r="J34" i="2"/>
  <c r="J12" i="2"/>
  <c r="J26" i="2"/>
  <c r="J22" i="2"/>
  <c r="J13" i="2"/>
  <c r="J40" i="2"/>
  <c r="J36" i="2"/>
  <c r="J29" i="2"/>
  <c r="J9" i="2"/>
  <c r="J39" i="2"/>
  <c r="J17" i="2"/>
  <c r="J24" i="2"/>
  <c r="J15" i="2"/>
  <c r="J14" i="2"/>
  <c r="J20" i="2"/>
  <c r="J30" i="2"/>
  <c r="J35" i="2"/>
  <c r="J10" i="2"/>
  <c r="J41" i="2"/>
  <c r="J8" i="2"/>
  <c r="J6" i="2"/>
  <c r="J16" i="2"/>
  <c r="J5" i="2"/>
  <c r="J29" i="1"/>
  <c r="J31" i="1"/>
  <c r="J40" i="1"/>
  <c r="J11" i="1"/>
  <c r="J13" i="1"/>
  <c r="J10" i="1"/>
  <c r="J20" i="1"/>
  <c r="J14" i="1"/>
  <c r="J12" i="1"/>
  <c r="J28" i="1"/>
  <c r="J21" i="1"/>
  <c r="J6" i="1"/>
  <c r="J23" i="1"/>
  <c r="J22" i="1"/>
  <c r="J39" i="1"/>
  <c r="J34" i="1"/>
  <c r="J30" i="1"/>
  <c r="J18" i="1"/>
  <c r="J8" i="1"/>
  <c r="J38" i="1"/>
  <c r="J32" i="1"/>
  <c r="J24" i="1"/>
  <c r="J33" i="1"/>
  <c r="J15" i="1"/>
  <c r="J17" i="1"/>
  <c r="J27" i="1"/>
  <c r="J16" i="1"/>
  <c r="J26" i="1"/>
  <c r="J9" i="1"/>
  <c r="J19" i="1"/>
  <c r="J35" i="1"/>
  <c r="J36" i="1"/>
  <c r="J25" i="1"/>
  <c r="J7" i="1"/>
  <c r="J37" i="1"/>
  <c r="J5" i="1"/>
  <c r="L4" i="2" l="1"/>
  <c r="L23" i="3"/>
  <c r="L29" i="3"/>
  <c r="L24" i="3"/>
  <c r="L26" i="3"/>
  <c r="L34" i="3"/>
  <c r="L12" i="3"/>
  <c r="L13" i="3"/>
  <c r="L14" i="3"/>
  <c r="L25" i="3"/>
  <c r="L6" i="3"/>
  <c r="L35" i="3"/>
  <c r="L20" i="3"/>
  <c r="L33" i="3"/>
  <c r="L38" i="3"/>
  <c r="L39" i="3"/>
  <c r="L28" i="3"/>
  <c r="L9" i="3"/>
  <c r="L7" i="3"/>
  <c r="L37" i="3"/>
  <c r="L15" i="3"/>
  <c r="L8" i="3"/>
  <c r="L10" i="3"/>
  <c r="L11" i="3"/>
  <c r="L30" i="3"/>
  <c r="L27" i="3"/>
  <c r="L16" i="3"/>
  <c r="L36" i="3"/>
  <c r="L19" i="3"/>
  <c r="L31" i="3"/>
  <c r="L17" i="3"/>
  <c r="L18" i="3"/>
  <c r="L21" i="3"/>
  <c r="L40" i="3"/>
  <c r="L22" i="3"/>
  <c r="L32" i="3"/>
  <c r="L5" i="3"/>
  <c r="L16" i="2"/>
  <c r="L6" i="2"/>
  <c r="L8" i="2"/>
  <c r="L41" i="2"/>
  <c r="L10" i="2"/>
  <c r="L35" i="2"/>
  <c r="L30" i="2"/>
  <c r="L20" i="2"/>
  <c r="L14" i="2"/>
  <c r="L15" i="2"/>
  <c r="L24" i="2"/>
  <c r="L17" i="2"/>
  <c r="L39" i="2"/>
  <c r="L9" i="2"/>
  <c r="L29" i="2"/>
  <c r="L36" i="2"/>
  <c r="L40" i="2"/>
  <c r="L13" i="2"/>
  <c r="L22" i="2"/>
  <c r="L26" i="2"/>
  <c r="L12" i="2"/>
  <c r="L34" i="2"/>
  <c r="L31" i="2"/>
  <c r="L37" i="2"/>
  <c r="L43" i="2"/>
  <c r="L18" i="2"/>
  <c r="L32" i="2"/>
  <c r="L7" i="2"/>
  <c r="L21" i="2"/>
  <c r="L27" i="2"/>
  <c r="L42" i="2"/>
  <c r="L23" i="2"/>
  <c r="L38" i="2"/>
  <c r="L19" i="2"/>
  <c r="L11" i="2"/>
  <c r="L25" i="2"/>
  <c r="L28" i="2"/>
  <c r="L5" i="2"/>
  <c r="L37" i="1"/>
  <c r="L7" i="1"/>
  <c r="L25" i="1"/>
  <c r="L36" i="1"/>
  <c r="L35" i="1"/>
  <c r="L19" i="1"/>
  <c r="L9" i="1"/>
  <c r="L26" i="1"/>
  <c r="L16" i="1"/>
  <c r="L27" i="1"/>
  <c r="L17" i="1"/>
  <c r="L15" i="1"/>
  <c r="L33" i="1"/>
  <c r="L24" i="1"/>
  <c r="L32" i="1"/>
  <c r="L38" i="1"/>
  <c r="L8" i="1"/>
  <c r="L18" i="1"/>
  <c r="L30" i="1"/>
  <c r="L34" i="1"/>
  <c r="L39" i="1"/>
  <c r="L22" i="1"/>
  <c r="L23" i="1"/>
  <c r="L6" i="1"/>
  <c r="L21" i="1"/>
  <c r="L28" i="1"/>
  <c r="L12" i="1"/>
  <c r="L14" i="1"/>
  <c r="L20" i="1"/>
  <c r="L10" i="1"/>
  <c r="L13" i="1"/>
  <c r="L11" i="1"/>
  <c r="L40" i="1"/>
  <c r="L31" i="1"/>
  <c r="L29" i="1"/>
  <c r="L5" i="1"/>
  <c r="K4" i="3"/>
  <c r="K4" i="2"/>
  <c r="K4" i="6"/>
  <c r="K4" i="8"/>
  <c r="K4" i="4"/>
  <c r="K4" i="7"/>
  <c r="K4" i="5"/>
  <c r="K5" i="8"/>
  <c r="K5" i="2"/>
  <c r="K5" i="5"/>
  <c r="K5" i="6"/>
  <c r="K5" i="7"/>
  <c r="K5" i="4"/>
  <c r="K5" i="3"/>
  <c r="K7" i="1"/>
  <c r="K15" i="1"/>
  <c r="K23" i="1"/>
  <c r="K31" i="1"/>
  <c r="K39" i="1"/>
  <c r="K27" i="1"/>
  <c r="K8" i="1"/>
  <c r="K16" i="1"/>
  <c r="K24" i="1"/>
  <c r="K32" i="1"/>
  <c r="K40" i="1"/>
  <c r="K18" i="1"/>
  <c r="K26" i="1"/>
  <c r="K19" i="1"/>
  <c r="K20" i="1"/>
  <c r="K28" i="1"/>
  <c r="K21" i="1"/>
  <c r="K37" i="1"/>
  <c r="K6" i="1"/>
  <c r="K22" i="1"/>
  <c r="K9" i="1"/>
  <c r="K17" i="1"/>
  <c r="K25" i="1"/>
  <c r="K33" i="1"/>
  <c r="K10" i="1"/>
  <c r="K34" i="1"/>
  <c r="K11" i="1"/>
  <c r="K35" i="1"/>
  <c r="K36" i="1"/>
  <c r="K13" i="1"/>
  <c r="K29" i="1"/>
  <c r="K14" i="1"/>
  <c r="K30" i="1"/>
  <c r="K38" i="1"/>
  <c r="K12" i="1"/>
  <c r="B4" i="9"/>
  <c r="B6" i="9" s="1"/>
  <c r="F5" i="1" s="1"/>
  <c r="G5" i="1" s="1"/>
  <c r="H5" i="1" s="1"/>
  <c r="K12" i="2" l="1"/>
  <c r="K12" i="5"/>
  <c r="K12" i="7"/>
  <c r="K12" i="3"/>
  <c r="K12" i="8"/>
  <c r="K12" i="6"/>
  <c r="K12" i="4"/>
  <c r="K38" i="8"/>
  <c r="K39" i="2"/>
  <c r="K38" i="7"/>
  <c r="K38" i="4"/>
  <c r="K38" i="3"/>
  <c r="K38" i="6"/>
  <c r="K30" i="8"/>
  <c r="K30" i="2"/>
  <c r="K30" i="5"/>
  <c r="K30" i="6"/>
  <c r="K30" i="7"/>
  <c r="K30" i="4"/>
  <c r="K30" i="3"/>
  <c r="K14" i="8"/>
  <c r="K14" i="2"/>
  <c r="K14" i="7"/>
  <c r="K14" i="4"/>
  <c r="K14" i="3"/>
  <c r="K14" i="5"/>
  <c r="K14" i="6"/>
  <c r="K29" i="2"/>
  <c r="K29" i="5"/>
  <c r="K29" i="8"/>
  <c r="K29" i="6"/>
  <c r="K29" i="7"/>
  <c r="K29" i="4"/>
  <c r="K29" i="3"/>
  <c r="K13" i="2"/>
  <c r="K13" i="5"/>
  <c r="K13" i="7"/>
  <c r="K13" i="4"/>
  <c r="K13" i="3"/>
  <c r="K13" i="6"/>
  <c r="K13" i="8"/>
  <c r="K37" i="2"/>
  <c r="K36" i="5"/>
  <c r="K36" i="7"/>
  <c r="K36" i="3"/>
  <c r="K36" i="4"/>
  <c r="K36" i="6"/>
  <c r="K36" i="8"/>
  <c r="K36" i="2"/>
  <c r="K35" i="5"/>
  <c r="K35" i="7"/>
  <c r="K35" i="3"/>
  <c r="K35" i="6"/>
  <c r="K35" i="4"/>
  <c r="K35" i="8"/>
  <c r="K11" i="2"/>
  <c r="K11" i="5"/>
  <c r="K11" i="7"/>
  <c r="K11" i="3"/>
  <c r="K11" i="6"/>
  <c r="K11" i="4"/>
  <c r="K11" i="8"/>
  <c r="K34" i="5"/>
  <c r="K34" i="7"/>
  <c r="K34" i="3"/>
  <c r="K34" i="6"/>
  <c r="K34" i="4"/>
  <c r="K34" i="8"/>
  <c r="K35" i="2"/>
  <c r="K10" i="5"/>
  <c r="K10" i="7"/>
  <c r="K10" i="3"/>
  <c r="K10" i="6"/>
  <c r="K10" i="4"/>
  <c r="K10" i="8"/>
  <c r="K10" i="2"/>
  <c r="K33" i="5"/>
  <c r="K33" i="7"/>
  <c r="K33" i="3"/>
  <c r="K33" i="6"/>
  <c r="K33" i="4"/>
  <c r="K33" i="8"/>
  <c r="K34" i="2"/>
  <c r="K25" i="5"/>
  <c r="K25" i="7"/>
  <c r="K25" i="3"/>
  <c r="K25" i="6"/>
  <c r="K25" i="4"/>
  <c r="K25" i="8"/>
  <c r="K25" i="2"/>
  <c r="K17" i="5"/>
  <c r="K17" i="7"/>
  <c r="K17" i="3"/>
  <c r="K17" i="6"/>
  <c r="K17" i="4"/>
  <c r="K17" i="8"/>
  <c r="K17" i="2"/>
  <c r="K9" i="5"/>
  <c r="K9" i="7"/>
  <c r="K9" i="3"/>
  <c r="K9" i="6"/>
  <c r="K9" i="4"/>
  <c r="K9" i="8"/>
  <c r="K9" i="2"/>
  <c r="K22" i="8"/>
  <c r="K22" i="2"/>
  <c r="K22" i="6"/>
  <c r="K22" i="7"/>
  <c r="K22" i="4"/>
  <c r="K22" i="3"/>
  <c r="K22" i="5"/>
  <c r="K6" i="8"/>
  <c r="K6" i="2"/>
  <c r="K6" i="5"/>
  <c r="K6" i="6"/>
  <c r="K6" i="7"/>
  <c r="K6" i="4"/>
  <c r="K6" i="3"/>
  <c r="K38" i="2"/>
  <c r="K37" i="5"/>
  <c r="K37" i="7"/>
  <c r="K37" i="4"/>
  <c r="K37" i="3"/>
  <c r="K37" i="8"/>
  <c r="K37" i="6"/>
  <c r="K21" i="2"/>
  <c r="K21" i="5"/>
  <c r="K21" i="7"/>
  <c r="K21" i="4"/>
  <c r="K21" i="3"/>
  <c r="K21" i="8"/>
  <c r="K21" i="6"/>
  <c r="K28" i="2"/>
  <c r="K28" i="5"/>
  <c r="K28" i="7"/>
  <c r="K28" i="3"/>
  <c r="K28" i="6"/>
  <c r="K28" i="4"/>
  <c r="K28" i="8"/>
  <c r="K20" i="2"/>
  <c r="K20" i="5"/>
  <c r="K20" i="7"/>
  <c r="K20" i="3"/>
  <c r="K20" i="8"/>
  <c r="K20" i="4"/>
  <c r="K20" i="6"/>
  <c r="K19" i="2"/>
  <c r="K19" i="5"/>
  <c r="K19" i="7"/>
  <c r="K19" i="3"/>
  <c r="K19" i="6"/>
  <c r="K19" i="4"/>
  <c r="K19" i="8"/>
  <c r="K26" i="5"/>
  <c r="K26" i="7"/>
  <c r="K26" i="3"/>
  <c r="K26" i="6"/>
  <c r="K26" i="4"/>
  <c r="K26" i="8"/>
  <c r="K26" i="2"/>
  <c r="K18" i="5"/>
  <c r="K18" i="7"/>
  <c r="K18" i="3"/>
  <c r="K18" i="6"/>
  <c r="K18" i="4"/>
  <c r="K18" i="8"/>
  <c r="K18" i="2"/>
  <c r="K40" i="7"/>
  <c r="K40" i="3"/>
  <c r="K40" i="6"/>
  <c r="K40" i="4"/>
  <c r="K40" i="8"/>
  <c r="K41" i="2"/>
  <c r="K32" i="7"/>
  <c r="K32" i="3"/>
  <c r="K32" i="6"/>
  <c r="K32" i="4"/>
  <c r="K32" i="8"/>
  <c r="K32" i="5"/>
  <c r="K32" i="2"/>
  <c r="K24" i="7"/>
  <c r="K24" i="3"/>
  <c r="K24" i="6"/>
  <c r="K24" i="4"/>
  <c r="K24" i="8"/>
  <c r="K24" i="5"/>
  <c r="K24" i="2"/>
  <c r="K16" i="7"/>
  <c r="K16" i="3"/>
  <c r="K16" i="6"/>
  <c r="K16" i="4"/>
  <c r="K16" i="8"/>
  <c r="K16" i="5"/>
  <c r="K16" i="2"/>
  <c r="K8" i="7"/>
  <c r="K8" i="3"/>
  <c r="K8" i="6"/>
  <c r="K8" i="4"/>
  <c r="K8" i="8"/>
  <c r="K8" i="2"/>
  <c r="K8" i="5"/>
  <c r="K27" i="2"/>
  <c r="K27" i="5"/>
  <c r="K27" i="7"/>
  <c r="K27" i="3"/>
  <c r="K27" i="6"/>
  <c r="K27" i="4"/>
  <c r="K27" i="8"/>
  <c r="K39" i="6"/>
  <c r="K39" i="4"/>
  <c r="K39" i="8"/>
  <c r="K40" i="2"/>
  <c r="K39" i="7"/>
  <c r="K39" i="3"/>
  <c r="K31" i="6"/>
  <c r="K31" i="4"/>
  <c r="K31" i="8"/>
  <c r="K31" i="2"/>
  <c r="K31" i="7"/>
  <c r="K31" i="3"/>
  <c r="K31" i="5"/>
  <c r="K23" i="6"/>
  <c r="K23" i="4"/>
  <c r="K23" i="8"/>
  <c r="K23" i="2"/>
  <c r="K23" i="7"/>
  <c r="K23" i="3"/>
  <c r="K23" i="5"/>
  <c r="K15" i="6"/>
  <c r="K15" i="4"/>
  <c r="K15" i="8"/>
  <c r="K15" i="2"/>
  <c r="K15" i="5"/>
  <c r="K15" i="7"/>
  <c r="K15" i="3"/>
  <c r="K7" i="6"/>
  <c r="K7" i="4"/>
  <c r="K7" i="8"/>
  <c r="K7" i="2"/>
  <c r="K7" i="5"/>
  <c r="K7" i="7"/>
  <c r="K7" i="3"/>
  <c r="F11" i="1"/>
  <c r="G11" i="1" s="1"/>
  <c r="H11" i="1" s="1"/>
  <c r="F10" i="1"/>
  <c r="G10" i="1" s="1"/>
  <c r="H10" i="1" s="1"/>
  <c r="F18" i="1"/>
  <c r="G18" i="1" s="1"/>
  <c r="H18" i="1" s="1"/>
  <c r="F33" i="1"/>
  <c r="G33" i="1" s="1"/>
  <c r="H33" i="1" s="1"/>
  <c r="F40" i="1"/>
  <c r="G40" i="1" s="1"/>
  <c r="H40" i="1" s="1"/>
  <c r="F24" i="1"/>
  <c r="G24" i="1" s="1"/>
  <c r="H24" i="1" s="1"/>
  <c r="F16" i="1"/>
  <c r="G16" i="1" s="1"/>
  <c r="H16" i="1" s="1"/>
  <c r="F8" i="1"/>
  <c r="G8" i="1" s="1"/>
  <c r="H8" i="1" s="1"/>
  <c r="F36" i="1"/>
  <c r="G36" i="1" s="1"/>
  <c r="H36" i="1" s="1"/>
  <c r="F12" i="1"/>
  <c r="G12" i="1" s="1"/>
  <c r="H12" i="1" s="1"/>
  <c r="F19" i="1"/>
  <c r="G19" i="1" s="1"/>
  <c r="H19" i="1" s="1"/>
  <c r="F26" i="1"/>
  <c r="G26" i="1" s="1"/>
  <c r="H26" i="1" s="1"/>
  <c r="F17" i="1"/>
  <c r="G17" i="1" s="1"/>
  <c r="H17" i="1" s="1"/>
  <c r="F39" i="1"/>
  <c r="G39" i="1" s="1"/>
  <c r="H39" i="1" s="1"/>
  <c r="F23" i="1"/>
  <c r="G23" i="1" s="1"/>
  <c r="H23" i="1" s="1"/>
  <c r="F7" i="1"/>
  <c r="G7" i="1" s="1"/>
  <c r="H7" i="1" s="1"/>
  <c r="F28" i="1"/>
  <c r="G28" i="1" s="1"/>
  <c r="H28" i="1" s="1"/>
  <c r="F35" i="1"/>
  <c r="G35" i="1" s="1"/>
  <c r="H35" i="1" s="1"/>
  <c r="F34" i="1"/>
  <c r="G34" i="1" s="1"/>
  <c r="H34" i="1" s="1"/>
  <c r="F9" i="1"/>
  <c r="G9" i="1" s="1"/>
  <c r="H9" i="1" s="1"/>
  <c r="F31" i="1"/>
  <c r="G31" i="1" s="1"/>
  <c r="H31" i="1" s="1"/>
  <c r="F38" i="1"/>
  <c r="G38" i="1" s="1"/>
  <c r="H38" i="1" s="1"/>
  <c r="F30" i="1"/>
  <c r="G30" i="1" s="1"/>
  <c r="H30" i="1" s="1"/>
  <c r="F22" i="1"/>
  <c r="G22" i="1" s="1"/>
  <c r="H22" i="1" s="1"/>
  <c r="F14" i="1"/>
  <c r="G14" i="1" s="1"/>
  <c r="H14" i="1" s="1"/>
  <c r="F6" i="1"/>
  <c r="G6" i="1" s="1"/>
  <c r="H6" i="1" s="1"/>
  <c r="F20" i="1"/>
  <c r="G20" i="1" s="1"/>
  <c r="H20" i="1" s="1"/>
  <c r="F27" i="1"/>
  <c r="G27" i="1" s="1"/>
  <c r="H27" i="1" s="1"/>
  <c r="F4" i="1"/>
  <c r="G4" i="1" s="1"/>
  <c r="H4" i="1" s="1"/>
  <c r="F25" i="1"/>
  <c r="G25" i="1" s="1"/>
  <c r="H25" i="1" s="1"/>
  <c r="F32" i="1"/>
  <c r="G32" i="1" s="1"/>
  <c r="H32" i="1" s="1"/>
  <c r="F15" i="1"/>
  <c r="G15" i="1" s="1"/>
  <c r="H15" i="1" s="1"/>
  <c r="F37" i="1"/>
  <c r="G37" i="1" s="1"/>
  <c r="H37" i="1" s="1"/>
  <c r="F29" i="1"/>
  <c r="G29" i="1" s="1"/>
  <c r="H29" i="1" s="1"/>
  <c r="F21" i="1"/>
  <c r="G21" i="1" s="1"/>
  <c r="H21" i="1" s="1"/>
  <c r="F13" i="1"/>
  <c r="G13" i="1" s="1"/>
  <c r="H13" i="1" s="1"/>
  <c r="M4" i="8"/>
  <c r="M4" i="7"/>
  <c r="M4" i="6"/>
  <c r="I5" i="6"/>
  <c r="M5" i="6"/>
  <c r="M4" i="5"/>
  <c r="I5" i="5"/>
  <c r="M5" i="5"/>
  <c r="M4" i="4"/>
  <c r="M4" i="3"/>
  <c r="M4" i="2"/>
  <c r="M5" i="2"/>
  <c r="M4" i="1"/>
  <c r="J5" i="6"/>
  <c r="J5" i="5"/>
  <c r="L5" i="6" l="1"/>
  <c r="L5" i="5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4" i="2"/>
  <c r="M35" i="2"/>
  <c r="M36" i="2"/>
  <c r="M37" i="2"/>
  <c r="M38" i="2"/>
  <c r="M39" i="2"/>
  <c r="M40" i="2"/>
  <c r="M41" i="2"/>
  <c r="M42" i="2"/>
  <c r="M43" i="2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I6" i="8" l="1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5" i="8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5" i="7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5" i="4"/>
  <c r="J7" i="8"/>
  <c r="J19" i="8"/>
  <c r="J31" i="8"/>
  <c r="J32" i="8"/>
  <c r="J21" i="8"/>
  <c r="J8" i="8"/>
  <c r="J20" i="8"/>
  <c r="J9" i="8"/>
  <c r="J33" i="8"/>
  <c r="J10" i="8"/>
  <c r="J22" i="8"/>
  <c r="J34" i="8"/>
  <c r="J24" i="8"/>
  <c r="J27" i="8"/>
  <c r="J30" i="8"/>
  <c r="J11" i="8"/>
  <c r="J23" i="8"/>
  <c r="J35" i="8"/>
  <c r="J12" i="8"/>
  <c r="J36" i="8"/>
  <c r="J18" i="8"/>
  <c r="J13" i="8"/>
  <c r="J25" i="8"/>
  <c r="J37" i="8"/>
  <c r="J15" i="8"/>
  <c r="J5" i="8"/>
  <c r="J14" i="8"/>
  <c r="J26" i="8"/>
  <c r="J38" i="8"/>
  <c r="J39" i="8"/>
  <c r="J16" i="8"/>
  <c r="J28" i="8"/>
  <c r="J40" i="8"/>
  <c r="J17" i="8"/>
  <c r="J29" i="8"/>
  <c r="J41" i="8"/>
  <c r="J6" i="8"/>
  <c r="J6" i="7"/>
  <c r="J18" i="7"/>
  <c r="J30" i="7"/>
  <c r="J42" i="7"/>
  <c r="J20" i="7"/>
  <c r="J7" i="7"/>
  <c r="J19" i="7"/>
  <c r="J31" i="7"/>
  <c r="J8" i="7"/>
  <c r="J32" i="7"/>
  <c r="J9" i="7"/>
  <c r="J21" i="7"/>
  <c r="J33" i="7"/>
  <c r="J5" i="7"/>
  <c r="J23" i="7"/>
  <c r="J26" i="7"/>
  <c r="J10" i="7"/>
  <c r="J22" i="7"/>
  <c r="J34" i="7"/>
  <c r="J11" i="7"/>
  <c r="J35" i="7"/>
  <c r="J38" i="7"/>
  <c r="J29" i="7"/>
  <c r="J12" i="7"/>
  <c r="J24" i="7"/>
  <c r="J36" i="7"/>
  <c r="J13" i="7"/>
  <c r="J25" i="7"/>
  <c r="J37" i="7"/>
  <c r="J14" i="7"/>
  <c r="J41" i="7"/>
  <c r="J15" i="7"/>
  <c r="J27" i="7"/>
  <c r="J39" i="7"/>
  <c r="J16" i="7"/>
  <c r="J28" i="7"/>
  <c r="J40" i="7"/>
  <c r="J17" i="7"/>
  <c r="J13" i="6"/>
  <c r="J25" i="6"/>
  <c r="J37" i="6"/>
  <c r="J14" i="6"/>
  <c r="J26" i="6"/>
  <c r="J38" i="6"/>
  <c r="J28" i="6"/>
  <c r="J15" i="6"/>
  <c r="J27" i="6"/>
  <c r="J39" i="6"/>
  <c r="J16" i="6"/>
  <c r="J17" i="6"/>
  <c r="J29" i="6"/>
  <c r="J41" i="6"/>
  <c r="J6" i="6"/>
  <c r="J18" i="6"/>
  <c r="J7" i="6"/>
  <c r="J19" i="6"/>
  <c r="J31" i="6"/>
  <c r="J24" i="6"/>
  <c r="J8" i="6"/>
  <c r="J20" i="6"/>
  <c r="J32" i="6"/>
  <c r="J33" i="6"/>
  <c r="J11" i="6"/>
  <c r="J40" i="6"/>
  <c r="J9" i="6"/>
  <c r="J21" i="6"/>
  <c r="J23" i="6"/>
  <c r="J36" i="6"/>
  <c r="J10" i="6"/>
  <c r="J22" i="6"/>
  <c r="J34" i="6"/>
  <c r="J35" i="6"/>
  <c r="J12" i="6"/>
  <c r="J30" i="6"/>
  <c r="J17" i="5"/>
  <c r="J29" i="5"/>
  <c r="J6" i="5"/>
  <c r="J30" i="5"/>
  <c r="J20" i="5"/>
  <c r="J9" i="5"/>
  <c r="J24" i="5"/>
  <c r="J14" i="5"/>
  <c r="J18" i="5"/>
  <c r="J33" i="5"/>
  <c r="J37" i="5"/>
  <c r="J26" i="5"/>
  <c r="J16" i="5"/>
  <c r="J7" i="5"/>
  <c r="J19" i="5"/>
  <c r="J31" i="5"/>
  <c r="J8" i="5"/>
  <c r="J32" i="5"/>
  <c r="J21" i="5"/>
  <c r="J36" i="5"/>
  <c r="J25" i="5"/>
  <c r="J27" i="5"/>
  <c r="J10" i="5"/>
  <c r="J22" i="5"/>
  <c r="J34" i="5"/>
  <c r="J11" i="5"/>
  <c r="J23" i="5"/>
  <c r="J35" i="5"/>
  <c r="J12" i="5"/>
  <c r="J13" i="5"/>
  <c r="J15" i="5"/>
  <c r="J28" i="5"/>
  <c r="J17" i="4"/>
  <c r="J29" i="4"/>
  <c r="J41" i="4"/>
  <c r="J6" i="4"/>
  <c r="J18" i="4"/>
  <c r="J30" i="4"/>
  <c r="J42" i="4"/>
  <c r="J7" i="4"/>
  <c r="J19" i="4"/>
  <c r="J33" i="4"/>
  <c r="J8" i="4"/>
  <c r="J20" i="4"/>
  <c r="J9" i="4"/>
  <c r="J21" i="4"/>
  <c r="J10" i="4"/>
  <c r="J22" i="4"/>
  <c r="J34" i="4"/>
  <c r="J35" i="4"/>
  <c r="J37" i="4"/>
  <c r="J26" i="4"/>
  <c r="J5" i="4"/>
  <c r="J11" i="4"/>
  <c r="J23" i="4"/>
  <c r="J25" i="4"/>
  <c r="J38" i="4"/>
  <c r="J12" i="4"/>
  <c r="J24" i="4"/>
  <c r="J36" i="4"/>
  <c r="J13" i="4"/>
  <c r="J14" i="4"/>
  <c r="J31" i="4"/>
  <c r="J15" i="4"/>
  <c r="J27" i="4"/>
  <c r="J39" i="4"/>
  <c r="J16" i="4"/>
  <c r="J28" i="4"/>
  <c r="J40" i="4"/>
  <c r="J32" i="4"/>
  <c r="L6" i="8" l="1"/>
  <c r="L41" i="8"/>
  <c r="L29" i="8"/>
  <c r="L17" i="8"/>
  <c r="L40" i="8"/>
  <c r="L28" i="8"/>
  <c r="L16" i="8"/>
  <c r="L39" i="8"/>
  <c r="L38" i="8"/>
  <c r="L26" i="8"/>
  <c r="L14" i="8"/>
  <c r="L5" i="8"/>
  <c r="L15" i="8"/>
  <c r="L37" i="8"/>
  <c r="L25" i="8"/>
  <c r="L13" i="8"/>
  <c r="L18" i="8"/>
  <c r="L36" i="8"/>
  <c r="L12" i="8"/>
  <c r="L35" i="8"/>
  <c r="L23" i="8"/>
  <c r="L11" i="8"/>
  <c r="L30" i="8"/>
  <c r="L27" i="8"/>
  <c r="L24" i="8"/>
  <c r="L34" i="8"/>
  <c r="L22" i="8"/>
  <c r="L10" i="8"/>
  <c r="L33" i="8"/>
  <c r="L9" i="8"/>
  <c r="L20" i="8"/>
  <c r="L8" i="8"/>
  <c r="L21" i="8"/>
  <c r="L32" i="8"/>
  <c r="L31" i="8"/>
  <c r="L19" i="8"/>
  <c r="L7" i="8"/>
  <c r="L17" i="7"/>
  <c r="L40" i="7"/>
  <c r="L28" i="7"/>
  <c r="L16" i="7"/>
  <c r="L39" i="7"/>
  <c r="L27" i="7"/>
  <c r="L15" i="7"/>
  <c r="L41" i="7"/>
  <c r="L14" i="7"/>
  <c r="L37" i="7"/>
  <c r="L25" i="7"/>
  <c r="L13" i="7"/>
  <c r="L36" i="7"/>
  <c r="L24" i="7"/>
  <c r="L12" i="7"/>
  <c r="L29" i="7"/>
  <c r="L38" i="7"/>
  <c r="L35" i="7"/>
  <c r="L11" i="7"/>
  <c r="L34" i="7"/>
  <c r="L22" i="7"/>
  <c r="L10" i="7"/>
  <c r="L26" i="7"/>
  <c r="L23" i="7"/>
  <c r="L5" i="7"/>
  <c r="L33" i="7"/>
  <c r="L21" i="7"/>
  <c r="L9" i="7"/>
  <c r="L32" i="7"/>
  <c r="L8" i="7"/>
  <c r="L31" i="7"/>
  <c r="L19" i="7"/>
  <c r="L7" i="7"/>
  <c r="L20" i="7"/>
  <c r="L42" i="7"/>
  <c r="L30" i="7"/>
  <c r="L18" i="7"/>
  <c r="L6" i="7"/>
  <c r="L30" i="6"/>
  <c r="L12" i="6"/>
  <c r="L35" i="6"/>
  <c r="L34" i="6"/>
  <c r="L22" i="6"/>
  <c r="L10" i="6"/>
  <c r="L36" i="6"/>
  <c r="L23" i="6"/>
  <c r="L21" i="6"/>
  <c r="L9" i="6"/>
  <c r="L40" i="6"/>
  <c r="L11" i="6"/>
  <c r="L33" i="6"/>
  <c r="L32" i="6"/>
  <c r="L20" i="6"/>
  <c r="L8" i="6"/>
  <c r="L24" i="6"/>
  <c r="L31" i="6"/>
  <c r="L19" i="6"/>
  <c r="L7" i="6"/>
  <c r="L18" i="6"/>
  <c r="L6" i="6"/>
  <c r="L41" i="6"/>
  <c r="L29" i="6"/>
  <c r="L17" i="6"/>
  <c r="L16" i="6"/>
  <c r="L39" i="6"/>
  <c r="L27" i="6"/>
  <c r="L15" i="6"/>
  <c r="L28" i="6"/>
  <c r="L38" i="6"/>
  <c r="L26" i="6"/>
  <c r="L14" i="6"/>
  <c r="L37" i="6"/>
  <c r="L25" i="6"/>
  <c r="L13" i="6"/>
  <c r="L28" i="5"/>
  <c r="L15" i="5"/>
  <c r="L13" i="5"/>
  <c r="L12" i="5"/>
  <c r="L35" i="5"/>
  <c r="L23" i="5"/>
  <c r="L11" i="5"/>
  <c r="L34" i="5"/>
  <c r="L22" i="5"/>
  <c r="L10" i="5"/>
  <c r="L27" i="5"/>
  <c r="L25" i="5"/>
  <c r="L36" i="5"/>
  <c r="L21" i="5"/>
  <c r="L32" i="5"/>
  <c r="L8" i="5"/>
  <c r="L31" i="5"/>
  <c r="L19" i="5"/>
  <c r="L7" i="5"/>
  <c r="L16" i="5"/>
  <c r="L26" i="5"/>
  <c r="L37" i="5"/>
  <c r="L33" i="5"/>
  <c r="L18" i="5"/>
  <c r="L14" i="5"/>
  <c r="L24" i="5"/>
  <c r="L9" i="5"/>
  <c r="L20" i="5"/>
  <c r="L30" i="5"/>
  <c r="L6" i="5"/>
  <c r="L29" i="5"/>
  <c r="L17" i="5"/>
  <c r="L32" i="4"/>
  <c r="L40" i="4"/>
  <c r="L28" i="4"/>
  <c r="L16" i="4"/>
  <c r="L39" i="4"/>
  <c r="L27" i="4"/>
  <c r="L15" i="4"/>
  <c r="L31" i="4"/>
  <c r="L14" i="4"/>
  <c r="L13" i="4"/>
  <c r="L36" i="4"/>
  <c r="L24" i="4"/>
  <c r="L12" i="4"/>
  <c r="L38" i="4"/>
  <c r="L25" i="4"/>
  <c r="L23" i="4"/>
  <c r="L11" i="4"/>
  <c r="L5" i="4"/>
  <c r="L26" i="4"/>
  <c r="L37" i="4"/>
  <c r="L35" i="4"/>
  <c r="L34" i="4"/>
  <c r="L22" i="4"/>
  <c r="L10" i="4"/>
  <c r="L21" i="4"/>
  <c r="L9" i="4"/>
  <c r="L20" i="4"/>
  <c r="L8" i="4"/>
  <c r="L33" i="4"/>
  <c r="L19" i="4"/>
  <c r="L7" i="4"/>
  <c r="L42" i="4"/>
  <c r="L30" i="4"/>
  <c r="L18" i="4"/>
  <c r="L6" i="4"/>
  <c r="L41" i="4"/>
  <c r="L29" i="4"/>
  <c r="L17" i="4"/>
</calcChain>
</file>

<file path=xl/sharedStrings.xml><?xml version="1.0" encoding="utf-8"?>
<sst xmlns="http://schemas.openxmlformats.org/spreadsheetml/2006/main" count="245" uniqueCount="27">
  <si>
    <t>alpha</t>
  </si>
  <si>
    <t>alpha(rad)</t>
  </si>
  <si>
    <t>CL_2D</t>
  </si>
  <si>
    <t>CD_2D</t>
  </si>
  <si>
    <t>CM</t>
  </si>
  <si>
    <t>CL_3D</t>
  </si>
  <si>
    <t>CD_i_3D</t>
  </si>
  <si>
    <t>CD_3D</t>
  </si>
  <si>
    <t>------</t>
  </si>
  <si>
    <t>--------</t>
  </si>
  <si>
    <t>---------</t>
  </si>
  <si>
    <t>S_projetée</t>
  </si>
  <si>
    <t>Corde Moyenne</t>
  </si>
  <si>
    <t>Envergure</t>
  </si>
  <si>
    <t>AR</t>
  </si>
  <si>
    <t>K</t>
  </si>
  <si>
    <t>AR_efficace</t>
  </si>
  <si>
    <t>L1</t>
  </si>
  <si>
    <t>L2</t>
  </si>
  <si>
    <t>h</t>
  </si>
  <si>
    <t>delta</t>
  </si>
  <si>
    <t>AILE</t>
  </si>
  <si>
    <t>car 2 tourbillons marginaux</t>
  </si>
  <si>
    <t>Xp_2D_%corde</t>
  </si>
  <si>
    <t>Xp_3D_repTemp</t>
  </si>
  <si>
    <t>Xp_3D_repVoile</t>
  </si>
  <si>
    <t>Zp_3D_repVoile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</si>
</sst>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D5F04-A368-4541-8601-87D78A99E6ED}">
  <dimension ref="A1:M43"/>
  <sheetViews>
    <sheetView workbookViewId="0">
      <selection activeCell="C1" sqref="C1"/>
    </sheetView>
  </sheetViews>
  <sheetFormatPr baseColWidth="10" defaultRowHeight="15" x14ac:dyDescent="0.25"/>
  <cols>
    <col min="9" max="9" width="15.140625" customWidth="1"/>
    <col min="10" max="10" width="11.42578125" customWidth="1"/>
    <col min="11" max="11" width="17.5703125" customWidth="1"/>
    <col min="12" max="12" width="16.42578125" customWidth="1"/>
  </cols>
  <sheetData>
    <row r="1" spans="1:13" x14ac:dyDescent="0.25">
      <c r="A1">
        <v>1</v>
      </c>
      <c r="C1">
        <f>ROUND(((A1*0.514)/15.6)*1000000,0)</f>
        <v>32949</v>
      </c>
    </row>
    <row r="2" spans="1:13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23</v>
      </c>
      <c r="J2" t="s">
        <v>24</v>
      </c>
      <c r="K2" t="s">
        <v>26</v>
      </c>
      <c r="L2" t="s">
        <v>25</v>
      </c>
      <c r="M2" t="s">
        <v>11</v>
      </c>
    </row>
    <row r="3" spans="1:13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25">
      <c r="A4">
        <v>0</v>
      </c>
      <c r="B4">
        <f>RADIANS(A4)</f>
        <v>0</v>
      </c>
      <c r="C4">
        <v>0</v>
      </c>
      <c r="D4">
        <v>1.967E-2</v>
      </c>
      <c r="E4">
        <v>0</v>
      </c>
      <c r="F4">
        <f>C4*'Données géométriques'!$B$6/(2+('Données géométriques'!$B$6^2+4)^0.5)</f>
        <v>0</v>
      </c>
      <c r="G4">
        <f>F4^2/(PI()*'Données géométriques'!$B$6)</f>
        <v>0</v>
      </c>
      <c r="H4">
        <f>G4+D4</f>
        <v>1.967E-2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ZCP_3D('Données géométriques'!$B$9,'Données géométriques'!$B$10,'Données géométriques'!$B$12)+0.23</f>
        <v>1.1514536950961625</v>
      </c>
      <c r="L4">
        <f xml:space="preserve"> -(J4+0.26)</f>
        <v>-0.21661959277092063</v>
      </c>
      <c r="M4">
        <f t="shared" ref="M4:M40" si="0">ROUND( A4^3 * - 0.00006 + 0.0023*A4^2 + 0.0003*A4 + 0.1609,3)</f>
        <v>0.161</v>
      </c>
    </row>
    <row r="5" spans="1:13" x14ac:dyDescent="0.25">
      <c r="A5">
        <v>0.5</v>
      </c>
      <c r="B5">
        <f t="shared" ref="B5:B43" si="1">RADIANS(A5)</f>
        <v>8.7266462599716477E-3</v>
      </c>
      <c r="C5">
        <v>2.6599999999999999E-2</v>
      </c>
      <c r="D5">
        <v>1.976E-2</v>
      </c>
      <c r="E5">
        <v>4.0000000000000001E-3</v>
      </c>
      <c r="F5">
        <f>C5*'Données géométriques'!$B$6/(2+('Données géométriques'!$B$6^2+4)^0.5)</f>
        <v>1.4744460282908621E-2</v>
      </c>
      <c r="G5">
        <f>F5^2/(PI()*'Données géométriques'!$B$6)</f>
        <v>2.162101290671177E-5</v>
      </c>
      <c r="H5">
        <f t="shared" ref="H5:H40" si="2">G5+D5</f>
        <v>1.9781621012906713E-2</v>
      </c>
      <c r="I5">
        <f>0.25-E5/(C5*COS(B5)+D5*SIN(B5))</f>
        <v>0.10058695139039522</v>
      </c>
      <c r="J5">
        <f>XCP_3D('Données géométriques'!$B$9,'Données géométriques'!$B$10,'Données géométriques'!$B$12,'Données géométriques'!$B$11,I5)</f>
        <v>-0.11744262505825466</v>
      </c>
      <c r="K5">
        <f>ZCP_3D('Données géométriques'!$B$9,'Données géométriques'!$B$10,'Données géométriques'!$B$12)+0.23</f>
        <v>1.1514536950961625</v>
      </c>
      <c r="L5">
        <f t="shared" ref="L5:L40" si="3" xml:space="preserve"> -(J5+0.26)</f>
        <v>-0.14255737494174536</v>
      </c>
      <c r="M5">
        <f t="shared" si="0"/>
        <v>0.16200000000000001</v>
      </c>
    </row>
    <row r="6" spans="1:13" x14ac:dyDescent="0.25">
      <c r="A6">
        <v>1</v>
      </c>
      <c r="B6">
        <f t="shared" si="1"/>
        <v>1.7453292519943295E-2</v>
      </c>
      <c r="C6">
        <v>5.3999999999999999E-2</v>
      </c>
      <c r="D6">
        <v>2.0049999999999998E-2</v>
      </c>
      <c r="E6">
        <v>7.7000000000000002E-3</v>
      </c>
      <c r="F6">
        <f>C6*'Données géométriques'!$B$6/(2+('Données géométriques'!$B$6^2+4)^0.5)</f>
        <v>2.9932362980340809E-2</v>
      </c>
      <c r="G6">
        <f>F6^2/(PI()*'Données géométriques'!$B$6)</f>
        <v>8.9104632308173885E-5</v>
      </c>
      <c r="H6">
        <f t="shared" si="2"/>
        <v>2.0139104632308173E-2</v>
      </c>
      <c r="I6">
        <f t="shared" ref="I6:I43" si="4">0.25-E6/(C6*COS(B6)+D6*SIN(B6))</f>
        <v>0.10830401834972889</v>
      </c>
      <c r="J6">
        <f>XCP_3D('Données géométriques'!$B$9,'Données géométriques'!$B$10,'Données géométriques'!$B$12,'Données géométriques'!$B$11,I6)</f>
        <v>-0.12312470495275513</v>
      </c>
      <c r="K6">
        <f t="shared" ref="K6:K40" si="5">$K$4</f>
        <v>1.1514536950961625</v>
      </c>
      <c r="L6">
        <f t="shared" si="3"/>
        <v>-0.13687529504724488</v>
      </c>
      <c r="M6">
        <f t="shared" si="0"/>
        <v>0.16300000000000001</v>
      </c>
    </row>
    <row r="7" spans="1:13" x14ac:dyDescent="0.25">
      <c r="A7">
        <v>1.5</v>
      </c>
      <c r="B7">
        <f t="shared" si="1"/>
        <v>2.6179938779914945E-2</v>
      </c>
      <c r="C7">
        <v>8.2299999999999998E-2</v>
      </c>
      <c r="D7">
        <v>2.0559999999999998E-2</v>
      </c>
      <c r="E7">
        <v>1.0699999999999999E-2</v>
      </c>
      <c r="F7">
        <f>C7*'Données géométriques'!$B$6/(2+('Données géométriques'!$B$6^2+4)^0.5)</f>
        <v>4.561913839411201E-2</v>
      </c>
      <c r="G7">
        <f>F7^2/(PI()*'Données géométriques'!$B$6)</f>
        <v>2.069723988225758E-4</v>
      </c>
      <c r="H7">
        <f t="shared" si="2"/>
        <v>2.0766972398822574E-2</v>
      </c>
      <c r="I7">
        <f t="shared" si="4"/>
        <v>0.1207885457140645</v>
      </c>
      <c r="J7">
        <f>XCP_3D('Données géométriques'!$B$9,'Données géométriques'!$B$10,'Données géométriques'!$B$12,'Données géométriques'!$B$11,I7)</f>
        <v>-0.13231706810096386</v>
      </c>
      <c r="K7">
        <f t="shared" si="5"/>
        <v>1.1514536950961625</v>
      </c>
      <c r="L7">
        <f t="shared" si="3"/>
        <v>-0.12768293189903615</v>
      </c>
      <c r="M7">
        <f t="shared" si="0"/>
        <v>0.16600000000000001</v>
      </c>
    </row>
    <row r="8" spans="1:13" x14ac:dyDescent="0.25">
      <c r="A8">
        <v>2</v>
      </c>
      <c r="B8">
        <f t="shared" si="1"/>
        <v>3.4906585039886591E-2</v>
      </c>
      <c r="C8">
        <v>0.18090000000000001</v>
      </c>
      <c r="D8">
        <v>2.129E-2</v>
      </c>
      <c r="E8">
        <v>5.9999999999999995E-4</v>
      </c>
      <c r="F8">
        <f>C8*'Données géométriques'!$B$6/(2+('Données géométriques'!$B$6^2+4)^0.5)</f>
        <v>0.10027341598414172</v>
      </c>
      <c r="G8">
        <f>F8^2/(PI()*'Données géométriques'!$B$6)</f>
        <v>9.9997673607848166E-4</v>
      </c>
      <c r="H8">
        <f t="shared" si="2"/>
        <v>2.2289976736078482E-2</v>
      </c>
      <c r="I8">
        <f t="shared" si="4"/>
        <v>0.24669481237551519</v>
      </c>
      <c r="J8">
        <f>XCP_3D('Données géométriques'!$B$9,'Données géométriques'!$B$10,'Données géométriques'!$B$12,'Données géométriques'!$B$11,I8)</f>
        <v>-0.22502190922242221</v>
      </c>
      <c r="K8">
        <f t="shared" si="5"/>
        <v>1.1514536950961625</v>
      </c>
      <c r="L8">
        <f t="shared" si="3"/>
        <v>-3.4978090777577797E-2</v>
      </c>
      <c r="M8">
        <f t="shared" si="0"/>
        <v>0.17</v>
      </c>
    </row>
    <row r="9" spans="1:13" x14ac:dyDescent="0.25">
      <c r="A9">
        <v>2.5</v>
      </c>
      <c r="B9">
        <f t="shared" si="1"/>
        <v>4.3633231299858237E-2</v>
      </c>
      <c r="C9">
        <v>0.2823</v>
      </c>
      <c r="D9">
        <v>2.1659999999999999E-2</v>
      </c>
      <c r="E9">
        <v>-8.2000000000000007E-3</v>
      </c>
      <c r="F9">
        <f>C9*'Données géométriques'!$B$6/(2+('Données géométriques'!$B$6^2+4)^0.5)</f>
        <v>0.15647974202500392</v>
      </c>
      <c r="G9">
        <f>F9^2/(PI()*'Données géométriques'!$B$6)</f>
        <v>2.4351993494096959E-3</v>
      </c>
      <c r="H9">
        <f t="shared" si="2"/>
        <v>2.4095199349409693E-2</v>
      </c>
      <c r="I9">
        <f t="shared" si="4"/>
        <v>0.27897771134238591</v>
      </c>
      <c r="J9">
        <f>XCP_3D('Données géométriques'!$B$9,'Données géométriques'!$B$10,'Données géométriques'!$B$12,'Données géométriques'!$B$11,I9)</f>
        <v>-0.2487918223412913</v>
      </c>
      <c r="K9">
        <f t="shared" si="5"/>
        <v>1.1514536950961625</v>
      </c>
      <c r="L9">
        <f t="shared" si="3"/>
        <v>-1.1208177658708712E-2</v>
      </c>
      <c r="M9">
        <f t="shared" si="0"/>
        <v>0.17499999999999999</v>
      </c>
    </row>
    <row r="10" spans="1:13" x14ac:dyDescent="0.25">
      <c r="A10">
        <v>3</v>
      </c>
      <c r="B10">
        <f t="shared" si="1"/>
        <v>5.235987755982989E-2</v>
      </c>
      <c r="C10">
        <v>0.36259999999999998</v>
      </c>
      <c r="D10">
        <v>2.179E-2</v>
      </c>
      <c r="E10">
        <v>-1.0999999999999999E-2</v>
      </c>
      <c r="F10">
        <f>C10*'Données géométriques'!$B$6/(2+('Données géométriques'!$B$6^2+4)^0.5)</f>
        <v>0.20099027438280698</v>
      </c>
      <c r="G10">
        <f>F10^2/(PI()*'Données géométriques'!$B$6)</f>
        <v>4.0176154204851298E-3</v>
      </c>
      <c r="H10">
        <f t="shared" si="2"/>
        <v>2.5807615420485132E-2</v>
      </c>
      <c r="I10">
        <f t="shared" si="4"/>
        <v>0.28028271920869913</v>
      </c>
      <c r="J10">
        <f>XCP_3D('Données géométriques'!$B$9,'Données géométriques'!$B$10,'Données géométriques'!$B$12,'Données géométriques'!$B$11,I10)</f>
        <v>-0.24975270022383597</v>
      </c>
      <c r="K10">
        <f t="shared" si="5"/>
        <v>1.1514536950961625</v>
      </c>
      <c r="L10">
        <f t="shared" si="3"/>
        <v>-1.0247299776164037E-2</v>
      </c>
      <c r="M10">
        <f t="shared" si="0"/>
        <v>0.18099999999999999</v>
      </c>
    </row>
    <row r="11" spans="1:13" x14ac:dyDescent="0.25">
      <c r="A11">
        <v>3.5</v>
      </c>
      <c r="B11">
        <f t="shared" si="1"/>
        <v>6.1086523819801536E-2</v>
      </c>
      <c r="C11">
        <v>0.4219</v>
      </c>
      <c r="D11">
        <v>2.1999999999999999E-2</v>
      </c>
      <c r="E11">
        <v>-8.6999999999999994E-3</v>
      </c>
      <c r="F11">
        <f>C11*'Données géométriques'!$B$6/(2+('Données géométriques'!$B$6^2+4)^0.5)</f>
        <v>0.23386044335936643</v>
      </c>
      <c r="G11">
        <f>F11^2/(PI()*'Données géométriques'!$B$6)</f>
        <v>5.4391597393855795E-3</v>
      </c>
      <c r="H11">
        <f t="shared" si="2"/>
        <v>2.7439159739385578E-2</v>
      </c>
      <c r="I11">
        <f t="shared" si="4"/>
        <v>0.27059385387065843</v>
      </c>
      <c r="J11">
        <f>XCP_3D('Données géométriques'!$B$9,'Données géométriques'!$B$10,'Données géométriques'!$B$12,'Données géométriques'!$B$11,I11)</f>
        <v>-0.24261878429076045</v>
      </c>
      <c r="K11">
        <f t="shared" si="5"/>
        <v>1.1514536950961625</v>
      </c>
      <c r="L11">
        <f t="shared" si="3"/>
        <v>-1.7381215709239561E-2</v>
      </c>
      <c r="M11">
        <f t="shared" si="0"/>
        <v>0.188</v>
      </c>
    </row>
    <row r="12" spans="1:13" x14ac:dyDescent="0.25">
      <c r="A12">
        <v>4</v>
      </c>
      <c r="B12">
        <f t="shared" si="1"/>
        <v>6.9813170079773182E-2</v>
      </c>
      <c r="C12">
        <v>0.4652</v>
      </c>
      <c r="D12">
        <v>2.264E-2</v>
      </c>
      <c r="E12">
        <v>-3.3999999999999998E-3</v>
      </c>
      <c r="F12">
        <f>C12*'Données géométriques'!$B$6/(2+('Données géométriques'!$B$6^2+4)^0.5)</f>
        <v>0.25786176404545458</v>
      </c>
      <c r="G12">
        <f>F12^2/(PI()*'Données géométriques'!$B$6)</f>
        <v>6.612903342465541E-3</v>
      </c>
      <c r="H12">
        <f t="shared" si="2"/>
        <v>2.9252903342465542E-2</v>
      </c>
      <c r="I12">
        <f t="shared" si="4"/>
        <v>0.25730168281443794</v>
      </c>
      <c r="J12">
        <f>XCP_3D('Données géométriques'!$B$9,'Données géométriques'!$B$10,'Données géométriques'!$B$12,'Données géométriques'!$B$11,I12)</f>
        <v>-0.23283175272671836</v>
      </c>
      <c r="K12">
        <f t="shared" si="5"/>
        <v>1.1514536950961625</v>
      </c>
      <c r="L12">
        <f t="shared" si="3"/>
        <v>-2.7168247273281654E-2</v>
      </c>
      <c r="M12">
        <f t="shared" si="0"/>
        <v>0.19500000000000001</v>
      </c>
    </row>
    <row r="13" spans="1:13" x14ac:dyDescent="0.25">
      <c r="A13">
        <v>4.5</v>
      </c>
      <c r="B13">
        <f t="shared" si="1"/>
        <v>7.8539816339744828E-2</v>
      </c>
      <c r="C13">
        <v>0.50109999999999999</v>
      </c>
      <c r="D13">
        <v>2.393E-2</v>
      </c>
      <c r="E13">
        <v>2E-3</v>
      </c>
      <c r="F13">
        <f>C13*'Données géométriques'!$B$6/(2+('Données géométriques'!$B$6^2+4)^0.5)</f>
        <v>0.27776124239719963</v>
      </c>
      <c r="G13">
        <f>F13^2/(PI()*'Données géométriques'!$B$6)</f>
        <v>7.6729358673482701E-3</v>
      </c>
      <c r="H13">
        <f t="shared" si="2"/>
        <v>3.1602935867348268E-2</v>
      </c>
      <c r="I13">
        <f t="shared" si="4"/>
        <v>0.24601142966386286</v>
      </c>
      <c r="J13">
        <f>XCP_3D('Données géométriques'!$B$9,'Données géométriques'!$B$10,'Données géométriques'!$B$12,'Données géométriques'!$B$11,I13)</f>
        <v>-0.2245187342225691</v>
      </c>
      <c r="K13">
        <f t="shared" si="5"/>
        <v>1.1514536950961625</v>
      </c>
      <c r="L13">
        <f t="shared" si="3"/>
        <v>-3.5481265777430909E-2</v>
      </c>
      <c r="M13">
        <f t="shared" si="0"/>
        <v>0.20300000000000001</v>
      </c>
    </row>
    <row r="14" spans="1:13" x14ac:dyDescent="0.25">
      <c r="A14">
        <v>5</v>
      </c>
      <c r="B14">
        <f t="shared" si="1"/>
        <v>8.7266462599716474E-2</v>
      </c>
      <c r="C14">
        <v>0.53500000000000003</v>
      </c>
      <c r="D14">
        <v>2.606E-2</v>
      </c>
      <c r="E14">
        <v>5.8999999999999999E-3</v>
      </c>
      <c r="F14">
        <f>C14*'Données géométriques'!$B$6/(2+('Données géométriques'!$B$6^2+4)^0.5)</f>
        <v>0.29655211471263582</v>
      </c>
      <c r="G14">
        <f>F14^2/(PI()*'Données géométriques'!$B$6)</f>
        <v>8.7462185810723847E-3</v>
      </c>
      <c r="H14">
        <f t="shared" si="2"/>
        <v>3.4806218581072385E-2</v>
      </c>
      <c r="I14">
        <f t="shared" si="4"/>
        <v>0.23897681368695517</v>
      </c>
      <c r="J14">
        <f>XCP_3D('Données géométriques'!$B$9,'Données géométriques'!$B$10,'Données géométriques'!$B$12,'Données géométriques'!$B$11,I14)</f>
        <v>-0.21933914329527054</v>
      </c>
      <c r="K14">
        <f t="shared" si="5"/>
        <v>1.1514536950961625</v>
      </c>
      <c r="L14">
        <f t="shared" si="3"/>
        <v>-4.0660856704729464E-2</v>
      </c>
      <c r="M14">
        <f t="shared" si="0"/>
        <v>0.21199999999999999</v>
      </c>
    </row>
    <row r="15" spans="1:13" x14ac:dyDescent="0.25">
      <c r="A15">
        <v>5.5</v>
      </c>
      <c r="B15">
        <f t="shared" si="1"/>
        <v>9.599310885968812E-2</v>
      </c>
      <c r="C15">
        <v>0.57130000000000003</v>
      </c>
      <c r="D15">
        <v>2.887E-2</v>
      </c>
      <c r="E15">
        <v>8.3999999999999995E-3</v>
      </c>
      <c r="F15">
        <f>C15*'Données géométriques'!$B$6/(2+('Données géométriques'!$B$6^2+4)^0.5)</f>
        <v>0.31667331427164269</v>
      </c>
      <c r="G15">
        <f>F15^2/(PI()*'Données géométriques'!$B$6)</f>
        <v>9.9733534598199641E-3</v>
      </c>
      <c r="H15">
        <f t="shared" si="2"/>
        <v>3.8843353459819964E-2</v>
      </c>
      <c r="I15">
        <f t="shared" si="4"/>
        <v>0.23530021463530351</v>
      </c>
      <c r="J15">
        <f>XCP_3D('Données géométriques'!$B$9,'Données géométriques'!$B$10,'Données géométriques'!$B$12,'Données géométriques'!$B$11,I15)</f>
        <v>-0.2166320617497014</v>
      </c>
      <c r="K15">
        <f t="shared" si="5"/>
        <v>1.1514536950961625</v>
      </c>
      <c r="L15">
        <f t="shared" si="3"/>
        <v>-4.336793825029861E-2</v>
      </c>
      <c r="M15">
        <f t="shared" si="0"/>
        <v>0.222</v>
      </c>
    </row>
    <row r="16" spans="1:13" x14ac:dyDescent="0.25">
      <c r="A16">
        <v>6</v>
      </c>
      <c r="B16">
        <f t="shared" si="1"/>
        <v>0.10471975511965978</v>
      </c>
      <c r="C16">
        <v>0.61319999999999997</v>
      </c>
      <c r="D16">
        <v>3.1960000000000002E-2</v>
      </c>
      <c r="E16">
        <v>1.01E-2</v>
      </c>
      <c r="F16">
        <f>C16*'Données géométriques'!$B$6/(2+('Données géométriques'!$B$6^2+4)^0.5)</f>
        <v>0.33989861073231453</v>
      </c>
      <c r="G16">
        <f>F16^2/(PI()*'Données géométriques'!$B$6)</f>
        <v>1.1489921329848234E-2</v>
      </c>
      <c r="H16">
        <f t="shared" si="2"/>
        <v>4.3449921329848235E-2</v>
      </c>
      <c r="I16">
        <f t="shared" si="4"/>
        <v>0.23352853261421125</v>
      </c>
      <c r="J16">
        <f>XCP_3D('Données géométriques'!$B$9,'Données géométriques'!$B$10,'Données géométriques'!$B$12,'Données géométriques'!$B$11,I16)</f>
        <v>-0.21532757147580031</v>
      </c>
      <c r="K16">
        <f t="shared" si="5"/>
        <v>1.1514536950961625</v>
      </c>
      <c r="L16">
        <f t="shared" si="3"/>
        <v>-4.4672428524199698E-2</v>
      </c>
      <c r="M16">
        <f t="shared" si="0"/>
        <v>0.23300000000000001</v>
      </c>
    </row>
    <row r="17" spans="1:13" x14ac:dyDescent="0.25">
      <c r="A17">
        <v>6.5</v>
      </c>
      <c r="B17">
        <f t="shared" si="1"/>
        <v>0.11344640137963143</v>
      </c>
      <c r="C17">
        <v>0.65810000000000002</v>
      </c>
      <c r="D17">
        <v>3.5349999999999999E-2</v>
      </c>
      <c r="E17">
        <v>1.15E-2</v>
      </c>
      <c r="F17">
        <f>C17*'Données géométriques'!$B$6/(2+('Données géométriques'!$B$6^2+4)^0.5)</f>
        <v>0.3647868162474498</v>
      </c>
      <c r="G17">
        <f>F17^2/(PI()*'Données géométriques'!$B$6)</f>
        <v>1.3234164980567314E-2</v>
      </c>
      <c r="H17">
        <f t="shared" si="2"/>
        <v>4.8584164980567314E-2</v>
      </c>
      <c r="I17">
        <f t="shared" si="4"/>
        <v>0.23251937917885848</v>
      </c>
      <c r="J17">
        <f>XCP_3D('Données géométriques'!$B$9,'Données géométriques'!$B$10,'Données géométriques'!$B$12,'Données géométriques'!$B$11,I17)</f>
        <v>-0.2145845313446598</v>
      </c>
      <c r="K17">
        <f t="shared" si="5"/>
        <v>1.1514536950961625</v>
      </c>
      <c r="L17">
        <f t="shared" si="3"/>
        <v>-4.5415468655340213E-2</v>
      </c>
      <c r="M17">
        <f t="shared" si="0"/>
        <v>0.24399999999999999</v>
      </c>
    </row>
    <row r="18" spans="1:13" x14ac:dyDescent="0.25">
      <c r="A18">
        <v>7</v>
      </c>
      <c r="B18">
        <f t="shared" si="1"/>
        <v>0.12217304763960307</v>
      </c>
      <c r="C18">
        <v>0.70379999999999998</v>
      </c>
      <c r="D18">
        <v>3.9399999999999998E-2</v>
      </c>
      <c r="E18">
        <v>1.2800000000000001E-2</v>
      </c>
      <c r="F18">
        <f>C18*'Données géométriques'!$B$6/(2+('Données géométriques'!$B$6^2+4)^0.5)</f>
        <v>0.39011846417710855</v>
      </c>
      <c r="G18">
        <f>F18^2/(PI()*'Données géométriques'!$B$6)</f>
        <v>1.513600587989548E-2</v>
      </c>
      <c r="H18">
        <f t="shared" si="2"/>
        <v>5.4536005879895474E-2</v>
      </c>
      <c r="I18">
        <f t="shared" si="4"/>
        <v>0.23180152487941463</v>
      </c>
      <c r="J18">
        <f>XCP_3D('Données géométriques'!$B$9,'Données géométriques'!$B$10,'Données géométriques'!$B$12,'Données géométriques'!$B$11,I18)</f>
        <v>-0.21405597489911582</v>
      </c>
      <c r="K18">
        <f t="shared" si="5"/>
        <v>1.1514536950961625</v>
      </c>
      <c r="L18">
        <f t="shared" si="3"/>
        <v>-4.5944025100884189E-2</v>
      </c>
      <c r="M18">
        <f t="shared" si="0"/>
        <v>0.255</v>
      </c>
    </row>
    <row r="19" spans="1:13" x14ac:dyDescent="0.25">
      <c r="A19">
        <v>7.5</v>
      </c>
      <c r="B19">
        <f t="shared" si="1"/>
        <v>0.1308996938995747</v>
      </c>
      <c r="C19">
        <v>0.74429999999999996</v>
      </c>
      <c r="D19">
        <v>4.4310000000000002E-2</v>
      </c>
      <c r="E19">
        <v>1.43E-2</v>
      </c>
      <c r="F19">
        <f>C19*'Données géométriques'!$B$6/(2+('Données géométriques'!$B$6^2+4)^0.5)</f>
        <v>0.41256773641236416</v>
      </c>
      <c r="G19">
        <f>F19^2/(PI()*'Données géométriques'!$B$6)</f>
        <v>1.6928122797193627E-2</v>
      </c>
      <c r="H19">
        <f t="shared" si="2"/>
        <v>6.123812279719363E-2</v>
      </c>
      <c r="I19">
        <f t="shared" si="4"/>
        <v>0.2307722309294904</v>
      </c>
      <c r="J19">
        <f>XCP_3D('Données géométriques'!$B$9,'Données géométriques'!$B$10,'Données géométriques'!$B$12,'Données géométriques'!$B$11,I19)</f>
        <v>-0.21329810529798254</v>
      </c>
      <c r="K19">
        <f t="shared" si="5"/>
        <v>1.1514536950961625</v>
      </c>
      <c r="L19">
        <f t="shared" si="3"/>
        <v>-4.6701894702017466E-2</v>
      </c>
      <c r="M19">
        <f t="shared" si="0"/>
        <v>0.26700000000000002</v>
      </c>
    </row>
    <row r="20" spans="1:13" x14ac:dyDescent="0.25">
      <c r="A20">
        <v>8</v>
      </c>
      <c r="B20">
        <f t="shared" si="1"/>
        <v>0.13962634015954636</v>
      </c>
      <c r="C20">
        <v>0.77539999999999998</v>
      </c>
      <c r="D20">
        <v>5.0040000000000001E-2</v>
      </c>
      <c r="E20">
        <v>1.5900000000000001E-2</v>
      </c>
      <c r="F20">
        <f>C20*'Données géométriques'!$B$6/(2+('Données géométriques'!$B$6^2+4)^0.5)</f>
        <v>0.4298065602769679</v>
      </c>
      <c r="G20">
        <f>F20^2/(PI()*'Données géométriques'!$B$6)</f>
        <v>1.8372335016758983E-2</v>
      </c>
      <c r="H20">
        <f t="shared" si="2"/>
        <v>6.8412335016758988E-2</v>
      </c>
      <c r="I20">
        <f t="shared" si="4"/>
        <v>0.22947905403907723</v>
      </c>
      <c r="J20">
        <f>XCP_3D('Données géométriques'!$B$9,'Données géométriques'!$B$10,'Données géométriques'!$B$12,'Données géométriques'!$B$11,I20)</f>
        <v>-0.21234593856834594</v>
      </c>
      <c r="K20">
        <f t="shared" si="5"/>
        <v>1.1514536950961625</v>
      </c>
      <c r="L20">
        <f t="shared" si="3"/>
        <v>-4.7654061431654071E-2</v>
      </c>
      <c r="M20">
        <f t="shared" si="0"/>
        <v>0.28000000000000003</v>
      </c>
    </row>
    <row r="21" spans="1:13" x14ac:dyDescent="0.25">
      <c r="A21">
        <v>8.5</v>
      </c>
      <c r="B21">
        <f t="shared" si="1"/>
        <v>0.14835298641951802</v>
      </c>
      <c r="C21">
        <v>0.79300000000000004</v>
      </c>
      <c r="D21">
        <v>5.7480000000000003E-2</v>
      </c>
      <c r="E21">
        <v>1.7299999999999999E-2</v>
      </c>
      <c r="F21">
        <f>C21*'Données géométriques'!$B$6/(2+('Données géométriques'!$B$6^2+4)^0.5)</f>
        <v>0.43956229339648639</v>
      </c>
      <c r="G21">
        <f>F21^2/(PI()*'Données géométriques'!$B$6)</f>
        <v>1.9215829534417989E-2</v>
      </c>
      <c r="H21">
        <f t="shared" si="2"/>
        <v>7.6695829534417989E-2</v>
      </c>
      <c r="I21">
        <f t="shared" si="4"/>
        <v>0.22817821288585199</v>
      </c>
      <c r="J21">
        <f>XCP_3D('Données géométriques'!$B$9,'Données géométriques'!$B$10,'Données géométriques'!$B$12,'Données géométriques'!$B$11,I21)</f>
        <v>-0.21138812863853323</v>
      </c>
      <c r="K21">
        <f t="shared" si="5"/>
        <v>1.1514536950961625</v>
      </c>
      <c r="L21">
        <f t="shared" si="3"/>
        <v>-4.8611871361466774E-2</v>
      </c>
      <c r="M21">
        <f t="shared" si="0"/>
        <v>0.29299999999999998</v>
      </c>
    </row>
    <row r="22" spans="1:13" x14ac:dyDescent="0.25">
      <c r="A22">
        <v>9</v>
      </c>
      <c r="B22">
        <f t="shared" si="1"/>
        <v>0.15707963267948966</v>
      </c>
      <c r="C22">
        <v>0.78610000000000002</v>
      </c>
      <c r="D22">
        <v>6.6799999999999998E-2</v>
      </c>
      <c r="E22">
        <v>1.7500000000000002E-2</v>
      </c>
      <c r="F22">
        <f>C22*'Données géométriques'!$B$6/(2+('Données géométriques'!$B$6^2+4)^0.5)</f>
        <v>0.43573760257122063</v>
      </c>
      <c r="G22">
        <f>F22^2/(PI()*'Données géométriques'!$B$6)</f>
        <v>1.8882885308884011E-2</v>
      </c>
      <c r="H22">
        <f t="shared" si="2"/>
        <v>8.5682885308884016E-2</v>
      </c>
      <c r="I22">
        <f t="shared" si="4"/>
        <v>0.22776003174619119</v>
      </c>
      <c r="J22">
        <f>XCP_3D('Données géométriques'!$B$9,'Données géométriques'!$B$10,'Données géométriques'!$B$12,'Données géométriques'!$B$11,I22)</f>
        <v>-0.21108022167615431</v>
      </c>
      <c r="K22">
        <f t="shared" si="5"/>
        <v>1.1514536950961625</v>
      </c>
      <c r="L22">
        <f t="shared" si="3"/>
        <v>-4.8919778323845697E-2</v>
      </c>
      <c r="M22">
        <f t="shared" si="0"/>
        <v>0.30599999999999999</v>
      </c>
    </row>
    <row r="23" spans="1:13" x14ac:dyDescent="0.25">
      <c r="A23">
        <v>9.5</v>
      </c>
      <c r="B23">
        <f t="shared" si="1"/>
        <v>0.16580627893946132</v>
      </c>
      <c r="C23">
        <v>0.76119999999999999</v>
      </c>
      <c r="D23">
        <v>7.7039999999999997E-2</v>
      </c>
      <c r="E23">
        <v>1.54E-2</v>
      </c>
      <c r="F23">
        <f>C23*'Données géométriques'!$B$6/(2+('Données géométriques'!$B$6^2+4)^0.5)</f>
        <v>0.42193545741917454</v>
      </c>
      <c r="G23">
        <f>F23^2/(PI()*'Données géométriques'!$B$6)</f>
        <v>1.7705586687654963E-2</v>
      </c>
      <c r="H23">
        <f t="shared" si="2"/>
        <v>9.4745586687654954E-2</v>
      </c>
      <c r="I23">
        <f t="shared" si="4"/>
        <v>0.22982909394173306</v>
      </c>
      <c r="J23">
        <f>XCP_3D('Données géométriques'!$B$9,'Données géométriques'!$B$10,'Données géométriques'!$B$12,'Données géométriques'!$B$11,I23)</f>
        <v>-0.21260367310708175</v>
      </c>
      <c r="K23">
        <f t="shared" si="5"/>
        <v>1.1514536950961625</v>
      </c>
      <c r="L23">
        <f t="shared" si="3"/>
        <v>-4.7396326892918256E-2</v>
      </c>
      <c r="M23">
        <f t="shared" si="0"/>
        <v>0.32</v>
      </c>
    </row>
    <row r="24" spans="1:13" x14ac:dyDescent="0.25">
      <c r="A24">
        <v>10</v>
      </c>
      <c r="B24">
        <f t="shared" si="1"/>
        <v>0.17453292519943295</v>
      </c>
      <c r="C24">
        <v>0.72629999999999995</v>
      </c>
      <c r="D24">
        <v>8.974E-2</v>
      </c>
      <c r="E24">
        <v>8.0999999999999996E-3</v>
      </c>
      <c r="F24">
        <f>C24*'Données géométriques'!$B$6/(2+('Données géométriques'!$B$6^2+4)^0.5)</f>
        <v>0.40259028208558384</v>
      </c>
      <c r="G24">
        <f>F24^2/(PI()*'Données géométriques'!$B$6)</f>
        <v>1.6119250746129424E-2</v>
      </c>
      <c r="H24">
        <f t="shared" si="2"/>
        <v>0.10585925074612942</v>
      </c>
      <c r="I24">
        <f t="shared" si="4"/>
        <v>0.23891700015748277</v>
      </c>
      <c r="J24">
        <f>XCP_3D('Données géométriques'!$B$9,'Données géométriques'!$B$10,'Données géométriques'!$B$12,'Données géométriques'!$B$11,I24)</f>
        <v>-0.21929510256645221</v>
      </c>
      <c r="K24">
        <f t="shared" si="5"/>
        <v>1.1514536950961625</v>
      </c>
      <c r="L24">
        <f t="shared" si="3"/>
        <v>-4.0704897433547799E-2</v>
      </c>
      <c r="M24">
        <f t="shared" si="0"/>
        <v>0.33400000000000002</v>
      </c>
    </row>
    <row r="25" spans="1:13" x14ac:dyDescent="0.25">
      <c r="A25">
        <v>10.5</v>
      </c>
      <c r="B25">
        <f t="shared" si="1"/>
        <v>0.18325957145940461</v>
      </c>
      <c r="C25">
        <v>0.70469999999999999</v>
      </c>
      <c r="D25">
        <v>0.10439</v>
      </c>
      <c r="E25">
        <v>-1.9E-3</v>
      </c>
      <c r="F25">
        <f>C25*'Données géométriques'!$B$6/(2+('Données géométriques'!$B$6^2+4)^0.5)</f>
        <v>0.39061733689344758</v>
      </c>
      <c r="G25">
        <f>F25^2/(PI()*'Données géométriques'!$B$6)</f>
        <v>1.5174741643662785E-2</v>
      </c>
      <c r="H25">
        <f t="shared" si="2"/>
        <v>0.11956474164366278</v>
      </c>
      <c r="I25">
        <f t="shared" si="4"/>
        <v>0.25266882682496333</v>
      </c>
      <c r="J25">
        <f>XCP_3D('Données géométriques'!$B$9,'Données géométriques'!$B$10,'Données géométriques'!$B$12,'Données géométriques'!$B$11,I25)</f>
        <v>-0.22942057876508051</v>
      </c>
      <c r="K25">
        <f t="shared" si="5"/>
        <v>1.1514536950961625</v>
      </c>
      <c r="L25">
        <f t="shared" si="3"/>
        <v>-3.0579421234919496E-2</v>
      </c>
      <c r="M25">
        <f t="shared" si="0"/>
        <v>0.34799999999999998</v>
      </c>
    </row>
    <row r="26" spans="1:13" x14ac:dyDescent="0.25">
      <c r="A26">
        <v>11</v>
      </c>
      <c r="B26">
        <f t="shared" si="1"/>
        <v>0.19198621771937624</v>
      </c>
      <c r="C26">
        <v>0.69430000000000003</v>
      </c>
      <c r="D26">
        <v>0.11647</v>
      </c>
      <c r="E26">
        <v>-8.3999999999999995E-3</v>
      </c>
      <c r="F26">
        <f>C26*'Données géométriques'!$B$6/(2+('Données géométriques'!$B$6^2+4)^0.5)</f>
        <v>0.38485258550464124</v>
      </c>
      <c r="G26">
        <f>F26^2/(PI()*'Données géométriques'!$B$6)</f>
        <v>1.4730147419303731E-2</v>
      </c>
      <c r="H26">
        <f t="shared" si="2"/>
        <v>0.13120014741930375</v>
      </c>
      <c r="I26">
        <f t="shared" si="4"/>
        <v>0.26193576381372391</v>
      </c>
      <c r="J26">
        <f>XCP_3D('Données géométriques'!$B$9,'Données géométriques'!$B$10,'Données géométriques'!$B$12,'Données géométriques'!$B$11,I26)</f>
        <v>-0.23624382866363813</v>
      </c>
      <c r="K26">
        <f t="shared" si="5"/>
        <v>1.1514536950961625</v>
      </c>
      <c r="L26">
        <f t="shared" si="3"/>
        <v>-2.3756171336361875E-2</v>
      </c>
      <c r="M26">
        <f t="shared" si="0"/>
        <v>0.36299999999999999</v>
      </c>
    </row>
    <row r="27" spans="1:13" x14ac:dyDescent="0.25">
      <c r="A27">
        <v>11.5</v>
      </c>
      <c r="B27">
        <f t="shared" si="1"/>
        <v>0.2007128639793479</v>
      </c>
      <c r="C27">
        <v>0.68969999999999998</v>
      </c>
      <c r="D27">
        <v>0.12725</v>
      </c>
      <c r="E27">
        <v>-1.35E-2</v>
      </c>
      <c r="F27">
        <f>C27*'Données géométriques'!$B$6/(2+('Données géométriques'!$B$6^2+4)^0.5)</f>
        <v>0.38230279162113073</v>
      </c>
      <c r="G27">
        <f>F27^2/(PI()*'Données géométriques'!$B$6)</f>
        <v>1.4535608416859715E-2</v>
      </c>
      <c r="H27">
        <f t="shared" si="2"/>
        <v>0.14178560841685972</v>
      </c>
      <c r="I27">
        <f t="shared" si="4"/>
        <v>0.26925206062675727</v>
      </c>
      <c r="J27">
        <f>XCP_3D('Données géométriques'!$B$9,'Données géométriques'!$B$10,'Données géométriques'!$B$12,'Données géométriques'!$B$11,I27)</f>
        <v>-0.24163082131805061</v>
      </c>
      <c r="K27">
        <f t="shared" si="5"/>
        <v>1.1514536950961625</v>
      </c>
      <c r="L27">
        <f t="shared" si="3"/>
        <v>-1.83691786819494E-2</v>
      </c>
      <c r="M27">
        <f t="shared" si="0"/>
        <v>0.377</v>
      </c>
    </row>
    <row r="28" spans="1:13" x14ac:dyDescent="0.25">
      <c r="A28">
        <v>12</v>
      </c>
      <c r="B28">
        <f t="shared" si="1"/>
        <v>0.20943951023931956</v>
      </c>
      <c r="C28">
        <v>0.68889999999999996</v>
      </c>
      <c r="D28">
        <v>0.13727</v>
      </c>
      <c r="E28">
        <v>-1.7999999999999999E-2</v>
      </c>
      <c r="F28">
        <f>C28*'Données géométriques'!$B$6/(2+('Données géométriques'!$B$6^2+4)^0.5)</f>
        <v>0.38185934920660708</v>
      </c>
      <c r="G28">
        <f>F28^2/(PI()*'Données géométriques'!$B$6)</f>
        <v>1.4501907553732122E-2</v>
      </c>
      <c r="H28">
        <f t="shared" si="2"/>
        <v>0.15177190755373213</v>
      </c>
      <c r="I28">
        <f t="shared" si="4"/>
        <v>0.27562693739850774</v>
      </c>
      <c r="J28">
        <f>XCP_3D('Données géométriques'!$B$9,'Données géométriques'!$B$10,'Données géométriques'!$B$12,'Données géométriques'!$B$11,I28)</f>
        <v>-0.24632464597002848</v>
      </c>
      <c r="K28">
        <f t="shared" si="5"/>
        <v>1.1514536950961625</v>
      </c>
      <c r="L28">
        <f t="shared" si="3"/>
        <v>-1.3675354029971526E-2</v>
      </c>
      <c r="M28">
        <f t="shared" si="0"/>
        <v>0.39200000000000002</v>
      </c>
    </row>
    <row r="29" spans="1:13" x14ac:dyDescent="0.25">
      <c r="A29">
        <v>12.5</v>
      </c>
      <c r="B29">
        <f t="shared" si="1"/>
        <v>0.21816615649929119</v>
      </c>
      <c r="C29">
        <v>0.6905</v>
      </c>
      <c r="D29">
        <v>0.14673</v>
      </c>
      <c r="E29">
        <v>-2.24E-2</v>
      </c>
      <c r="F29">
        <f>C29*'Données géométriques'!$B$6/(2+('Données géométriques'!$B$6^2+4)^0.5)</f>
        <v>0.38274623403565428</v>
      </c>
      <c r="G29">
        <f>F29^2/(PI()*'Données géométriques'!$B$6)</f>
        <v>1.4569348393131796E-2</v>
      </c>
      <c r="H29">
        <f t="shared" si="2"/>
        <v>0.16129934839313179</v>
      </c>
      <c r="I29">
        <f t="shared" si="4"/>
        <v>0.28173296359940347</v>
      </c>
      <c r="J29">
        <f>XCP_3D('Données géométriques'!$B$9,'Données géométriques'!$B$10,'Données géométriques'!$B$12,'Données géométriques'!$B$11,I29)</f>
        <v>-0.25082051582501752</v>
      </c>
      <c r="K29">
        <f t="shared" si="5"/>
        <v>1.1514536950961625</v>
      </c>
      <c r="L29">
        <f t="shared" si="3"/>
        <v>-9.1794841749824885E-3</v>
      </c>
      <c r="M29">
        <f t="shared" si="0"/>
        <v>0.40699999999999997</v>
      </c>
    </row>
    <row r="30" spans="1:13" x14ac:dyDescent="0.25">
      <c r="A30">
        <v>13</v>
      </c>
      <c r="B30">
        <f t="shared" si="1"/>
        <v>0.22689280275926285</v>
      </c>
      <c r="C30">
        <v>0.6946</v>
      </c>
      <c r="D30">
        <v>0.15567</v>
      </c>
      <c r="E30">
        <v>-2.6499999999999999E-2</v>
      </c>
      <c r="F30">
        <f>C30*'Données géométriques'!$B$6/(2+('Données géométriques'!$B$6^2+4)^0.5)</f>
        <v>0.38501887641008758</v>
      </c>
      <c r="G30">
        <f>F30^2/(PI()*'Données géométriques'!$B$6)</f>
        <v>1.4742879664551964E-2</v>
      </c>
      <c r="H30">
        <f t="shared" si="2"/>
        <v>0.17041287966455196</v>
      </c>
      <c r="I30">
        <f t="shared" si="4"/>
        <v>0.28722874411971916</v>
      </c>
      <c r="J30">
        <f>XCP_3D('Données géométriques'!$B$9,'Données géométriques'!$B$10,'Données géométriques'!$B$12,'Données géométriques'!$B$11,I30)</f>
        <v>-0.25486706150922944</v>
      </c>
      <c r="K30">
        <f t="shared" si="5"/>
        <v>1.1514536950961625</v>
      </c>
      <c r="L30">
        <f t="shared" si="3"/>
        <v>-5.1329384907705666E-3</v>
      </c>
      <c r="M30">
        <f t="shared" si="0"/>
        <v>0.42199999999999999</v>
      </c>
    </row>
    <row r="31" spans="1:13" x14ac:dyDescent="0.25">
      <c r="A31">
        <v>13.5</v>
      </c>
      <c r="B31">
        <f t="shared" si="1"/>
        <v>0.23561944901923448</v>
      </c>
      <c r="C31">
        <v>0.70109999999999995</v>
      </c>
      <c r="D31">
        <v>0.16436999999999999</v>
      </c>
      <c r="E31">
        <v>-3.0499999999999999E-2</v>
      </c>
      <c r="F31">
        <f>C31*'Données géométriques'!$B$6/(2+('Données géométriques'!$B$6^2+4)^0.5)</f>
        <v>0.38862184602809147</v>
      </c>
      <c r="G31">
        <f>F31^2/(PI()*'Données géométriques'!$B$6)</f>
        <v>1.5020095604034594E-2</v>
      </c>
      <c r="H31">
        <f t="shared" si="2"/>
        <v>0.17939009560403457</v>
      </c>
      <c r="I31">
        <f t="shared" si="4"/>
        <v>0.29235523046104023</v>
      </c>
      <c r="J31">
        <f>XCP_3D('Données géométriques'!$B$9,'Données géométriques'!$B$10,'Données géométriques'!$B$12,'Données géométriques'!$B$11,I31)</f>
        <v>-0.25864169572232704</v>
      </c>
      <c r="K31">
        <f t="shared" si="5"/>
        <v>1.1514536950961625</v>
      </c>
      <c r="L31">
        <f t="shared" si="3"/>
        <v>-1.3583042776729726E-3</v>
      </c>
      <c r="M31">
        <f t="shared" si="0"/>
        <v>0.437</v>
      </c>
    </row>
    <row r="32" spans="1:13" x14ac:dyDescent="0.25">
      <c r="A32">
        <v>14</v>
      </c>
      <c r="B32">
        <f t="shared" si="1"/>
        <v>0.24434609527920614</v>
      </c>
      <c r="C32">
        <v>0.71050000000000002</v>
      </c>
      <c r="D32">
        <v>0.17296</v>
      </c>
      <c r="E32">
        <v>-3.4099999999999998E-2</v>
      </c>
      <c r="F32">
        <f>C32*'Données géométriques'!$B$6/(2+('Données géométriques'!$B$6^2+4)^0.5)</f>
        <v>0.39383229439874351</v>
      </c>
      <c r="G32">
        <f>F32^2/(PI()*'Données géométriques'!$B$6)</f>
        <v>1.5425559571895526E-2</v>
      </c>
      <c r="H32">
        <f t="shared" si="2"/>
        <v>0.18838555957189554</v>
      </c>
      <c r="I32">
        <f t="shared" si="4"/>
        <v>0.29663324870560021</v>
      </c>
      <c r="J32">
        <f>XCP_3D('Données géométriques'!$B$9,'Données géométriques'!$B$10,'Données géométriques'!$B$12,'Données géométriques'!$B$11,I32)</f>
        <v>-0.26179160249180511</v>
      </c>
      <c r="K32">
        <f t="shared" si="5"/>
        <v>1.1514536950961625</v>
      </c>
      <c r="L32">
        <f t="shared" si="3"/>
        <v>1.7916024918050999E-3</v>
      </c>
      <c r="M32">
        <f t="shared" si="0"/>
        <v>0.45100000000000001</v>
      </c>
    </row>
    <row r="33" spans="1:13" x14ac:dyDescent="0.25">
      <c r="A33">
        <v>14.5</v>
      </c>
      <c r="B33">
        <f t="shared" si="1"/>
        <v>0.2530727415391778</v>
      </c>
      <c r="C33">
        <v>0.72689999999999999</v>
      </c>
      <c r="D33">
        <v>0.1817</v>
      </c>
      <c r="E33">
        <v>-3.6400000000000002E-2</v>
      </c>
      <c r="F33">
        <f>C33*'Données géométriques'!$B$6/(2+('Données géométriques'!$B$6^2+4)^0.5)</f>
        <v>0.40292286389647664</v>
      </c>
      <c r="G33">
        <f>F33^2/(PI()*'Données géométriques'!$B$6)</f>
        <v>1.6145894131246764E-2</v>
      </c>
      <c r="H33">
        <f t="shared" si="2"/>
        <v>0.19784589413124676</v>
      </c>
      <c r="I33">
        <f t="shared" si="4"/>
        <v>0.29858252692950271</v>
      </c>
      <c r="J33">
        <f>XCP_3D('Données géométriques'!$B$9,'Données géométriques'!$B$10,'Données géométriques'!$B$12,'Données géométriques'!$B$11,I33)</f>
        <v>-0.26322685693020748</v>
      </c>
      <c r="K33">
        <f t="shared" si="5"/>
        <v>1.1514536950961625</v>
      </c>
      <c r="L33">
        <f t="shared" si="3"/>
        <v>3.2268569302074668E-3</v>
      </c>
      <c r="M33">
        <f t="shared" si="0"/>
        <v>0.46600000000000003</v>
      </c>
    </row>
    <row r="34" spans="1:13" x14ac:dyDescent="0.25">
      <c r="A34">
        <v>15.5</v>
      </c>
      <c r="B34">
        <f t="shared" si="1"/>
        <v>0.27052603405912107</v>
      </c>
      <c r="C34">
        <v>0.75700000000000001</v>
      </c>
      <c r="D34">
        <v>0.20421</v>
      </c>
      <c r="E34">
        <v>-4.5499999999999999E-2</v>
      </c>
      <c r="F34">
        <f>C34*'Données géométriques'!$B$6/(2+('Données géométriques'!$B$6^2+4)^0.5)</f>
        <v>0.41960738474292586</v>
      </c>
      <c r="G34">
        <f>F34^2/(PI()*'Données géométriques'!$B$6)</f>
        <v>1.75107408914838E-2</v>
      </c>
      <c r="H34">
        <f t="shared" si="2"/>
        <v>0.2217207408914838</v>
      </c>
      <c r="I34">
        <f t="shared" si="4"/>
        <v>0.30803267927593447</v>
      </c>
      <c r="J34">
        <f>XCP_3D('Données géométriques'!$B$9,'Données géométriques'!$B$10,'Données géométriques'!$B$12,'Données géométriques'!$B$11,I34)</f>
        <v>-0.27018500837953208</v>
      </c>
      <c r="K34">
        <f t="shared" si="5"/>
        <v>1.1514536950961625</v>
      </c>
      <c r="L34">
        <f t="shared" si="3"/>
        <v>1.0185008379532068E-2</v>
      </c>
      <c r="M34">
        <f t="shared" si="0"/>
        <v>0.495</v>
      </c>
    </row>
    <row r="35" spans="1:13" x14ac:dyDescent="0.25">
      <c r="A35">
        <v>16</v>
      </c>
      <c r="B35">
        <f t="shared" si="1"/>
        <v>0.27925268031909273</v>
      </c>
      <c r="C35">
        <v>0.77029999999999998</v>
      </c>
      <c r="D35">
        <v>0.21212</v>
      </c>
      <c r="E35">
        <v>-4.9099999999999998E-2</v>
      </c>
      <c r="F35">
        <f>C35*'Données géométriques'!$B$6/(2+('Données géométriques'!$B$6^2+4)^0.5)</f>
        <v>0.42697961488438008</v>
      </c>
      <c r="G35">
        <f>F35^2/(PI()*'Données géométriques'!$B$6)</f>
        <v>1.8131450910514258E-2</v>
      </c>
      <c r="H35">
        <f t="shared" si="2"/>
        <v>0.23025145091051427</v>
      </c>
      <c r="I35">
        <f t="shared" si="4"/>
        <v>0.31145734667598057</v>
      </c>
      <c r="J35">
        <f>XCP_3D('Données géométriques'!$B$9,'Données géométriques'!$B$10,'Données géométriques'!$B$12,'Données géométriques'!$B$11,I35)</f>
        <v>-0.27270659253601276</v>
      </c>
      <c r="K35">
        <f t="shared" si="5"/>
        <v>1.1514536950961625</v>
      </c>
      <c r="L35">
        <f t="shared" si="3"/>
        <v>1.2706592536012751E-2</v>
      </c>
      <c r="M35">
        <f t="shared" si="0"/>
        <v>0.50900000000000001</v>
      </c>
    </row>
    <row r="36" spans="1:13" x14ac:dyDescent="0.25">
      <c r="A36">
        <v>16.5</v>
      </c>
      <c r="B36">
        <f t="shared" si="1"/>
        <v>0.28797932657906439</v>
      </c>
      <c r="C36">
        <v>0.78059999999999996</v>
      </c>
      <c r="D36">
        <v>0.21867</v>
      </c>
      <c r="E36">
        <v>-5.3499999999999999E-2</v>
      </c>
      <c r="F36">
        <f>C36*'Données géométriques'!$B$6/(2+('Données géométriques'!$B$6^2+4)^0.5)</f>
        <v>0.43268893597137104</v>
      </c>
      <c r="G36">
        <f>F36^2/(PI()*'Données géométriques'!$B$6)</f>
        <v>1.8619578981413261E-2</v>
      </c>
      <c r="H36">
        <f t="shared" si="2"/>
        <v>0.23728957898141326</v>
      </c>
      <c r="I36">
        <f t="shared" si="4"/>
        <v>0.31600372439813001</v>
      </c>
      <c r="J36">
        <f>XCP_3D('Données géométriques'!$B$9,'Données géométriques'!$B$10,'Données géométriques'!$B$12,'Données géométriques'!$B$11,I36)</f>
        <v>-0.27605409251028451</v>
      </c>
      <c r="K36">
        <f t="shared" si="5"/>
        <v>1.1514536950961625</v>
      </c>
      <c r="L36">
        <f t="shared" si="3"/>
        <v>1.6054092510284501E-2</v>
      </c>
      <c r="M36">
        <f t="shared" si="0"/>
        <v>0.52200000000000002</v>
      </c>
    </row>
    <row r="37" spans="1:13" x14ac:dyDescent="0.25">
      <c r="A37">
        <v>17</v>
      </c>
      <c r="B37">
        <f t="shared" si="1"/>
        <v>0.29670597283903605</v>
      </c>
      <c r="C37">
        <v>0.78849999999999998</v>
      </c>
      <c r="D37">
        <v>0.22359000000000001</v>
      </c>
      <c r="E37">
        <v>-5.8599999999999999E-2</v>
      </c>
      <c r="F37">
        <f>C37*'Données géométriques'!$B$6/(2+('Données géométriques'!$B$6^2+4)^0.5)</f>
        <v>0.43706792981479126</v>
      </c>
      <c r="G37">
        <f>F37^2/(PI()*'Données géométriques'!$B$6)</f>
        <v>1.899836197886956E-2</v>
      </c>
      <c r="H37">
        <f t="shared" si="2"/>
        <v>0.24258836197886957</v>
      </c>
      <c r="I37">
        <f t="shared" si="4"/>
        <v>0.32151419934953585</v>
      </c>
      <c r="J37">
        <f>XCP_3D('Données géométriques'!$B$9,'Données géométriques'!$B$10,'Données géométriques'!$B$12,'Données géométriques'!$B$11,I37)</f>
        <v>-0.28011145771076051</v>
      </c>
      <c r="K37">
        <f t="shared" si="5"/>
        <v>1.1514536950961625</v>
      </c>
      <c r="L37">
        <f t="shared" si="3"/>
        <v>2.0111457710760505E-2</v>
      </c>
      <c r="M37">
        <f t="shared" si="0"/>
        <v>0.53600000000000003</v>
      </c>
    </row>
    <row r="38" spans="1:13" x14ac:dyDescent="0.25">
      <c r="A38">
        <v>17.5</v>
      </c>
      <c r="B38">
        <f t="shared" si="1"/>
        <v>0.30543261909900765</v>
      </c>
      <c r="C38">
        <v>0.79849999999999999</v>
      </c>
      <c r="D38">
        <v>0.22835</v>
      </c>
      <c r="E38">
        <v>-6.3600000000000004E-2</v>
      </c>
      <c r="F38">
        <f>C38*'Données géométriques'!$B$6/(2+('Données géométriques'!$B$6^2+4)^0.5)</f>
        <v>0.44261095999633587</v>
      </c>
      <c r="G38">
        <f>F38^2/(PI()*'Données géométriques'!$B$6)</f>
        <v>1.9483303856349235E-2</v>
      </c>
      <c r="H38">
        <f t="shared" si="2"/>
        <v>0.24783330385634922</v>
      </c>
      <c r="I38">
        <f t="shared" si="4"/>
        <v>0.3266072015179432</v>
      </c>
      <c r="J38">
        <f>XCP_3D('Données géométriques'!$B$9,'Données géométriques'!$B$10,'Données géométriques'!$B$12,'Données géométriques'!$B$11,I38)</f>
        <v>-0.28386143751218662</v>
      </c>
      <c r="K38">
        <f t="shared" si="5"/>
        <v>1.1514536950961625</v>
      </c>
      <c r="L38">
        <f t="shared" si="3"/>
        <v>2.3861437512186612E-2</v>
      </c>
      <c r="M38">
        <f t="shared" si="0"/>
        <v>0.54900000000000004</v>
      </c>
    </row>
    <row r="39" spans="1:13" x14ac:dyDescent="0.25">
      <c r="A39">
        <v>18</v>
      </c>
      <c r="B39">
        <f t="shared" si="1"/>
        <v>0.31415926535897931</v>
      </c>
      <c r="C39">
        <v>0.82669999999999999</v>
      </c>
      <c r="D39">
        <v>0.24088000000000001</v>
      </c>
      <c r="E39">
        <v>-6.4100000000000004E-2</v>
      </c>
      <c r="F39">
        <f>C39*'Données géométriques'!$B$6/(2+('Données géométriques'!$B$6^2+4)^0.5)</f>
        <v>0.45824230510829167</v>
      </c>
      <c r="G39">
        <f>F39^2/(PI()*'Données géométriques'!$B$6)</f>
        <v>2.088375732879378E-2</v>
      </c>
      <c r="H39">
        <f t="shared" si="2"/>
        <v>0.26176375732879381</v>
      </c>
      <c r="I39">
        <f t="shared" si="4"/>
        <v>0.32447647722144762</v>
      </c>
      <c r="J39">
        <f>XCP_3D('Données géométriques'!$B$9,'Données géométriques'!$B$10,'Données géométriques'!$B$12,'Données géométriques'!$B$11,I39)</f>
        <v>-0.28229258424842102</v>
      </c>
      <c r="K39">
        <f t="shared" si="5"/>
        <v>1.1514536950961625</v>
      </c>
      <c r="L39">
        <f t="shared" si="3"/>
        <v>2.229258424842101E-2</v>
      </c>
      <c r="M39">
        <f t="shared" si="0"/>
        <v>0.56200000000000006</v>
      </c>
    </row>
    <row r="40" spans="1:13" x14ac:dyDescent="0.25">
      <c r="A40">
        <v>18.5</v>
      </c>
      <c r="B40">
        <f t="shared" si="1"/>
        <v>0.32288591161895097</v>
      </c>
      <c r="C40">
        <v>0.83289999999999997</v>
      </c>
      <c r="D40">
        <v>0.24324999999999999</v>
      </c>
      <c r="E40">
        <v>-7.0300000000000001E-2</v>
      </c>
      <c r="F40">
        <f>C40*'Données géométriques'!$B$6/(2+('Données géométriques'!$B$6^2+4)^0.5)</f>
        <v>0.46167898382084926</v>
      </c>
      <c r="G40">
        <f>F40^2/(PI()*'Données géométriques'!$B$6)</f>
        <v>2.1198175674550842E-2</v>
      </c>
      <c r="H40">
        <f t="shared" si="2"/>
        <v>0.26444817567455081</v>
      </c>
      <c r="I40">
        <f t="shared" si="4"/>
        <v>0.33108016494238102</v>
      </c>
      <c r="J40">
        <f>XCP_3D('Données géométriques'!$B$9,'Données géométriques'!$B$10,'Données géométriques'!$B$12,'Données géométriques'!$B$11,I40)</f>
        <v>-0.28715488250583127</v>
      </c>
      <c r="K40">
        <f t="shared" si="5"/>
        <v>1.1514536950961625</v>
      </c>
      <c r="L40">
        <f t="shared" si="3"/>
        <v>2.7154882505831257E-2</v>
      </c>
      <c r="M40">
        <f t="shared" si="0"/>
        <v>0.57399999999999995</v>
      </c>
    </row>
    <row r="41" spans="1:13" x14ac:dyDescent="0.25">
      <c r="A41">
        <v>19</v>
      </c>
      <c r="B41">
        <f t="shared" si="1"/>
        <v>0.33161255787892263</v>
      </c>
      <c r="C41">
        <v>0.84550000000000003</v>
      </c>
      <c r="D41">
        <v>0.24801999999999999</v>
      </c>
      <c r="E41">
        <v>-7.5499999999999998E-2</v>
      </c>
      <c r="F41">
        <f>C41*'Données géométriques'!$B$6/(2+('Données géométriques'!$B$6^2+4)^0.5)</f>
        <v>0.46866320184959553</v>
      </c>
      <c r="G41">
        <f>F41^2/(PI()*'Données géométriques'!$B$6)</f>
        <v>2.1844393269651017E-2</v>
      </c>
      <c r="H41">
        <f>G41+D41</f>
        <v>0.269864393269651</v>
      </c>
      <c r="I41">
        <f t="shared" si="4"/>
        <v>0.33577758070663349</v>
      </c>
      <c r="J41">
        <f>XCP_3D('Données géométriques'!$B$9,'Données géométriques'!$B$10,'Données géométriques'!$B$12,'Données géométriques'!$B$11,I41)</f>
        <v>-0.29061359185885732</v>
      </c>
      <c r="K41">
        <f>ZCP_3D('Données géométriques'!$B$9,'Données géométriques'!$B$10,'Données géométriques'!$B$12)+0.23</f>
        <v>1.1514536950961625</v>
      </c>
      <c r="L41">
        <f xml:space="preserve"> -(J41+0.26)</f>
        <v>3.0613591858857314E-2</v>
      </c>
      <c r="M41">
        <f t="shared" ref="M41:M43" si="6">ROUND( A41^3 * - 0.00006 + 0.0023*A41^2 + 0.0003*A41 + 0.1609,3)</f>
        <v>0.58499999999999996</v>
      </c>
    </row>
    <row r="42" spans="1:13" x14ac:dyDescent="0.25">
      <c r="A42">
        <v>19.5</v>
      </c>
      <c r="B42">
        <f t="shared" si="1"/>
        <v>0.34033920413889424</v>
      </c>
      <c r="C42">
        <v>0.86270000000000002</v>
      </c>
      <c r="D42">
        <v>0.25480999999999998</v>
      </c>
      <c r="E42">
        <v>-7.9200000000000007E-2</v>
      </c>
      <c r="F42">
        <f>C42*'Données géométriques'!$B$6/(2+('Données géométriques'!$B$6^2+4)^0.5)</f>
        <v>0.4781972137618522</v>
      </c>
      <c r="G42">
        <f>F42^2/(PI()*'Données géométriques'!$B$6)</f>
        <v>2.2742193943873151E-2</v>
      </c>
      <c r="H42">
        <f t="shared" ref="H42:H43" si="7">G42+D42</f>
        <v>0.27755219394387315</v>
      </c>
      <c r="I42">
        <f t="shared" si="4"/>
        <v>0.33816907496113918</v>
      </c>
      <c r="J42">
        <f>XCP_3D('Données géométriques'!$B$9,'Données géométriques'!$B$10,'Données géométriques'!$B$12,'Données géométriques'!$B$11,I42)</f>
        <v>-0.29237445016071517</v>
      </c>
      <c r="K42">
        <f>ZCP_3D('Données géométriques'!$B$9,'Données géométriques'!$B$10,'Données géométriques'!$B$12)+0.23</f>
        <v>1.1514536950961625</v>
      </c>
      <c r="L42">
        <f t="shared" ref="L42:L43" si="8" xml:space="preserve"> -(J42+0.26)</f>
        <v>3.2374450160715162E-2</v>
      </c>
      <c r="M42">
        <f t="shared" si="6"/>
        <v>0.59599999999999997</v>
      </c>
    </row>
    <row r="43" spans="1:13" x14ac:dyDescent="0.25">
      <c r="A43">
        <v>20</v>
      </c>
      <c r="B43">
        <f t="shared" si="1"/>
        <v>0.3490658503988659</v>
      </c>
      <c r="C43">
        <v>0.88800000000000001</v>
      </c>
      <c r="D43">
        <v>0.26817999999999997</v>
      </c>
      <c r="E43">
        <v>-8.0299999999999996E-2</v>
      </c>
      <c r="F43">
        <f>C43*'Données géométriques'!$B$6/(2+('Données géométriques'!$B$6^2+4)^0.5)</f>
        <v>0.49222108012116006</v>
      </c>
      <c r="G43">
        <f>F43^2/(PI()*'Données géométriques'!$B$6)</f>
        <v>2.4095652667632611E-2</v>
      </c>
      <c r="H43">
        <f t="shared" si="7"/>
        <v>0.29227565266763256</v>
      </c>
      <c r="I43">
        <f t="shared" si="4"/>
        <v>0.33670114470790019</v>
      </c>
      <c r="J43">
        <f>XCP_3D('Données géométriques'!$B$9,'Données géométriques'!$B$10,'Données géométriques'!$B$12,'Données géométriques'!$B$11,I43)</f>
        <v>-0.29129361245094765</v>
      </c>
      <c r="K43">
        <f t="shared" ref="K43" si="9">$K$4</f>
        <v>1.1514536950961625</v>
      </c>
      <c r="L43">
        <f t="shared" si="8"/>
        <v>3.1293612450947639E-2</v>
      </c>
      <c r="M43">
        <f t="shared" si="6"/>
        <v>0.60699999999999998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M42"/>
  <sheetViews>
    <sheetView tabSelected="1" zoomScale="94" workbookViewId="0">
      <selection activeCell="C1" sqref="C1"/>
    </sheetView>
  </sheetViews>
  <sheetFormatPr baseColWidth="10" defaultColWidth="8.85546875" defaultRowHeight="15" x14ac:dyDescent="0.25"/>
  <cols>
    <col min="1" max="8" width="11.42578125" customWidth="1"/>
    <col min="9" max="9" width="13.42578125" customWidth="1"/>
    <col min="10" max="10" width="14.7109375" bestFit="1" customWidth="1"/>
    <col min="11" max="11" width="11.42578125" customWidth="1"/>
    <col min="12" max="12" width="15.28515625" customWidth="1"/>
    <col min="13" max="13" width="10.42578125" customWidth="1"/>
    <col min="15" max="15" width="9.28515625" bestFit="1" customWidth="1"/>
  </cols>
  <sheetData>
    <row r="1" spans="1:13" x14ac:dyDescent="0.25">
      <c r="A1">
        <v>5</v>
      </c>
      <c r="C1">
        <f>ROUND(((A1*0.514)/15.6)*1000000,0)</f>
        <v>164744</v>
      </c>
    </row>
    <row r="2" spans="1:13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23</v>
      </c>
      <c r="J2" t="s">
        <v>24</v>
      </c>
      <c r="K2" t="s">
        <v>26</v>
      </c>
      <c r="L2" t="s">
        <v>25</v>
      </c>
      <c r="M2" t="s">
        <v>11</v>
      </c>
    </row>
    <row r="3" spans="1:13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25">
      <c r="A4">
        <v>0</v>
      </c>
      <c r="B4">
        <v>0</v>
      </c>
      <c r="C4">
        <v>0</v>
      </c>
      <c r="D4">
        <v>9.1000000000000004E-3</v>
      </c>
      <c r="E4">
        <v>0</v>
      </c>
      <c r="F4">
        <f>C4*'Données géométriques'!$B$6/(2+('Données géométriques'!$B$6^2+4)^0.5)</f>
        <v>0</v>
      </c>
      <c r="G4">
        <f>F4^2/(PI()*'Données géométriques'!$B$6)</f>
        <v>0</v>
      </c>
      <c r="H4">
        <f>G4+D4</f>
        <v>9.1000000000000004E-3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ZCP_3D('Données géométriques'!$B$9,'Données géométriques'!$B$10,'Données géométriques'!$B$12)+0.23</f>
        <v>1.1514536950961625</v>
      </c>
      <c r="L4">
        <f xml:space="preserve"> -(J4+0.26)</f>
        <v>-0.21661959277092063</v>
      </c>
      <c r="M4">
        <f t="shared" ref="M4:M40" si="0">ROUND( A4^3 * - 0.00006 + 0.0023*A4^2 + 0.0003*A4 + 0.1609,3)</f>
        <v>0.161</v>
      </c>
    </row>
    <row r="5" spans="1:13" x14ac:dyDescent="0.25">
      <c r="A5">
        <v>0.5</v>
      </c>
      <c r="B5">
        <f>RADIANS(A5)</f>
        <v>8.7266462599716477E-3</v>
      </c>
      <c r="C5">
        <v>7.1599999999999997E-2</v>
      </c>
      <c r="D5">
        <v>9.11E-3</v>
      </c>
      <c r="E5">
        <v>-2.3E-3</v>
      </c>
      <c r="F5">
        <f>C5*'Données géométriques'!$B$6/(2+('Données géométriques'!$B$6^2+4)^0.5)</f>
        <v>3.9688096099859294E-2</v>
      </c>
      <c r="G5">
        <f>F5^2/(PI()*'Données géométriques'!$B$6)</f>
        <v>1.5665303285520982E-4</v>
      </c>
      <c r="H5">
        <f t="shared" ref="H5:H40" si="1">G5+D5</f>
        <v>9.2666530328552096E-3</v>
      </c>
      <c r="I5">
        <f>0.25-E5/(C5*COS(B5)+D5*SIN(B5))</f>
        <v>0.28208849843585104</v>
      </c>
      <c r="J5">
        <f>XCP_3D('Données géométriques'!$B$9,'Données géométriques'!$B$10,'Données géométriques'!$B$12,'Données géométriques'!$B$11,I5)</f>
        <v>-0.25108229628598999</v>
      </c>
      <c r="K5">
        <f>ZCP_3D('Données géométriques'!$B$9,'Données géométriques'!$B$10,'Données géométriques'!$B$12)+0.23</f>
        <v>1.1514536950961625</v>
      </c>
      <c r="L5">
        <f t="shared" ref="L5:L40" si="2" xml:space="preserve"> -(J5+0.26)</f>
        <v>-8.9177037140100168E-3</v>
      </c>
      <c r="M5">
        <f t="shared" si="0"/>
        <v>0.16200000000000001</v>
      </c>
    </row>
    <row r="6" spans="1:13" x14ac:dyDescent="0.25">
      <c r="A6">
        <v>1</v>
      </c>
      <c r="B6">
        <f t="shared" ref="B6:B42" si="3">RADIANS(A6)</f>
        <v>1.7453292519943295E-2</v>
      </c>
      <c r="C6">
        <v>0.1391</v>
      </c>
      <c r="D6">
        <v>9.2099999999999994E-3</v>
      </c>
      <c r="E6">
        <v>-3.8E-3</v>
      </c>
      <c r="F6">
        <f>C6*'Données géométriques'!$B$6/(2+('Données géométriques'!$B$6^2+4)^0.5)</f>
        <v>7.710354982528532E-2</v>
      </c>
      <c r="G6">
        <f>F6^2/(PI()*'Données géométriques'!$B$6)</f>
        <v>5.9124437608049335E-4</v>
      </c>
      <c r="H6">
        <f t="shared" si="1"/>
        <v>9.801244376080492E-3</v>
      </c>
      <c r="I6">
        <f t="shared" ref="I6:I41" si="4">0.25-E6/(C6*COS(B6)+D6*SIN(B6))</f>
        <v>0.27729109632345089</v>
      </c>
      <c r="J6">
        <f>XCP_3D('Données géométriques'!$B$9,'Données géométriques'!$B$10,'Données géométriques'!$B$12,'Données géométriques'!$B$11,I6)</f>
        <v>-0.24754996693957512</v>
      </c>
      <c r="K6">
        <f t="shared" ref="K6:K40" si="5">$K$4</f>
        <v>1.1514536950961625</v>
      </c>
      <c r="L6">
        <f t="shared" si="2"/>
        <v>-1.2450033060424887E-2</v>
      </c>
      <c r="M6">
        <f t="shared" si="0"/>
        <v>0.16300000000000001</v>
      </c>
    </row>
    <row r="7" spans="1:13" x14ac:dyDescent="0.25">
      <c r="A7">
        <v>1.5</v>
      </c>
      <c r="B7">
        <f t="shared" si="3"/>
        <v>2.6179938779914945E-2</v>
      </c>
      <c r="C7">
        <v>0.20649999999999999</v>
      </c>
      <c r="D7">
        <v>9.4599999999999997E-3</v>
      </c>
      <c r="E7">
        <v>-5.5999999999999999E-3</v>
      </c>
      <c r="F7">
        <f>C7*'Données géométriques'!$B$6/(2+('Données géométriques'!$B$6^2+4)^0.5)</f>
        <v>0.11446357324889588</v>
      </c>
      <c r="G7">
        <f>F7^2/(PI()*'Données géométriques'!$B$6)</f>
        <v>1.3030253796444541E-3</v>
      </c>
      <c r="H7">
        <f t="shared" si="1"/>
        <v>1.0763025379644454E-2</v>
      </c>
      <c r="I7">
        <f t="shared" si="4"/>
        <v>0.27709543626393779</v>
      </c>
      <c r="J7">
        <f>XCP_3D('Données géométriques'!$B$9,'Données géométriques'!$B$10,'Données géométriques'!$B$12,'Données géométriques'!$B$11,I7)</f>
        <v>-0.24740590234920928</v>
      </c>
      <c r="K7">
        <f t="shared" si="5"/>
        <v>1.1514536950961625</v>
      </c>
      <c r="L7">
        <f t="shared" si="2"/>
        <v>-1.2594097650790725E-2</v>
      </c>
      <c r="M7">
        <f t="shared" si="0"/>
        <v>0.16600000000000001</v>
      </c>
    </row>
    <row r="8" spans="1:13" x14ac:dyDescent="0.25">
      <c r="A8">
        <v>2</v>
      </c>
      <c r="B8">
        <f t="shared" si="3"/>
        <v>3.4906585039886591E-2</v>
      </c>
      <c r="C8">
        <v>0.27500000000000002</v>
      </c>
      <c r="D8">
        <v>9.8899999999999995E-3</v>
      </c>
      <c r="E8">
        <v>-8.0000000000000002E-3</v>
      </c>
      <c r="F8">
        <f>C8*'Données géométriques'!$B$6/(2+('Données géométriques'!$B$6^2+4)^0.5)</f>
        <v>0.15243332999247636</v>
      </c>
      <c r="G8">
        <f>F8^2/(PI()*'Données géométriques'!$B$6)</f>
        <v>2.3108840254820479E-3</v>
      </c>
      <c r="H8">
        <f t="shared" si="1"/>
        <v>1.2200884025482047E-2</v>
      </c>
      <c r="I8">
        <f t="shared" si="4"/>
        <v>0.27907213024410604</v>
      </c>
      <c r="J8">
        <f>XCP_3D('Données géométriques'!$B$9,'Données géométriques'!$B$10,'Données géométriques'!$B$12,'Données géométriques'!$B$11,I8)</f>
        <v>-0.2488613430213574</v>
      </c>
      <c r="K8">
        <f t="shared" si="5"/>
        <v>1.1514536950961625</v>
      </c>
      <c r="L8">
        <f t="shared" si="2"/>
        <v>-1.1138656978642608E-2</v>
      </c>
      <c r="M8">
        <f t="shared" si="0"/>
        <v>0.17</v>
      </c>
    </row>
    <row r="9" spans="1:13" x14ac:dyDescent="0.25">
      <c r="A9">
        <v>2.5</v>
      </c>
      <c r="B9">
        <f t="shared" si="3"/>
        <v>4.3633231299858237E-2</v>
      </c>
      <c r="C9">
        <v>0.33189999999999997</v>
      </c>
      <c r="D9">
        <v>1.043E-2</v>
      </c>
      <c r="E9">
        <v>-8.3999999999999995E-3</v>
      </c>
      <c r="F9">
        <f>C9*'Données géométriques'!$B$6/(2+('Données géométriques'!$B$6^2+4)^0.5)</f>
        <v>0.1839731717254651</v>
      </c>
      <c r="G9">
        <f>F9^2/(PI()*'Données géométriques'!$B$6)</f>
        <v>3.3661019667343005E-3</v>
      </c>
      <c r="H9">
        <f t="shared" si="1"/>
        <v>1.37961019667343E-2</v>
      </c>
      <c r="I9">
        <f t="shared" si="4"/>
        <v>0.27529822885197336</v>
      </c>
      <c r="J9">
        <f>XCP_3D('Données géométriques'!$B$9,'Données géométriques'!$B$10,'Données géométriques'!$B$12,'Données géométriques'!$B$11,I9)</f>
        <v>-0.24608261771845893</v>
      </c>
      <c r="K9">
        <f t="shared" si="5"/>
        <v>1.1514536950961625</v>
      </c>
      <c r="L9">
        <f t="shared" si="2"/>
        <v>-1.3917382281541074E-2</v>
      </c>
      <c r="M9">
        <f t="shared" si="0"/>
        <v>0.17499999999999999</v>
      </c>
    </row>
    <row r="10" spans="1:13" x14ac:dyDescent="0.25">
      <c r="A10">
        <v>3</v>
      </c>
      <c r="B10">
        <f t="shared" si="3"/>
        <v>5.235987755982989E-2</v>
      </c>
      <c r="C10">
        <v>0.378</v>
      </c>
      <c r="D10">
        <v>1.11E-2</v>
      </c>
      <c r="E10">
        <v>-6.7000000000000002E-3</v>
      </c>
      <c r="F10">
        <f>C10*'Données géométriques'!$B$6/(2+('Données géométriques'!$B$6^2+4)^0.5)</f>
        <v>0.20952654086238567</v>
      </c>
      <c r="G10">
        <f>F10^2/(PI()*'Données géométriques'!$B$6)</f>
        <v>4.3661269831005208E-3</v>
      </c>
      <c r="H10">
        <f t="shared" si="1"/>
        <v>1.5466126983100521E-2</v>
      </c>
      <c r="I10">
        <f t="shared" si="4"/>
        <v>0.26772191907641801</v>
      </c>
      <c r="J10">
        <f>XCP_3D('Données géométriques'!$B$9,'Données géométriques'!$B$10,'Données géométriques'!$B$12,'Données géométriques'!$B$11,I10)</f>
        <v>-0.24050417740207275</v>
      </c>
      <c r="K10">
        <f t="shared" si="5"/>
        <v>1.1514536950961625</v>
      </c>
      <c r="L10">
        <f t="shared" si="2"/>
        <v>-1.9495822597927259E-2</v>
      </c>
      <c r="M10">
        <f t="shared" si="0"/>
        <v>0.18099999999999999</v>
      </c>
    </row>
    <row r="11" spans="1:13" x14ac:dyDescent="0.25">
      <c r="A11">
        <v>3.5</v>
      </c>
      <c r="B11">
        <f t="shared" si="3"/>
        <v>6.1086523819801536E-2</v>
      </c>
      <c r="C11">
        <v>0.42380000000000001</v>
      </c>
      <c r="D11">
        <v>1.191E-2</v>
      </c>
      <c r="E11">
        <v>-5.1000000000000004E-3</v>
      </c>
      <c r="F11">
        <f>C11*'Données géométriques'!$B$6/(2+('Données géométriques'!$B$6^2+4)^0.5)</f>
        <v>0.23491361909385994</v>
      </c>
      <c r="G11">
        <f>F11^2/(PI()*'Données géométriques'!$B$6)</f>
        <v>5.4882598753018168E-3</v>
      </c>
      <c r="H11">
        <f t="shared" si="1"/>
        <v>1.7398259875301816E-2</v>
      </c>
      <c r="I11">
        <f t="shared" si="4"/>
        <v>0.26203577838523867</v>
      </c>
      <c r="J11">
        <f>XCP_3D('Données géométriques'!$B$9,'Données géométriques'!$B$10,'Données géométriques'!$B$12,'Données géométriques'!$B$11,I11)</f>
        <v>-0.23631746943790477</v>
      </c>
      <c r="K11">
        <f t="shared" si="5"/>
        <v>1.1514536950961625</v>
      </c>
      <c r="L11">
        <f t="shared" si="2"/>
        <v>-2.3682530562095239E-2</v>
      </c>
      <c r="M11">
        <f t="shared" si="0"/>
        <v>0.188</v>
      </c>
    </row>
    <row r="12" spans="1:13" x14ac:dyDescent="0.25">
      <c r="A12">
        <v>4</v>
      </c>
      <c r="B12">
        <f t="shared" si="3"/>
        <v>6.9813170079773182E-2</v>
      </c>
      <c r="C12">
        <v>0.46949999999999997</v>
      </c>
      <c r="D12">
        <v>1.286E-2</v>
      </c>
      <c r="E12">
        <v>-3.7000000000000002E-3</v>
      </c>
      <c r="F12">
        <f>C12*'Données géométriques'!$B$6/(2+('Données géométriques'!$B$6^2+4)^0.5)</f>
        <v>0.26024526702351869</v>
      </c>
      <c r="G12">
        <f>F12^2/(PI()*'Données géométriques'!$B$6)</f>
        <v>6.7357189217588627E-3</v>
      </c>
      <c r="H12">
        <f t="shared" si="1"/>
        <v>1.9595718921758862E-2</v>
      </c>
      <c r="I12">
        <f t="shared" si="4"/>
        <v>0.25788486578900999</v>
      </c>
      <c r="J12">
        <f>XCP_3D('Données géométriques'!$B$9,'Données géométriques'!$B$10,'Données géométriques'!$B$12,'Données géométriques'!$B$11,I12)</f>
        <v>-0.233261150614815</v>
      </c>
      <c r="K12">
        <f t="shared" si="5"/>
        <v>1.1514536950961625</v>
      </c>
      <c r="L12">
        <f t="shared" si="2"/>
        <v>-2.6738849385185004E-2</v>
      </c>
      <c r="M12">
        <f t="shared" si="0"/>
        <v>0.19500000000000001</v>
      </c>
    </row>
    <row r="13" spans="1:13" x14ac:dyDescent="0.25">
      <c r="A13">
        <v>4.5</v>
      </c>
      <c r="B13">
        <f t="shared" si="3"/>
        <v>7.8539816339744828E-2</v>
      </c>
      <c r="C13">
        <v>0.5151</v>
      </c>
      <c r="D13">
        <v>1.3860000000000001E-2</v>
      </c>
      <c r="E13">
        <v>-2.0999999999999999E-3</v>
      </c>
      <c r="F13">
        <f>C13*'Données géométriques'!$B$6/(2+('Données géométriques'!$B$6^2+4)^0.5)</f>
        <v>0.28552148465136207</v>
      </c>
      <c r="G13">
        <f>F13^2/(PI()*'Données géométriques'!$B$6)</f>
        <v>8.1076662455793862E-3</v>
      </c>
      <c r="H13">
        <f t="shared" si="1"/>
        <v>2.1967666245579387E-2</v>
      </c>
      <c r="I13">
        <f t="shared" si="4"/>
        <v>0.25408084296297084</v>
      </c>
      <c r="J13">
        <f>XCP_3D('Données géométriques'!$B$9,'Données géométriques'!$B$10,'Données géométriques'!$B$12,'Données géométriques'!$B$11,I13)</f>
        <v>-0.23046024688649788</v>
      </c>
      <c r="K13">
        <f t="shared" si="5"/>
        <v>1.1514536950961625</v>
      </c>
      <c r="L13">
        <f t="shared" si="2"/>
        <v>-2.9539753113502126E-2</v>
      </c>
      <c r="M13">
        <f t="shared" si="0"/>
        <v>0.20300000000000001</v>
      </c>
    </row>
    <row r="14" spans="1:13" x14ac:dyDescent="0.25">
      <c r="A14">
        <v>5</v>
      </c>
      <c r="B14">
        <f t="shared" si="3"/>
        <v>8.7266462599716474E-2</v>
      </c>
      <c r="C14">
        <v>0.5615</v>
      </c>
      <c r="D14">
        <v>1.482E-2</v>
      </c>
      <c r="E14">
        <v>-5.9999999999999995E-4</v>
      </c>
      <c r="F14">
        <f>C14*'Données géométriques'!$B$6/(2+('Données géométriques'!$B$6^2+4)^0.5)</f>
        <v>0.31124114469372899</v>
      </c>
      <c r="G14">
        <f>F14^2/(PI()*'Données géométriques'!$B$6)</f>
        <v>9.6341251575938827E-3</v>
      </c>
      <c r="H14">
        <f t="shared" si="1"/>
        <v>2.4454125157593883E-2</v>
      </c>
      <c r="I14">
        <f t="shared" si="4"/>
        <v>0.2510701769019148</v>
      </c>
      <c r="J14">
        <f>XCP_3D('Données géométriques'!$B$9,'Données géométriques'!$B$10,'Données géométriques'!$B$12,'Données géométriques'!$B$11,I14)</f>
        <v>-0.22824349210327277</v>
      </c>
      <c r="K14">
        <f t="shared" si="5"/>
        <v>1.1514536950961625</v>
      </c>
      <c r="L14">
        <f t="shared" si="2"/>
        <v>-3.1756507896727237E-2</v>
      </c>
      <c r="M14">
        <f t="shared" si="0"/>
        <v>0.21199999999999999</v>
      </c>
    </row>
    <row r="15" spans="1:13" x14ac:dyDescent="0.25">
      <c r="A15">
        <v>5.5</v>
      </c>
      <c r="B15">
        <f t="shared" si="3"/>
        <v>9.599310885968812E-2</v>
      </c>
      <c r="C15">
        <v>0.6079</v>
      </c>
      <c r="D15">
        <v>1.5869999999999999E-2</v>
      </c>
      <c r="E15">
        <v>8.9999999999999998E-4</v>
      </c>
      <c r="F15">
        <f>C15*'Données géométriques'!$B$6/(2+('Données géométriques'!$B$6^2+4)^0.5)</f>
        <v>0.33696080473609591</v>
      </c>
      <c r="G15">
        <f>F15^2/(PI()*'Données géométriques'!$B$6)</f>
        <v>1.1292160687697684E-2</v>
      </c>
      <c r="H15">
        <f t="shared" si="1"/>
        <v>2.7162160687697681E-2</v>
      </c>
      <c r="I15">
        <f t="shared" si="4"/>
        <v>0.24851637531234366</v>
      </c>
      <c r="J15">
        <f>XCP_3D('Données géométriques'!$B$9,'Données géométriques'!$B$10,'Données géométriques'!$B$12,'Données géométriques'!$B$11,I15)</f>
        <v>-0.22636312683715454</v>
      </c>
      <c r="K15">
        <f t="shared" si="5"/>
        <v>1.1514536950961625</v>
      </c>
      <c r="L15">
        <f t="shared" si="2"/>
        <v>-3.3636873162845471E-2</v>
      </c>
      <c r="M15">
        <f t="shared" si="0"/>
        <v>0.222</v>
      </c>
    </row>
    <row r="16" spans="1:13" x14ac:dyDescent="0.25">
      <c r="A16">
        <v>6</v>
      </c>
      <c r="B16">
        <f t="shared" si="3"/>
        <v>0.10471975511965978</v>
      </c>
      <c r="C16">
        <v>0.65410000000000001</v>
      </c>
      <c r="D16">
        <v>1.704E-2</v>
      </c>
      <c r="E16">
        <v>2.5000000000000001E-3</v>
      </c>
      <c r="F16">
        <f>C16*'Données géométriques'!$B$6/(2+('Données géométriques'!$B$6^2+4)^0.5)</f>
        <v>0.36256960417483192</v>
      </c>
      <c r="G16">
        <f>F16^2/(PI()*'Données géométriques'!$B$6)</f>
        <v>1.3073776642412598E-2</v>
      </c>
      <c r="H16">
        <f t="shared" si="1"/>
        <v>3.0113776642412597E-2</v>
      </c>
      <c r="I16">
        <f t="shared" si="4"/>
        <v>0.24616739551199229</v>
      </c>
      <c r="J16">
        <f>XCP_3D('Données géométriques'!$B$9,'Données géométriques'!$B$10,'Données géométriques'!$B$12,'Données géométriques'!$B$11,I16)</f>
        <v>-0.22463357194712971</v>
      </c>
      <c r="K16">
        <f t="shared" si="5"/>
        <v>1.1514536950961625</v>
      </c>
      <c r="L16">
        <f t="shared" si="2"/>
        <v>-3.5366428052870297E-2</v>
      </c>
      <c r="M16">
        <f t="shared" si="0"/>
        <v>0.23300000000000001</v>
      </c>
    </row>
    <row r="17" spans="1:13" x14ac:dyDescent="0.25">
      <c r="A17">
        <v>6.5</v>
      </c>
      <c r="B17">
        <f t="shared" si="3"/>
        <v>0.11344640137963143</v>
      </c>
      <c r="C17">
        <v>0.69940000000000002</v>
      </c>
      <c r="D17">
        <v>1.8429999999999998E-2</v>
      </c>
      <c r="E17">
        <v>4.1000000000000003E-3</v>
      </c>
      <c r="F17">
        <f>C17*'Données géométriques'!$B$6/(2+('Données géométriques'!$B$6^2+4)^0.5)</f>
        <v>0.38767953089722901</v>
      </c>
      <c r="G17">
        <f>F17^2/(PI()*'Données géométriques'!$B$6)</f>
        <v>1.4947343627412206E-2</v>
      </c>
      <c r="H17">
        <f t="shared" si="1"/>
        <v>3.3377343627412202E-2</v>
      </c>
      <c r="I17">
        <f t="shared" si="4"/>
        <v>0.24411756680698979</v>
      </c>
      <c r="J17">
        <f>XCP_3D('Données géométriques'!$B$9,'Données géométriques'!$B$10,'Données géométriques'!$B$12,'Données géométriques'!$B$11,I17)</f>
        <v>-0.22312428214398916</v>
      </c>
      <c r="K17">
        <f t="shared" si="5"/>
        <v>1.1514536950961625</v>
      </c>
      <c r="L17">
        <f t="shared" si="2"/>
        <v>-3.6875717856010848E-2</v>
      </c>
      <c r="M17">
        <f t="shared" si="0"/>
        <v>0.24399999999999999</v>
      </c>
    </row>
    <row r="18" spans="1:13" x14ac:dyDescent="0.25">
      <c r="A18">
        <v>7</v>
      </c>
      <c r="B18">
        <f t="shared" si="3"/>
        <v>0.12217304763960307</v>
      </c>
      <c r="C18">
        <v>0.745</v>
      </c>
      <c r="D18">
        <v>1.9810000000000001E-2</v>
      </c>
      <c r="E18">
        <v>5.5999999999999999E-3</v>
      </c>
      <c r="F18">
        <f>C18*'Données géométriques'!$B$6/(2+('Données géométriques'!$B$6^2+4)^0.5)</f>
        <v>0.41295574852507233</v>
      </c>
      <c r="G18">
        <f>F18^2/(PI()*'Données géométriques'!$B$6)</f>
        <v>1.6959978925529567E-2</v>
      </c>
      <c r="H18">
        <f t="shared" si="1"/>
        <v>3.6769978925529564E-2</v>
      </c>
      <c r="I18">
        <f t="shared" si="4"/>
        <v>0.2424514172676055</v>
      </c>
      <c r="J18">
        <f>XCP_3D('Données géométriques'!$B$9,'Données géométriques'!$B$10,'Données géométriques'!$B$12,'Données géométriques'!$B$11,I18)</f>
        <v>-0.22189749548412854</v>
      </c>
      <c r="K18">
        <f t="shared" si="5"/>
        <v>1.1514536950961625</v>
      </c>
      <c r="L18">
        <f t="shared" si="2"/>
        <v>-3.8102504515871466E-2</v>
      </c>
      <c r="M18">
        <f t="shared" si="0"/>
        <v>0.255</v>
      </c>
    </row>
    <row r="19" spans="1:13" x14ac:dyDescent="0.25">
      <c r="A19">
        <v>7.5</v>
      </c>
      <c r="B19">
        <f t="shared" si="3"/>
        <v>0.1308996938995747</v>
      </c>
      <c r="C19">
        <v>0.78820000000000001</v>
      </c>
      <c r="D19">
        <v>2.1739999999999999E-2</v>
      </c>
      <c r="E19">
        <v>7.3000000000000001E-3</v>
      </c>
      <c r="F19">
        <f>C19*'Données géométriques'!$B$6/(2+('Données géométriques'!$B$6^2+4)^0.5)</f>
        <v>0.43690163890934491</v>
      </c>
      <c r="G19">
        <f>F19^2/(PI()*'Données géométriques'!$B$6)</f>
        <v>1.898390814412056E-2</v>
      </c>
      <c r="H19">
        <f t="shared" si="1"/>
        <v>4.0723908144120559E-2</v>
      </c>
      <c r="I19">
        <f t="shared" si="4"/>
        <v>0.24069227159691711</v>
      </c>
      <c r="J19">
        <f>XCP_3D('Données géométriques'!$B$9,'Données géométriques'!$B$10,'Données géométriques'!$B$12,'Données géométriques'!$B$11,I19)</f>
        <v>-0.22060223573070389</v>
      </c>
      <c r="K19">
        <f t="shared" si="5"/>
        <v>1.1514536950961625</v>
      </c>
      <c r="L19">
        <f t="shared" si="2"/>
        <v>-3.9397764269296115E-2</v>
      </c>
      <c r="M19">
        <f t="shared" si="0"/>
        <v>0.26700000000000002</v>
      </c>
    </row>
    <row r="20" spans="1:13" x14ac:dyDescent="0.25">
      <c r="A20">
        <v>8</v>
      </c>
      <c r="B20">
        <f t="shared" si="3"/>
        <v>0.13962634015954636</v>
      </c>
      <c r="C20">
        <v>0.83169999999999999</v>
      </c>
      <c r="D20">
        <v>2.3630000000000002E-2</v>
      </c>
      <c r="E20">
        <v>8.8999999999999999E-3</v>
      </c>
      <c r="F20">
        <f>C20*'Données géométriques'!$B$6/(2+('Données géométriques'!$B$6^2+4)^0.5)</f>
        <v>0.46101382019906395</v>
      </c>
      <c r="G20">
        <f>F20^2/(PI()*'Données géométriques'!$B$6)</f>
        <v>2.1137137167991097E-2</v>
      </c>
      <c r="H20">
        <f t="shared" si="1"/>
        <v>4.4767137167991099E-2</v>
      </c>
      <c r="I20">
        <f t="shared" si="4"/>
        <v>0.2392368388202252</v>
      </c>
      <c r="J20">
        <f>XCP_3D('Données géométriques'!$B$9,'Données géométriques'!$B$10,'Données géométriques'!$B$12,'Données géométriques'!$B$11,I20)</f>
        <v>-0.21953059991857166</v>
      </c>
      <c r="K20">
        <f t="shared" si="5"/>
        <v>1.1514536950961625</v>
      </c>
      <c r="L20">
        <f t="shared" si="2"/>
        <v>-4.0469400081428353E-2</v>
      </c>
      <c r="M20">
        <f t="shared" si="0"/>
        <v>0.28000000000000003</v>
      </c>
    </row>
    <row r="21" spans="1:13" x14ac:dyDescent="0.25">
      <c r="A21">
        <v>8.5</v>
      </c>
      <c r="B21">
        <f t="shared" si="3"/>
        <v>0.14835298641951802</v>
      </c>
      <c r="C21">
        <v>0.87260000000000004</v>
      </c>
      <c r="D21">
        <v>2.6040000000000001E-2</v>
      </c>
      <c r="E21">
        <v>1.06E-2</v>
      </c>
      <c r="F21">
        <f>C21*'Données géométriques'!$B$6/(2+('Données géométriques'!$B$6^2+4)^0.5)</f>
        <v>0.48368481364158133</v>
      </c>
      <c r="G21">
        <f>F21^2/(PI()*'Données géométriques'!$B$6)</f>
        <v>2.3267149484887999E-2</v>
      </c>
      <c r="H21">
        <f t="shared" si="1"/>
        <v>4.9307149484887999E-2</v>
      </c>
      <c r="I21">
        <f t="shared" si="4"/>
        <v>0.23777201780059248</v>
      </c>
      <c r="J21">
        <f>XCP_3D('Données géométriques'!$B$9,'Données géométriques'!$B$10,'Données géométriques'!$B$12,'Données géométriques'!$B$11,I21)</f>
        <v>-0.21845205153891359</v>
      </c>
      <c r="K21">
        <f t="shared" si="5"/>
        <v>1.1514536950961625</v>
      </c>
      <c r="L21">
        <f t="shared" si="2"/>
        <v>-4.154794846108642E-2</v>
      </c>
      <c r="M21">
        <f t="shared" si="0"/>
        <v>0.29299999999999998</v>
      </c>
    </row>
    <row r="22" spans="1:13" x14ac:dyDescent="0.25">
      <c r="A22">
        <v>9</v>
      </c>
      <c r="B22">
        <f t="shared" si="3"/>
        <v>0.15707963267948966</v>
      </c>
      <c r="C22">
        <v>0.91059999999999997</v>
      </c>
      <c r="D22">
        <v>2.9219999999999999E-2</v>
      </c>
      <c r="E22">
        <v>1.2699999999999999E-2</v>
      </c>
      <c r="F22">
        <f>C22*'Données géométriques'!$B$6/(2+('Données géométriques'!$B$6^2+4)^0.5)</f>
        <v>0.50474832833145078</v>
      </c>
      <c r="G22">
        <f>F22^2/(PI()*'Données géométriques'!$B$6)</f>
        <v>2.5337750463150531E-2</v>
      </c>
      <c r="H22">
        <f t="shared" si="1"/>
        <v>5.4557750463150534E-2</v>
      </c>
      <c r="I22">
        <f t="shared" si="4"/>
        <v>0.23595070606342064</v>
      </c>
      <c r="J22">
        <f>XCP_3D('Données géométriques'!$B$9,'Données géométriques'!$B$10,'Données géométriques'!$B$12,'Données géométriques'!$B$11,I22)</f>
        <v>-0.21711101888260287</v>
      </c>
      <c r="K22">
        <f t="shared" si="5"/>
        <v>1.1514536950961625</v>
      </c>
      <c r="L22">
        <f t="shared" si="2"/>
        <v>-4.288898111739714E-2</v>
      </c>
      <c r="M22">
        <f t="shared" si="0"/>
        <v>0.30599999999999999</v>
      </c>
    </row>
    <row r="23" spans="1:13" x14ac:dyDescent="0.25">
      <c r="A23">
        <v>9.5</v>
      </c>
      <c r="B23">
        <f t="shared" si="3"/>
        <v>0.16580627893946132</v>
      </c>
      <c r="C23">
        <v>0.94530000000000003</v>
      </c>
      <c r="D23">
        <v>3.2250000000000001E-2</v>
      </c>
      <c r="E23">
        <v>1.46E-2</v>
      </c>
      <c r="F23">
        <f>C23*'Données géométriques'!$B$6/(2+('Données géométriques'!$B$6^2+4)^0.5)</f>
        <v>0.52398264306141051</v>
      </c>
      <c r="G23">
        <f>F23^2/(PI()*'Données géométriques'!$B$6)</f>
        <v>2.7305622295247817E-2</v>
      </c>
      <c r="H23">
        <f t="shared" si="1"/>
        <v>5.9555622295247815E-2</v>
      </c>
      <c r="I23">
        <f t="shared" si="4"/>
        <v>0.23442930022294683</v>
      </c>
      <c r="J23">
        <f>XCP_3D('Données géométriques'!$B$9,'Données géométriques'!$B$10,'Données géométriques'!$B$12,'Données géométriques'!$B$11,I23)</f>
        <v>-0.21599080707375332</v>
      </c>
      <c r="K23">
        <f t="shared" si="5"/>
        <v>1.1514536950961625</v>
      </c>
      <c r="L23">
        <f t="shared" si="2"/>
        <v>-4.4009192926246693E-2</v>
      </c>
      <c r="M23">
        <f t="shared" si="0"/>
        <v>0.32</v>
      </c>
    </row>
    <row r="24" spans="1:13" x14ac:dyDescent="0.25">
      <c r="A24">
        <v>10</v>
      </c>
      <c r="B24">
        <f t="shared" si="3"/>
        <v>0.17453292519943295</v>
      </c>
      <c r="C24">
        <v>0.97260000000000002</v>
      </c>
      <c r="D24">
        <v>3.5990000000000001E-2</v>
      </c>
      <c r="E24">
        <v>1.6799999999999999E-2</v>
      </c>
      <c r="F24">
        <f>C24*'Données géométriques'!$B$6/(2+('Données géométriques'!$B$6^2+4)^0.5)</f>
        <v>0.53911511545702728</v>
      </c>
      <c r="G24">
        <f>F24^2/(PI()*'Données géométriques'!$B$6)</f>
        <v>2.8905553721343503E-2</v>
      </c>
      <c r="H24">
        <f t="shared" si="1"/>
        <v>6.4895553721343507E-2</v>
      </c>
      <c r="I24">
        <f t="shared" si="4"/>
        <v>0.23257394489619448</v>
      </c>
      <c r="J24">
        <f>XCP_3D('Données géométriques'!$B$9,'Données géométriques'!$B$10,'Données géométriques'!$B$12,'Données géométriques'!$B$11,I24)</f>
        <v>-0.21462470810702822</v>
      </c>
      <c r="K24">
        <f t="shared" si="5"/>
        <v>1.1514536950961625</v>
      </c>
      <c r="L24">
        <f t="shared" si="2"/>
        <v>-4.5375291892971792E-2</v>
      </c>
      <c r="M24">
        <f t="shared" si="0"/>
        <v>0.33400000000000002</v>
      </c>
    </row>
    <row r="25" spans="1:13" x14ac:dyDescent="0.25">
      <c r="A25">
        <v>10.5</v>
      </c>
      <c r="B25">
        <f t="shared" si="3"/>
        <v>0.18325957145940461</v>
      </c>
      <c r="C25">
        <v>0.98040000000000005</v>
      </c>
      <c r="D25">
        <v>4.224E-2</v>
      </c>
      <c r="E25">
        <v>1.9900000000000001E-2</v>
      </c>
      <c r="F25">
        <f>C25*'Données géométriques'!$B$6/(2+('Données géométriques'!$B$6^2+4)^0.5)</f>
        <v>0.54343867899863207</v>
      </c>
      <c r="G25">
        <f>F25^2/(PI()*'Données géométriques'!$B$6)</f>
        <v>2.9371042920864537E-2</v>
      </c>
      <c r="H25">
        <f t="shared" si="1"/>
        <v>7.1611042920864537E-2</v>
      </c>
      <c r="I25">
        <f t="shared" si="4"/>
        <v>0.22952002218283815</v>
      </c>
      <c r="J25">
        <f>XCP_3D('Données géométriques'!$B$9,'Données géométriques'!$B$10,'Données géométriques'!$B$12,'Données géométriques'!$B$11,I25)</f>
        <v>-0.2123761034311363</v>
      </c>
      <c r="K25">
        <f t="shared" si="5"/>
        <v>1.1514536950961625</v>
      </c>
      <c r="L25">
        <f t="shared" si="2"/>
        <v>-4.7623896568863705E-2</v>
      </c>
      <c r="M25">
        <f t="shared" si="0"/>
        <v>0.34799999999999998</v>
      </c>
    </row>
    <row r="26" spans="1:13" x14ac:dyDescent="0.25">
      <c r="A26">
        <v>11</v>
      </c>
      <c r="B26">
        <f t="shared" si="3"/>
        <v>0.19198621771937624</v>
      </c>
      <c r="C26">
        <v>0.9617</v>
      </c>
      <c r="D26">
        <v>4.9630000000000001E-2</v>
      </c>
      <c r="E26">
        <v>2.3199999999999998E-2</v>
      </c>
      <c r="F26">
        <f>C26*'Données géométriques'!$B$6/(2+('Données géométriques'!$B$6^2+4)^0.5)</f>
        <v>0.53307321255914375</v>
      </c>
      <c r="G26">
        <f>F26^2/(PI()*'Données géométriques'!$B$6)</f>
        <v>2.8261290866753885E-2</v>
      </c>
      <c r="H26">
        <f t="shared" si="1"/>
        <v>7.7891290866753893E-2</v>
      </c>
      <c r="I26">
        <f t="shared" si="4"/>
        <v>0.22566860759569557</v>
      </c>
      <c r="J26">
        <f>XCP_3D('Données géométriques'!$B$9,'Données géométriques'!$B$10,'Données géométriques'!$B$12,'Données géométriques'!$B$11,I26)</f>
        <v>-0.20954030512767324</v>
      </c>
      <c r="K26">
        <f t="shared" si="5"/>
        <v>1.1514536950961625</v>
      </c>
      <c r="L26">
        <f t="shared" si="2"/>
        <v>-5.0459694872326766E-2</v>
      </c>
      <c r="M26">
        <f t="shared" si="0"/>
        <v>0.36299999999999999</v>
      </c>
    </row>
    <row r="27" spans="1:13" x14ac:dyDescent="0.25">
      <c r="A27">
        <v>11.5</v>
      </c>
      <c r="B27">
        <f t="shared" si="3"/>
        <v>0.2007128639793479</v>
      </c>
      <c r="C27">
        <v>0.91800000000000004</v>
      </c>
      <c r="D27">
        <v>6.0600000000000001E-2</v>
      </c>
      <c r="E27">
        <v>1.9400000000000001E-2</v>
      </c>
      <c r="F27">
        <f>C27*'Données géométriques'!$B$6/(2+('Données géométriques'!$B$6^2+4)^0.5)</f>
        <v>0.50885017066579374</v>
      </c>
      <c r="G27">
        <f>F27^2/(PI()*'Données géométriques'!$B$6)</f>
        <v>2.5751238737062251E-2</v>
      </c>
      <c r="H27">
        <f t="shared" si="1"/>
        <v>8.6351238737062255E-2</v>
      </c>
      <c r="I27">
        <f t="shared" si="4"/>
        <v>0.22871996359381383</v>
      </c>
      <c r="J27">
        <f>XCP_3D('Données géométriques'!$B$9,'Données géométriques'!$B$10,'Données géométriques'!$B$12,'Données géométriques'!$B$11,I27)</f>
        <v>-0.21178701992997245</v>
      </c>
      <c r="K27">
        <f t="shared" si="5"/>
        <v>1.1514536950961625</v>
      </c>
      <c r="L27">
        <f t="shared" si="2"/>
        <v>-4.8212980070027556E-2</v>
      </c>
      <c r="M27">
        <f t="shared" si="0"/>
        <v>0.377</v>
      </c>
    </row>
    <row r="28" spans="1:13" x14ac:dyDescent="0.25">
      <c r="A28">
        <v>12.5</v>
      </c>
      <c r="B28">
        <f t="shared" si="3"/>
        <v>0.21816615649929119</v>
      </c>
      <c r="C28">
        <v>0.75419999999999998</v>
      </c>
      <c r="D28">
        <v>0.12143</v>
      </c>
      <c r="E28">
        <v>-2.01E-2</v>
      </c>
      <c r="F28">
        <f>C28*'Données géométriques'!$B$6/(2+('Données géométriques'!$B$6^2+4)^0.5)</f>
        <v>0.41805533629209329</v>
      </c>
      <c r="G28">
        <f>F28^2/(PI()*'Données géométriques'!$B$6)</f>
        <v>1.7381442614061462E-2</v>
      </c>
      <c r="H28">
        <f t="shared" si="1"/>
        <v>0.13881144261406145</v>
      </c>
      <c r="I28">
        <f t="shared" si="4"/>
        <v>0.276357036237729</v>
      </c>
      <c r="J28">
        <f>XCP_3D('Données géométriques'!$B$9,'Données géométriques'!$B$10,'Données géométriques'!$B$12,'Données géométriques'!$B$11,I28)</f>
        <v>-0.24686221807575151</v>
      </c>
      <c r="K28">
        <f t="shared" si="5"/>
        <v>1.1514536950961625</v>
      </c>
      <c r="L28">
        <f t="shared" si="2"/>
        <v>-1.3137781924248498E-2</v>
      </c>
      <c r="M28">
        <f t="shared" si="0"/>
        <v>0.40699999999999997</v>
      </c>
    </row>
    <row r="29" spans="1:13" x14ac:dyDescent="0.25">
      <c r="A29">
        <v>13</v>
      </c>
      <c r="B29">
        <f t="shared" si="3"/>
        <v>0.22689280275926285</v>
      </c>
      <c r="C29">
        <v>0.7369</v>
      </c>
      <c r="D29">
        <v>0.13608000000000001</v>
      </c>
      <c r="E29">
        <v>-2.64E-2</v>
      </c>
      <c r="F29">
        <f>C29*'Données géométriques'!$B$6/(2+('Données géométriques'!$B$6^2+4)^0.5)</f>
        <v>0.40846589407802114</v>
      </c>
      <c r="G29">
        <f>F29^2/(PI()*'Données géométriques'!$B$6)</f>
        <v>1.6593189607147667E-2</v>
      </c>
      <c r="H29">
        <f t="shared" si="1"/>
        <v>0.15267318960714768</v>
      </c>
      <c r="I29">
        <f t="shared" si="4"/>
        <v>0.28526466880973306</v>
      </c>
      <c r="J29">
        <f>XCP_3D('Données géométriques'!$B$9,'Données géométriques'!$B$10,'Données géométriques'!$B$12,'Données géométriques'!$B$11,I29)</f>
        <v>-0.25342091196965089</v>
      </c>
      <c r="K29">
        <f t="shared" si="5"/>
        <v>1.1514536950961625</v>
      </c>
      <c r="L29">
        <f t="shared" si="2"/>
        <v>-6.5790880303491228E-3</v>
      </c>
      <c r="M29">
        <f t="shared" si="0"/>
        <v>0.42199999999999999</v>
      </c>
    </row>
    <row r="30" spans="1:13" x14ac:dyDescent="0.25">
      <c r="A30">
        <v>13.5</v>
      </c>
      <c r="B30">
        <f t="shared" si="3"/>
        <v>0.23561944901923448</v>
      </c>
      <c r="C30">
        <v>0.73119999999999996</v>
      </c>
      <c r="D30">
        <v>0.14817</v>
      </c>
      <c r="E30">
        <v>-3.15E-2</v>
      </c>
      <c r="F30">
        <f>C30*'Données géométriques'!$B$6/(2+('Données géométriques'!$B$6^2+4)^0.5)</f>
        <v>0.4053063668745408</v>
      </c>
      <c r="G30">
        <f>F30^2/(PI()*'Données géométriques'!$B$6)</f>
        <v>1.6337482230281319E-2</v>
      </c>
      <c r="H30">
        <f t="shared" si="1"/>
        <v>0.1645074822302813</v>
      </c>
      <c r="I30">
        <f t="shared" si="4"/>
        <v>0.29224861986990569</v>
      </c>
      <c r="J30">
        <f>XCP_3D('Données géométriques'!$B$9,'Données géométriques'!$B$10,'Données géométriques'!$B$12,'Données géométriques'!$B$11,I30)</f>
        <v>-0.2585631982958273</v>
      </c>
      <c r="K30">
        <f t="shared" si="5"/>
        <v>1.1514536950961625</v>
      </c>
      <c r="L30">
        <f t="shared" si="2"/>
        <v>-1.4368017041727077E-3</v>
      </c>
      <c r="M30">
        <f t="shared" si="0"/>
        <v>0.437</v>
      </c>
    </row>
    <row r="31" spans="1:13" x14ac:dyDescent="0.25">
      <c r="A31">
        <v>14</v>
      </c>
      <c r="B31">
        <f t="shared" si="3"/>
        <v>0.24434609527920614</v>
      </c>
      <c r="C31">
        <v>0.73180000000000001</v>
      </c>
      <c r="D31">
        <v>0.15887000000000001</v>
      </c>
      <c r="E31">
        <v>-3.5999999999999997E-2</v>
      </c>
      <c r="F31">
        <f>C31*'Données géométriques'!$B$6/(2+('Données géométriques'!$B$6^2+4)^0.5)</f>
        <v>0.40563894868543343</v>
      </c>
      <c r="G31">
        <f>F31^2/(PI()*'Données géométriques'!$B$6)</f>
        <v>1.6364305291406183E-2</v>
      </c>
      <c r="H31">
        <f t="shared" si="1"/>
        <v>0.17523430529140618</v>
      </c>
      <c r="I31">
        <f t="shared" si="4"/>
        <v>0.29809641445444884</v>
      </c>
      <c r="J31">
        <f>XCP_3D('Données géométriques'!$B$9,'Données géométriques'!$B$10,'Données géométriques'!$B$12,'Données géométriques'!$B$11,I31)</f>
        <v>-0.26286893209483492</v>
      </c>
      <c r="K31">
        <f t="shared" si="5"/>
        <v>1.1514536950961625</v>
      </c>
      <c r="L31">
        <f t="shared" si="2"/>
        <v>2.8689320948349084E-3</v>
      </c>
      <c r="M31">
        <f t="shared" si="0"/>
        <v>0.45100000000000001</v>
      </c>
    </row>
    <row r="32" spans="1:13" x14ac:dyDescent="0.25">
      <c r="A32">
        <v>14.5</v>
      </c>
      <c r="B32">
        <f t="shared" si="3"/>
        <v>0.2530727415391778</v>
      </c>
      <c r="C32">
        <v>0.73580000000000001</v>
      </c>
      <c r="D32">
        <v>0.16891999999999999</v>
      </c>
      <c r="E32">
        <v>-4.0500000000000001E-2</v>
      </c>
      <c r="F32">
        <f>C32*'Données géométriques'!$B$6/(2+('Données géométriques'!$B$6^2+4)^0.5)</f>
        <v>0.40785616075805126</v>
      </c>
      <c r="G32">
        <f>F32^2/(PI()*'Données géométriques'!$B$6)</f>
        <v>1.654368795035745E-2</v>
      </c>
      <c r="H32">
        <f t="shared" si="1"/>
        <v>0.18546368795035745</v>
      </c>
      <c r="I32">
        <f t="shared" si="4"/>
        <v>0.30366674923126458</v>
      </c>
      <c r="J32">
        <f>XCP_3D('Données géométriques'!$B$9,'Données géométriques'!$B$10,'Données géométriques'!$B$12,'Données géométriques'!$B$11,I32)</f>
        <v>-0.26697037211184932</v>
      </c>
      <c r="K32">
        <f t="shared" si="5"/>
        <v>1.1514536950961625</v>
      </c>
      <c r="L32">
        <f t="shared" si="2"/>
        <v>6.97037211184931E-3</v>
      </c>
      <c r="M32">
        <f t="shared" si="0"/>
        <v>0.46600000000000003</v>
      </c>
    </row>
    <row r="33" spans="1:13" x14ac:dyDescent="0.25">
      <c r="A33">
        <v>15</v>
      </c>
      <c r="B33">
        <f t="shared" si="3"/>
        <v>0.26179938779914941</v>
      </c>
      <c r="C33">
        <v>0.74260000000000004</v>
      </c>
      <c r="D33">
        <v>0.17818000000000001</v>
      </c>
      <c r="E33">
        <v>-4.4999999999999998E-2</v>
      </c>
      <c r="F33">
        <f>C33*'Données géométriques'!$B$6/(2+('Données géométriques'!$B$6^2+4)^0.5)</f>
        <v>0.41162542128150159</v>
      </c>
      <c r="G33">
        <f>F33^2/(PI()*'Données géométriques'!$B$6)</f>
        <v>1.6850882587240153E-2</v>
      </c>
      <c r="H33">
        <f t="shared" si="1"/>
        <v>0.19503088258724016</v>
      </c>
      <c r="I33">
        <f t="shared" si="4"/>
        <v>0.3089458211045783</v>
      </c>
      <c r="J33">
        <f>XCP_3D('Données géométriques'!$B$9,'Données géométriques'!$B$10,'Données géométriques'!$B$12,'Données géométriques'!$B$11,I33)</f>
        <v>-0.27085735512120218</v>
      </c>
      <c r="K33">
        <f t="shared" si="5"/>
        <v>1.1514536950961625</v>
      </c>
      <c r="L33">
        <f t="shared" si="2"/>
        <v>1.0857355121202172E-2</v>
      </c>
      <c r="M33">
        <f t="shared" si="0"/>
        <v>0.48</v>
      </c>
    </row>
    <row r="34" spans="1:13" x14ac:dyDescent="0.25">
      <c r="A34">
        <v>15.5</v>
      </c>
      <c r="B34">
        <f t="shared" si="3"/>
        <v>0.27052603405912107</v>
      </c>
      <c r="C34">
        <v>0.75239999999999996</v>
      </c>
      <c r="D34">
        <v>0.18664</v>
      </c>
      <c r="E34">
        <v>-4.9099999999999998E-2</v>
      </c>
      <c r="F34">
        <f>C34*'Données géométriques'!$B$6/(2+('Données géométriques'!$B$6^2+4)^0.5)</f>
        <v>0.41705759085941529</v>
      </c>
      <c r="G34">
        <f>F34^2/(PI()*'Données géométriques'!$B$6)</f>
        <v>1.7298575306014863E-2</v>
      </c>
      <c r="H34">
        <f t="shared" si="1"/>
        <v>0.20393857530601486</v>
      </c>
      <c r="I34">
        <f t="shared" si="4"/>
        <v>0.31336195785442589</v>
      </c>
      <c r="J34">
        <f>XCP_3D('Données géométriques'!$B$9,'Données géométriques'!$B$10,'Données géométriques'!$B$12,'Données géométriques'!$B$11,I34)</f>
        <v>-0.27410895860862883</v>
      </c>
      <c r="K34">
        <f t="shared" si="5"/>
        <v>1.1514536950961625</v>
      </c>
      <c r="L34">
        <f t="shared" si="2"/>
        <v>1.4108958608628819E-2</v>
      </c>
      <c r="M34">
        <f t="shared" si="0"/>
        <v>0.495</v>
      </c>
    </row>
    <row r="35" spans="1:13" x14ac:dyDescent="0.25">
      <c r="A35">
        <v>16</v>
      </c>
      <c r="B35">
        <f t="shared" si="3"/>
        <v>0.27925268031909273</v>
      </c>
      <c r="C35">
        <v>0.7631</v>
      </c>
      <c r="D35">
        <v>0.19534000000000001</v>
      </c>
      <c r="E35">
        <v>-5.33E-2</v>
      </c>
      <c r="F35">
        <f>C35*'Données géométriques'!$B$6/(2+('Données géométriques'!$B$6^2+4)^0.5)</f>
        <v>0.42298863315366803</v>
      </c>
      <c r="G35">
        <f>F35^2/(PI()*'Données géométriques'!$B$6)</f>
        <v>1.779408537179487E-2</v>
      </c>
      <c r="H35">
        <f t="shared" si="1"/>
        <v>0.21313408537179487</v>
      </c>
      <c r="I35">
        <f t="shared" si="4"/>
        <v>0.31769269992650312</v>
      </c>
      <c r="J35">
        <f>XCP_3D('Données géométriques'!$B$9,'Données géométriques'!$B$10,'Données géométriques'!$B$12,'Données géométriques'!$B$11,I35)</f>
        <v>-0.27729768595616905</v>
      </c>
      <c r="K35">
        <f t="shared" si="5"/>
        <v>1.1514536950961625</v>
      </c>
      <c r="L35">
        <f t="shared" si="2"/>
        <v>1.729768595616904E-2</v>
      </c>
      <c r="M35">
        <f t="shared" si="0"/>
        <v>0.50900000000000001</v>
      </c>
    </row>
    <row r="36" spans="1:13" x14ac:dyDescent="0.25">
      <c r="A36">
        <v>16.5</v>
      </c>
      <c r="B36">
        <f t="shared" si="3"/>
        <v>0.28797932657906439</v>
      </c>
      <c r="C36">
        <v>0.77510000000000001</v>
      </c>
      <c r="D36">
        <v>0.20374999999999999</v>
      </c>
      <c r="E36">
        <v>-5.7500000000000002E-2</v>
      </c>
      <c r="F36">
        <f>C36*'Données géométriques'!$B$6/(2+('Données géométriques'!$B$6^2+4)^0.5)</f>
        <v>0.42964026937152155</v>
      </c>
      <c r="G36">
        <f>F36^2/(PI()*'Données géométriques'!$B$6)</f>
        <v>1.835812136116291E-2</v>
      </c>
      <c r="H36">
        <f t="shared" si="1"/>
        <v>0.2221081213611629</v>
      </c>
      <c r="I36">
        <f t="shared" si="4"/>
        <v>0.321780850175027</v>
      </c>
      <c r="J36">
        <f>XCP_3D('Données géométriques'!$B$9,'Données géométriques'!$B$10,'Données géométriques'!$B$12,'Données géométriques'!$B$11,I36)</f>
        <v>-0.28030779283424256</v>
      </c>
      <c r="K36">
        <f t="shared" si="5"/>
        <v>1.1514536950961625</v>
      </c>
      <c r="L36">
        <f t="shared" si="2"/>
        <v>2.0307792834242555E-2</v>
      </c>
      <c r="M36">
        <f t="shared" si="0"/>
        <v>0.52200000000000002</v>
      </c>
    </row>
    <row r="37" spans="1:13" x14ac:dyDescent="0.25">
      <c r="A37">
        <v>17</v>
      </c>
      <c r="B37">
        <f t="shared" si="3"/>
        <v>0.29670597283903605</v>
      </c>
      <c r="C37">
        <v>0.78859999999999997</v>
      </c>
      <c r="D37">
        <v>0.21154999999999999</v>
      </c>
      <c r="E37">
        <v>-6.1400000000000003E-2</v>
      </c>
      <c r="F37">
        <f>C37*'Données géométriques'!$B$6/(2+('Données géométriques'!$B$6^2+4)^0.5)</f>
        <v>0.43712336011660674</v>
      </c>
      <c r="G37">
        <f>F37^2/(PI()*'Données géométriques'!$B$6)</f>
        <v>1.9003181146071663E-2</v>
      </c>
      <c r="H37">
        <f t="shared" si="1"/>
        <v>0.23055318114607165</v>
      </c>
      <c r="I37">
        <f t="shared" si="4"/>
        <v>0.32524572834330812</v>
      </c>
      <c r="J37">
        <f>XCP_3D('Données géométriques'!$B$9,'Données géométriques'!$B$10,'Données géométriques'!$B$12,'Données géométriques'!$B$11,I37)</f>
        <v>-0.28285898419756983</v>
      </c>
      <c r="K37">
        <f t="shared" si="5"/>
        <v>1.1514536950961625</v>
      </c>
      <c r="L37">
        <f t="shared" si="2"/>
        <v>2.285898419756982E-2</v>
      </c>
      <c r="M37">
        <f t="shared" si="0"/>
        <v>0.53600000000000003</v>
      </c>
    </row>
    <row r="38" spans="1:13" x14ac:dyDescent="0.25">
      <c r="A38">
        <v>18</v>
      </c>
      <c r="B38">
        <f t="shared" si="3"/>
        <v>0.31415926535897931</v>
      </c>
      <c r="C38">
        <v>0.81669999999999998</v>
      </c>
      <c r="D38">
        <v>0.22799</v>
      </c>
      <c r="E38">
        <v>-7.0199999999999999E-2</v>
      </c>
      <c r="F38">
        <f>C38*'Données géométriques'!$B$6/(2+('Données géométriques'!$B$6^2+4)^0.5)</f>
        <v>0.45269927492674705</v>
      </c>
      <c r="G38">
        <f>F38^2/(PI()*'Données géométriques'!$B$6)</f>
        <v>2.0381581222019936E-2</v>
      </c>
      <c r="H38">
        <f t="shared" si="1"/>
        <v>0.24837158122201994</v>
      </c>
      <c r="I38">
        <f t="shared" si="4"/>
        <v>0.33286308323040925</v>
      </c>
      <c r="J38">
        <f>XCP_3D('Données géométriques'!$B$9,'Données géométriques'!$B$10,'Données géométriques'!$B$12,'Données géométriques'!$B$11,I38)</f>
        <v>-0.28846764604816083</v>
      </c>
      <c r="K38">
        <f t="shared" si="5"/>
        <v>1.1514536950961625</v>
      </c>
      <c r="L38">
        <f t="shared" si="2"/>
        <v>2.8467646048160822E-2</v>
      </c>
      <c r="M38">
        <f t="shared" si="0"/>
        <v>0.56200000000000006</v>
      </c>
    </row>
    <row r="39" spans="1:13" x14ac:dyDescent="0.25">
      <c r="A39">
        <v>18.5</v>
      </c>
      <c r="B39">
        <f t="shared" si="3"/>
        <v>0.32288591161895097</v>
      </c>
      <c r="C39">
        <v>0.83260000000000001</v>
      </c>
      <c r="D39">
        <v>0.23476</v>
      </c>
      <c r="E39">
        <v>-7.4200000000000002E-2</v>
      </c>
      <c r="F39">
        <f>C39*'Données géométriques'!$B$6/(2+('Données géométriques'!$B$6^2+4)^0.5)</f>
        <v>0.46151269291540298</v>
      </c>
      <c r="G39">
        <f>F39^2/(PI()*'Données géométriques'!$B$6)</f>
        <v>2.1182907797481991E-2</v>
      </c>
      <c r="H39">
        <f t="shared" si="1"/>
        <v>0.25594290779748197</v>
      </c>
      <c r="I39">
        <f t="shared" si="4"/>
        <v>0.33587319744265232</v>
      </c>
      <c r="J39">
        <f>XCP_3D('Données géométriques'!$B$9,'Données géométriques'!$B$10,'Données géométriques'!$B$12,'Données géométriques'!$B$11,I39)</f>
        <v>-0.29068399450485771</v>
      </c>
      <c r="K39">
        <f t="shared" si="5"/>
        <v>1.1514536950961625</v>
      </c>
      <c r="L39">
        <f t="shared" si="2"/>
        <v>3.0683994504857703E-2</v>
      </c>
      <c r="M39">
        <f t="shared" si="0"/>
        <v>0.57399999999999995</v>
      </c>
    </row>
    <row r="40" spans="1:13" x14ac:dyDescent="0.25">
      <c r="A40">
        <v>19</v>
      </c>
      <c r="B40">
        <f t="shared" si="3"/>
        <v>0.33161255787892263</v>
      </c>
      <c r="C40">
        <v>0.84850000000000003</v>
      </c>
      <c r="D40">
        <v>0.24177999999999999</v>
      </c>
      <c r="E40">
        <v>-7.8299999999999995E-2</v>
      </c>
      <c r="F40">
        <f>C40*'Données géométriques'!$B$6/(2+('Données géométriques'!$B$6^2+4)^0.5)</f>
        <v>0.4703261109040589</v>
      </c>
      <c r="G40">
        <f>F40^2/(PI()*'Données géométriques'!$B$6)</f>
        <v>2.1999684676163412E-2</v>
      </c>
      <c r="H40">
        <f t="shared" si="1"/>
        <v>0.26377968467616342</v>
      </c>
      <c r="I40">
        <f t="shared" si="4"/>
        <v>0.33887744923433988</v>
      </c>
      <c r="J40">
        <f>XCP_3D('Données géométriques'!$B$9,'Données géométriques'!$B$10,'Données géométriques'!$B$12,'Données géométriques'!$B$11,I40)</f>
        <v>-0.29289602645864493</v>
      </c>
      <c r="K40">
        <f t="shared" si="5"/>
        <v>1.1514536950961625</v>
      </c>
      <c r="L40">
        <f t="shared" si="2"/>
        <v>3.2896026458644922E-2</v>
      </c>
      <c r="M40">
        <f t="shared" si="0"/>
        <v>0.58499999999999996</v>
      </c>
    </row>
    <row r="41" spans="1:13" x14ac:dyDescent="0.25">
      <c r="A41">
        <v>19.5</v>
      </c>
      <c r="B41">
        <f>RADIANS(A41)</f>
        <v>0.34033920413889424</v>
      </c>
      <c r="C41">
        <v>0.8649</v>
      </c>
      <c r="D41">
        <v>0.24843999999999999</v>
      </c>
      <c r="E41">
        <v>-8.2100000000000006E-2</v>
      </c>
      <c r="F41">
        <f>C41*'Données géométriques'!$B$6/(2+('Données géométriques'!$B$6^2+4)^0.5)</f>
        <v>0.47941668040179197</v>
      </c>
      <c r="G41">
        <f>F41^2/(PI()*'Données géométriques'!$B$6)</f>
        <v>2.2858333092743627E-2</v>
      </c>
      <c r="H41">
        <f>G41+D41</f>
        <v>0.27129833309274365</v>
      </c>
      <c r="I41">
        <f t="shared" si="4"/>
        <v>0.3414028340441938</v>
      </c>
      <c r="J41">
        <f>XCP_3D('Données géométriques'!$B$9,'Données géométriques'!$B$10,'Données géométriques'!$B$12,'Données géométriques'!$B$11,I41)</f>
        <v>-0.29475546843699935</v>
      </c>
      <c r="K41">
        <f>ZCP_3D('Données géométriques'!$B$9,'Données géométriques'!$B$10,'Données géométriques'!$B$12)+0.23</f>
        <v>1.1514536950961625</v>
      </c>
      <c r="L41">
        <f xml:space="preserve"> -(J41+0.26)</f>
        <v>3.4755468436999337E-2</v>
      </c>
      <c r="M41">
        <f t="shared" ref="M41:M42" si="6">ROUND( A41^3 * - 0.00006 + 0.0023*A41^2 + 0.0003*A41 + 0.1609,3)</f>
        <v>0.59599999999999997</v>
      </c>
    </row>
    <row r="42" spans="1:13" x14ac:dyDescent="0.25">
      <c r="A42">
        <v>20</v>
      </c>
      <c r="B42">
        <f t="shared" si="3"/>
        <v>0.3490658503988659</v>
      </c>
      <c r="C42">
        <v>0.88319999999999999</v>
      </c>
      <c r="D42">
        <v>0.25558999999999998</v>
      </c>
      <c r="E42">
        <v>-8.4099999999999994E-2</v>
      </c>
      <c r="F42">
        <f>C42*'Données géométriques'!$B$6/(2+('Données géométriques'!$B$6^2+4)^0.5)</f>
        <v>0.48956042563401864</v>
      </c>
      <c r="G42">
        <f>F42^2/(PI()*'Données géométriques'!$B$6)</f>
        <v>2.3835863161880778E-2</v>
      </c>
      <c r="H42">
        <f t="shared" ref="H42" si="7">G42+D42</f>
        <v>0.27942586316188078</v>
      </c>
      <c r="I42">
        <f>0.25-E42/(C42*COS(B42)+D42*SIN(B42))</f>
        <v>0.3416767685325352</v>
      </c>
      <c r="J42">
        <f>XCP_3D('Données géométriques'!$B$9,'Données géométriques'!$B$10,'Données géométriques'!$B$12,'Données géométriques'!$B$11,I42)</f>
        <v>-0.29495716652473314</v>
      </c>
      <c r="K42">
        <f>ZCP_3D('Données géométriques'!$B$9,'Données géométriques'!$B$10,'Données géométriques'!$B$12)+0.23</f>
        <v>1.1514536950961625</v>
      </c>
      <c r="L42">
        <f t="shared" ref="L42" si="8" xml:space="preserve"> -(J42+0.26)</f>
        <v>3.495716652473313E-2</v>
      </c>
      <c r="M42">
        <f t="shared" si="6"/>
        <v>0.60699999999999998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51CA4-7620-4268-9F96-F91EA7AFF5F6}">
  <sheetPr codeName="Feuil2"/>
  <dimension ref="A1:M43"/>
  <sheetViews>
    <sheetView workbookViewId="0">
      <selection activeCell="E4" sqref="E4"/>
    </sheetView>
  </sheetViews>
  <sheetFormatPr baseColWidth="10" defaultRowHeight="15" x14ac:dyDescent="0.25"/>
  <sheetData>
    <row r="1" spans="1:13" x14ac:dyDescent="0.25">
      <c r="A1">
        <v>10</v>
      </c>
      <c r="C1">
        <f>ROUND(((A1*0.514)/15.6)*1000000,0)</f>
        <v>329487</v>
      </c>
    </row>
    <row r="2" spans="1:13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23</v>
      </c>
      <c r="J2" t="s">
        <v>24</v>
      </c>
      <c r="K2" t="s">
        <v>26</v>
      </c>
      <c r="L2" t="s">
        <v>25</v>
      </c>
      <c r="M2" t="s">
        <v>11</v>
      </c>
    </row>
    <row r="3" spans="1:13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25">
      <c r="A4">
        <v>0</v>
      </c>
      <c r="B4">
        <f>RADIANS(A4)</f>
        <v>0</v>
      </c>
      <c r="C4">
        <v>1E-4</v>
      </c>
      <c r="D4">
        <v>6.7499999999999999E-3</v>
      </c>
      <c r="E4">
        <v>0</v>
      </c>
      <c r="F4">
        <f>C4*'Données géométriques'!$B$6/(2+('Données géométriques'!$B$6^2+4)^0.5)</f>
        <v>5.543030181544595E-5</v>
      </c>
      <c r="G4">
        <f>F4^2/(PI()*'Données géométriques'!$B$6)</f>
        <v>3.0557144138605595E-10</v>
      </c>
      <c r="H4">
        <f>G4+D4</f>
        <v>6.7500003055714413E-3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'5kts'!K4</f>
        <v>1.1514536950961625</v>
      </c>
      <c r="L4">
        <f xml:space="preserve"> -(J4+0.26)</f>
        <v>-0.21661959277092063</v>
      </c>
      <c r="M4">
        <f t="shared" ref="M4" si="0">ROUND( A4^3 * - 0.00006 + 0.0023*A4^2 + 0.0003*A4 + 0.1609,3)</f>
        <v>0.161</v>
      </c>
    </row>
    <row r="5" spans="1:13" x14ac:dyDescent="0.25">
      <c r="A5">
        <v>0.5</v>
      </c>
      <c r="B5">
        <f t="shared" ref="B5:B43" si="1">RADIANS(A5)</f>
        <v>8.7266462599716477E-3</v>
      </c>
      <c r="C5">
        <v>5.0299999999999997E-2</v>
      </c>
      <c r="D5">
        <v>6.8399999999999997E-3</v>
      </c>
      <c r="E5">
        <v>2E-3</v>
      </c>
      <c r="F5">
        <f>C5*'Données géométriques'!$B$6/(2+('Données géométriques'!$B$6^2+4)^0.5)</f>
        <v>2.788144181316931E-2</v>
      </c>
      <c r="G5">
        <f>F5^2/(PI()*'Données géométriques'!$B$6)</f>
        <v>7.7312324813644603E-5</v>
      </c>
      <c r="H5">
        <f t="shared" ref="H5:H43" si="2">G5+D5</f>
        <v>6.917312324813644E-3</v>
      </c>
      <c r="I5">
        <f>0.25-E5/(C5*COS(B5)+D5*SIN(B5))</f>
        <v>0.21028418589851233</v>
      </c>
      <c r="J5">
        <f>XCP_3D('Données géométriques'!$B$9,'Données géométriques'!$B$10,'Données géométriques'!$B$12,'Données géométriques'!$B$11,I5)</f>
        <v>-0.19821274846984796</v>
      </c>
      <c r="K5">
        <f>'5kts'!K5</f>
        <v>1.1514536950961625</v>
      </c>
      <c r="L5">
        <f t="shared" ref="L5:L43" si="3" xml:space="preserve"> -(J5+0.26)</f>
        <v>-6.1787251530152049E-2</v>
      </c>
      <c r="M5">
        <f t="shared" ref="M5:M43" si="4">ROUND( A5^3 * -0.00006 + 0.0023*A5^2 + 0.0003*A5 + 0.1609,3)</f>
        <v>0.16200000000000001</v>
      </c>
    </row>
    <row r="6" spans="1:13" x14ac:dyDescent="0.25">
      <c r="A6">
        <v>1</v>
      </c>
      <c r="B6">
        <f t="shared" si="1"/>
        <v>1.7453292519943295E-2</v>
      </c>
      <c r="C6">
        <v>0.1024</v>
      </c>
      <c r="D6">
        <v>7.0899999999999999E-3</v>
      </c>
      <c r="E6">
        <v>3.5000000000000001E-3</v>
      </c>
      <c r="F6">
        <f>C6*'Données géométriques'!$B$6/(2+('Données géométriques'!$B$6^2+4)^0.5)</f>
        <v>5.6760629059016653E-2</v>
      </c>
      <c r="G6">
        <f>F6^2/(PI()*'Données géométriques'!$B$6)</f>
        <v>3.2041487972282501E-4</v>
      </c>
      <c r="H6">
        <f t="shared" si="2"/>
        <v>7.4104148797228247E-3</v>
      </c>
      <c r="I6">
        <f t="shared" ref="I6:I43" si="5">0.25-E6/(C6*COS(B6)+D6*SIN(B6))</f>
        <v>0.21585637055529702</v>
      </c>
      <c r="J6">
        <f>XCP_3D('Données géométriques'!$B$9,'Données géométriques'!$B$10,'Données géométriques'!$B$12,'Données géométriques'!$B$11,I6)</f>
        <v>-0.20231555055432016</v>
      </c>
      <c r="K6">
        <f>'5kts'!K6</f>
        <v>1.1514536950961625</v>
      </c>
      <c r="L6">
        <f t="shared" si="3"/>
        <v>-5.7684449445679853E-2</v>
      </c>
      <c r="M6">
        <f t="shared" si="4"/>
        <v>0.16300000000000001</v>
      </c>
    </row>
    <row r="7" spans="1:13" x14ac:dyDescent="0.25">
      <c r="A7">
        <v>1.5</v>
      </c>
      <c r="B7">
        <f t="shared" si="1"/>
        <v>2.6179938779914945E-2</v>
      </c>
      <c r="C7">
        <v>0.15890000000000001</v>
      </c>
      <c r="D7">
        <v>7.4700000000000001E-3</v>
      </c>
      <c r="E7">
        <v>3.7000000000000002E-3</v>
      </c>
      <c r="F7">
        <f>C7*'Données géométriques'!$B$6/(2+('Données géométriques'!$B$6^2+4)^0.5)</f>
        <v>8.8078749584743626E-2</v>
      </c>
      <c r="G7">
        <f>F7^2/(PI()*'Données géométriques'!$B$6)</f>
        <v>7.7154374935592201E-4</v>
      </c>
      <c r="H7">
        <f t="shared" si="2"/>
        <v>8.2415437493559215E-3</v>
      </c>
      <c r="I7">
        <f t="shared" si="5"/>
        <v>0.22673557202904782</v>
      </c>
      <c r="J7">
        <f>XCP_3D('Données géométriques'!$B$9,'Données géométriques'!$B$10,'Données géométriques'!$B$12,'Données géométriques'!$B$11,I7)</f>
        <v>-0.21032591152280389</v>
      </c>
      <c r="K7">
        <f>'5kts'!K7</f>
        <v>1.1514536950961625</v>
      </c>
      <c r="L7">
        <f t="shared" si="3"/>
        <v>-4.9674088477196121E-2</v>
      </c>
      <c r="M7">
        <f t="shared" si="4"/>
        <v>0.16600000000000001</v>
      </c>
    </row>
    <row r="8" spans="1:13" x14ac:dyDescent="0.25">
      <c r="A8">
        <v>2</v>
      </c>
      <c r="B8">
        <f t="shared" si="1"/>
        <v>3.4906585039886591E-2</v>
      </c>
      <c r="C8">
        <v>0.21990000000000001</v>
      </c>
      <c r="D8">
        <v>7.9799999999999992E-3</v>
      </c>
      <c r="E8">
        <v>2.8E-3</v>
      </c>
      <c r="F8">
        <f>C8*'Données géométriques'!$B$6/(2+('Données géométriques'!$B$6^2+4)^0.5)</f>
        <v>0.12189123369216566</v>
      </c>
      <c r="G8">
        <f>F8^2/(PI()*'Données géométriques'!$B$6)</f>
        <v>1.4776215675378537E-3</v>
      </c>
      <c r="H8">
        <f t="shared" si="2"/>
        <v>9.4576215675378529E-3</v>
      </c>
      <c r="I8">
        <f t="shared" si="5"/>
        <v>0.23727530349425949</v>
      </c>
      <c r="J8">
        <f>XCP_3D('Données géométriques'!$B$9,'Données géométriques'!$B$10,'Données géométriques'!$B$12,'Données géométriques'!$B$11,I8)</f>
        <v>-0.21808632057037394</v>
      </c>
      <c r="K8">
        <f>'5kts'!K8</f>
        <v>1.1514536950961625</v>
      </c>
      <c r="L8">
        <f t="shared" si="3"/>
        <v>-4.1913679429626066E-2</v>
      </c>
      <c r="M8">
        <f t="shared" si="4"/>
        <v>0.17</v>
      </c>
    </row>
    <row r="9" spans="1:13" x14ac:dyDescent="0.25">
      <c r="A9">
        <v>2.5</v>
      </c>
      <c r="B9">
        <f t="shared" si="1"/>
        <v>4.3633231299858237E-2</v>
      </c>
      <c r="C9">
        <v>0.2833</v>
      </c>
      <c r="D9">
        <v>8.5800000000000008E-3</v>
      </c>
      <c r="E9">
        <v>1E-3</v>
      </c>
      <c r="F9">
        <f>C9*'Données géométriques'!$B$6/(2+('Données géométriques'!$B$6^2+4)^0.5)</f>
        <v>0.15703404504315838</v>
      </c>
      <c r="G9">
        <f>F9^2/(PI()*'Données géométriques'!$B$6)</f>
        <v>2.452482470134491E-3</v>
      </c>
      <c r="H9">
        <f t="shared" si="2"/>
        <v>1.1032482470134492E-2</v>
      </c>
      <c r="I9">
        <f t="shared" si="5"/>
        <v>0.24647147595612315</v>
      </c>
      <c r="J9">
        <f>XCP_3D('Données géométriques'!$B$9,'Données géométriques'!$B$10,'Données géométriques'!$B$12,'Données géométriques'!$B$11,I9)</f>
        <v>-0.22485746651575422</v>
      </c>
      <c r="K9">
        <f>'5kts'!K9</f>
        <v>1.1514536950961625</v>
      </c>
      <c r="L9">
        <f t="shared" si="3"/>
        <v>-3.5142533484245786E-2</v>
      </c>
      <c r="M9">
        <f t="shared" si="4"/>
        <v>0.17499999999999999</v>
      </c>
    </row>
    <row r="10" spans="1:13" x14ac:dyDescent="0.25">
      <c r="A10">
        <v>3</v>
      </c>
      <c r="B10">
        <f t="shared" si="1"/>
        <v>5.235987755982989E-2</v>
      </c>
      <c r="C10">
        <v>0.34860000000000002</v>
      </c>
      <c r="D10">
        <v>9.2899999999999996E-3</v>
      </c>
      <c r="E10">
        <v>-1.5E-3</v>
      </c>
      <c r="F10">
        <f>C10*'Données géométriques'!$B$6/(2+('Données géométriques'!$B$6^2+4)^0.5)</f>
        <v>0.19323003212864456</v>
      </c>
      <c r="G10">
        <f>F10^2/(PI()*'Données géométriques'!$B$6)</f>
        <v>3.7133640477258626E-3</v>
      </c>
      <c r="H10">
        <f t="shared" si="2"/>
        <v>1.3003364047725861E-2</v>
      </c>
      <c r="I10">
        <f t="shared" si="5"/>
        <v>0.25430282160552969</v>
      </c>
      <c r="J10">
        <f>XCP_3D('Données géométriques'!$B$9,'Données géométriques'!$B$10,'Données géométriques'!$B$12,'Données géométriques'!$B$11,I10)</f>
        <v>-0.23062368986147061</v>
      </c>
      <c r="K10">
        <f>'5kts'!K10</f>
        <v>1.1514536950961625</v>
      </c>
      <c r="L10">
        <f t="shared" si="3"/>
        <v>-2.9376310138529399E-2</v>
      </c>
      <c r="M10">
        <f t="shared" si="4"/>
        <v>0.18099999999999999</v>
      </c>
    </row>
    <row r="11" spans="1:13" x14ac:dyDescent="0.25">
      <c r="A11">
        <v>3.5</v>
      </c>
      <c r="B11">
        <f t="shared" si="1"/>
        <v>6.1086523819801536E-2</v>
      </c>
      <c r="C11">
        <v>0.41539999999999999</v>
      </c>
      <c r="D11">
        <v>1.008E-2</v>
      </c>
      <c r="E11">
        <v>-4.4999999999999997E-3</v>
      </c>
      <c r="F11">
        <f>C11*'Données géométriques'!$B$6/(2+('Données géométriques'!$B$6^2+4)^0.5)</f>
        <v>0.23025747374136246</v>
      </c>
      <c r="G11">
        <f>F11^2/(PI()*'Données géométriques'!$B$6)</f>
        <v>5.2728540102684272E-3</v>
      </c>
      <c r="H11">
        <f t="shared" si="2"/>
        <v>1.5352854010268428E-2</v>
      </c>
      <c r="I11">
        <f t="shared" si="5"/>
        <v>0.26083709151814932</v>
      </c>
      <c r="J11">
        <f>XCP_3D('Données géométriques'!$B$9,'Données géométriques'!$B$10,'Données géométriques'!$B$12,'Données géométriques'!$B$11,I11)</f>
        <v>-0.23543487575520533</v>
      </c>
      <c r="K11">
        <f>'5kts'!K11</f>
        <v>1.1514536950961625</v>
      </c>
      <c r="L11">
        <f t="shared" si="3"/>
        <v>-2.4565124244794678E-2</v>
      </c>
      <c r="M11">
        <f t="shared" si="4"/>
        <v>0.188</v>
      </c>
    </row>
    <row r="12" spans="1:13" x14ac:dyDescent="0.25">
      <c r="A12">
        <v>4</v>
      </c>
      <c r="B12">
        <f t="shared" si="1"/>
        <v>6.9813170079773182E-2</v>
      </c>
      <c r="C12">
        <v>0.47339999999999999</v>
      </c>
      <c r="D12">
        <v>1.0800000000000001E-2</v>
      </c>
      <c r="E12">
        <v>-5.4000000000000003E-3</v>
      </c>
      <c r="F12">
        <f>C12*'Données géométriques'!$B$6/(2+('Données géométriques'!$B$6^2+4)^0.5)</f>
        <v>0.26240704879432108</v>
      </c>
      <c r="G12">
        <f>F12^2/(PI()*'Données géométriques'!$B$6)</f>
        <v>6.8480870134711991E-3</v>
      </c>
      <c r="H12">
        <f t="shared" si="2"/>
        <v>1.76480870134712E-2</v>
      </c>
      <c r="I12">
        <f t="shared" si="5"/>
        <v>0.26141648586874949</v>
      </c>
      <c r="J12">
        <f>XCP_3D('Données géométriques'!$B$9,'Données géométriques'!$B$10,'Données géométriques'!$B$12,'Données géométriques'!$B$11,I12)</f>
        <v>-0.23586148407775542</v>
      </c>
      <c r="K12">
        <f>'5kts'!K12</f>
        <v>1.1514536950961625</v>
      </c>
      <c r="L12">
        <f t="shared" si="3"/>
        <v>-2.4138515922244586E-2</v>
      </c>
      <c r="M12">
        <f t="shared" si="4"/>
        <v>0.19500000000000001</v>
      </c>
    </row>
    <row r="13" spans="1:13" x14ac:dyDescent="0.25">
      <c r="A13">
        <v>4.5</v>
      </c>
      <c r="B13">
        <f t="shared" si="1"/>
        <v>7.8539816339744828E-2</v>
      </c>
      <c r="C13">
        <v>0.52080000000000004</v>
      </c>
      <c r="D13">
        <v>1.145E-2</v>
      </c>
      <c r="E13">
        <v>-4.0000000000000001E-3</v>
      </c>
      <c r="F13">
        <f>C13*'Données géométriques'!$B$6/(2+('Données géométriques'!$B$6^2+4)^0.5)</f>
        <v>0.28868101185484252</v>
      </c>
      <c r="G13">
        <f>F13^2/(PI()*'Données géométriques'!$B$6)</f>
        <v>8.2880948755745219E-3</v>
      </c>
      <c r="H13">
        <f t="shared" si="2"/>
        <v>1.973809487557452E-2</v>
      </c>
      <c r="I13">
        <f t="shared" si="5"/>
        <v>0.25769093361747231</v>
      </c>
      <c r="J13">
        <f>XCP_3D('Données géométriques'!$B$9,'Données géométriques'!$B$10,'Données géométriques'!$B$12,'Données géométriques'!$B$11,I13)</f>
        <v>-0.23311835826914842</v>
      </c>
      <c r="K13">
        <f>'5kts'!K13</f>
        <v>1.1514536950961625</v>
      </c>
      <c r="L13">
        <f t="shared" si="3"/>
        <v>-2.6881641730851585E-2</v>
      </c>
      <c r="M13">
        <f t="shared" si="4"/>
        <v>0.20300000000000001</v>
      </c>
    </row>
    <row r="14" spans="1:13" x14ac:dyDescent="0.25">
      <c r="A14">
        <v>5</v>
      </c>
      <c r="B14">
        <f t="shared" si="1"/>
        <v>8.7266462599716474E-2</v>
      </c>
      <c r="C14">
        <v>0.56850000000000001</v>
      </c>
      <c r="D14">
        <v>1.209E-2</v>
      </c>
      <c r="E14">
        <v>-2.5999999999999999E-3</v>
      </c>
      <c r="F14">
        <f>C14*'Données géométriques'!$B$6/(2+('Données géométriques'!$B$6^2+4)^0.5)</f>
        <v>0.31512126582081018</v>
      </c>
      <c r="G14">
        <f>F14^2/(PI()*'Données géométriques'!$B$6)</f>
        <v>9.8758321677302509E-3</v>
      </c>
      <c r="H14">
        <f t="shared" si="2"/>
        <v>2.1965832167730251E-2</v>
      </c>
      <c r="I14">
        <f t="shared" si="5"/>
        <v>0.25458238279238049</v>
      </c>
      <c r="J14">
        <f>XCP_3D('Données géométriques'!$B$9,'Données géométriques'!$B$10,'Données géométriques'!$B$12,'Données géométriques'!$B$11,I14)</f>
        <v>-0.23082953088986516</v>
      </c>
      <c r="K14">
        <f>'5kts'!K14</f>
        <v>1.1514536950961625</v>
      </c>
      <c r="L14">
        <f t="shared" si="3"/>
        <v>-2.917046911013485E-2</v>
      </c>
      <c r="M14">
        <f t="shared" si="4"/>
        <v>0.21199999999999999</v>
      </c>
    </row>
    <row r="15" spans="1:13" x14ac:dyDescent="0.25">
      <c r="A15">
        <v>5.5</v>
      </c>
      <c r="B15">
        <f t="shared" si="1"/>
        <v>9.599310885968812E-2</v>
      </c>
      <c r="C15">
        <v>0.61599999999999999</v>
      </c>
      <c r="D15">
        <v>1.281E-2</v>
      </c>
      <c r="E15">
        <v>-1.1000000000000001E-3</v>
      </c>
      <c r="F15">
        <f>C15*'Données géométriques'!$B$6/(2+('Données géométriques'!$B$6^2+4)^0.5)</f>
        <v>0.34145065918314704</v>
      </c>
      <c r="G15">
        <f>F15^2/(PI()*'Données géométriques'!$B$6)</f>
        <v>1.1595091686258724E-2</v>
      </c>
      <c r="H15">
        <f t="shared" si="2"/>
        <v>2.4405091686258724E-2</v>
      </c>
      <c r="I15">
        <f t="shared" si="5"/>
        <v>0.25179038835527312</v>
      </c>
      <c r="J15">
        <f>XCP_3D('Données géométriques'!$B$9,'Données géométriques'!$B$10,'Données géométriques'!$B$12,'Données géométriques'!$B$11,I15)</f>
        <v>-0.22877378412231034</v>
      </c>
      <c r="K15">
        <f>'5kts'!K15</f>
        <v>1.1514536950961625</v>
      </c>
      <c r="L15">
        <f t="shared" si="3"/>
        <v>-3.1226215877689673E-2</v>
      </c>
      <c r="M15">
        <f t="shared" si="4"/>
        <v>0.222</v>
      </c>
    </row>
    <row r="16" spans="1:13" x14ac:dyDescent="0.25">
      <c r="A16">
        <v>6</v>
      </c>
      <c r="B16">
        <f t="shared" si="1"/>
        <v>0.10471975511965978</v>
      </c>
      <c r="C16">
        <v>0.66400000000000003</v>
      </c>
      <c r="D16">
        <v>1.355E-2</v>
      </c>
      <c r="E16">
        <v>2.9999999999999997E-4</v>
      </c>
      <c r="F16">
        <f>C16*'Données géométriques'!$B$6/(2+('Données géométriques'!$B$6^2+4)^0.5)</f>
        <v>0.36805720405456116</v>
      </c>
      <c r="G16">
        <f>F16^2/(PI()*'Données géométriques'!$B$6)</f>
        <v>1.3472522622134655E-2</v>
      </c>
      <c r="H16">
        <f t="shared" si="2"/>
        <v>2.7022522622134657E-2</v>
      </c>
      <c r="I16">
        <f t="shared" si="5"/>
        <v>0.24954667638940764</v>
      </c>
      <c r="J16">
        <f>XCP_3D('Données géométriques'!$B$9,'Données géométriques'!$B$10,'Données géométriques'!$B$12,'Données géométriques'!$B$11,I16)</f>
        <v>-0.22712173798645666</v>
      </c>
      <c r="K16">
        <f>'5kts'!K16</f>
        <v>1.1514536950961625</v>
      </c>
      <c r="L16">
        <f t="shared" si="3"/>
        <v>-3.2878262013543352E-2</v>
      </c>
      <c r="M16">
        <f t="shared" si="4"/>
        <v>0.23300000000000001</v>
      </c>
    </row>
    <row r="17" spans="1:13" x14ac:dyDescent="0.25">
      <c r="A17">
        <v>6.5</v>
      </c>
      <c r="B17">
        <f t="shared" si="1"/>
        <v>0.11344640137963143</v>
      </c>
      <c r="C17">
        <v>0.71179999999999999</v>
      </c>
      <c r="D17">
        <v>1.4409999999999999E-2</v>
      </c>
      <c r="E17">
        <v>1.6000000000000001E-3</v>
      </c>
      <c r="F17">
        <f>C17*'Données géométriques'!$B$6/(2+('Données géométriques'!$B$6^2+4)^0.5)</f>
        <v>0.39455288832234425</v>
      </c>
      <c r="G17">
        <f>F17^2/(PI()*'Données géométriques'!$B$6)</f>
        <v>1.5482059425836364E-2</v>
      </c>
      <c r="H17">
        <f t="shared" si="2"/>
        <v>2.9892059425836365E-2</v>
      </c>
      <c r="I17">
        <f t="shared" si="5"/>
        <v>0.24774284104888247</v>
      </c>
      <c r="J17">
        <f>XCP_3D('Données géométriques'!$B$9,'Données géométriques'!$B$10,'Données géométriques'!$B$12,'Données géométriques'!$B$11,I17)</f>
        <v>-0.22579357320890642</v>
      </c>
      <c r="K17">
        <f>'5kts'!K17</f>
        <v>1.1514536950961625</v>
      </c>
      <c r="L17">
        <f t="shared" si="3"/>
        <v>-3.4206426791093592E-2</v>
      </c>
      <c r="M17">
        <f t="shared" si="4"/>
        <v>0.24399999999999999</v>
      </c>
    </row>
    <row r="18" spans="1:13" x14ac:dyDescent="0.25">
      <c r="A18">
        <v>7</v>
      </c>
      <c r="B18">
        <f t="shared" si="1"/>
        <v>0.12217304763960307</v>
      </c>
      <c r="C18">
        <v>0.75900000000000001</v>
      </c>
      <c r="D18">
        <v>1.546E-2</v>
      </c>
      <c r="E18">
        <v>3.0000000000000001E-3</v>
      </c>
      <c r="F18">
        <f>C18*'Données géométriques'!$B$6/(2+('Données géométriques'!$B$6^2+4)^0.5)</f>
        <v>0.42071599077923472</v>
      </c>
      <c r="G18">
        <f>F18^2/(PI()*'Données géométriques'!$B$6)</f>
        <v>1.7603390152512045E-2</v>
      </c>
      <c r="H18">
        <f t="shared" si="2"/>
        <v>3.3063390152512043E-2</v>
      </c>
      <c r="I18">
        <f t="shared" si="5"/>
        <v>0.24602768244096862</v>
      </c>
      <c r="J18">
        <f>XCP_3D('Données géométriques'!$B$9,'Données géométriques'!$B$10,'Données géométriques'!$B$12,'Données géométriques'!$B$11,I18)</f>
        <v>-0.22453070114970763</v>
      </c>
      <c r="K18">
        <f>'5kts'!K18</f>
        <v>1.1514536950961625</v>
      </c>
      <c r="L18">
        <f t="shared" si="3"/>
        <v>-3.5469298850292375E-2</v>
      </c>
      <c r="M18">
        <f t="shared" si="4"/>
        <v>0.255</v>
      </c>
    </row>
    <row r="19" spans="1:13" x14ac:dyDescent="0.25">
      <c r="A19">
        <v>7.5</v>
      </c>
      <c r="B19">
        <f t="shared" si="1"/>
        <v>0.1308996938995747</v>
      </c>
      <c r="C19">
        <v>0.80659999999999998</v>
      </c>
      <c r="D19">
        <v>1.6469999999999999E-2</v>
      </c>
      <c r="E19">
        <v>4.1999999999999997E-3</v>
      </c>
      <c r="F19">
        <f>C19*'Données géométriques'!$B$6/(2+('Données géométriques'!$B$6^2+4)^0.5)</f>
        <v>0.44710081444338701</v>
      </c>
      <c r="G19">
        <f>F19^2/(PI()*'Données géométriques'!$B$6)</f>
        <v>1.9880586760009929E-2</v>
      </c>
      <c r="H19">
        <f t="shared" si="2"/>
        <v>3.6350586760009927E-2</v>
      </c>
      <c r="I19">
        <f t="shared" si="5"/>
        <v>0.24476210733370371</v>
      </c>
      <c r="J19">
        <f>XCP_3D('Données géométriques'!$B$9,'Données géométriques'!$B$10,'Données géométriques'!$B$12,'Données géométriques'!$B$11,I19)</f>
        <v>-0.22359885762549472</v>
      </c>
      <c r="K19">
        <f>'5kts'!K19</f>
        <v>1.1514536950961625</v>
      </c>
      <c r="L19">
        <f t="shared" si="3"/>
        <v>-3.6401142374505285E-2</v>
      </c>
      <c r="M19">
        <f t="shared" si="4"/>
        <v>0.26700000000000002</v>
      </c>
    </row>
    <row r="20" spans="1:13" x14ac:dyDescent="0.25">
      <c r="A20">
        <v>8</v>
      </c>
      <c r="B20">
        <f t="shared" si="1"/>
        <v>0.13962634015954636</v>
      </c>
      <c r="C20">
        <v>0.85199999999999998</v>
      </c>
      <c r="D20">
        <v>1.7850000000000001E-2</v>
      </c>
      <c r="E20">
        <v>5.5999999999999999E-3</v>
      </c>
      <c r="F20">
        <f>C20*'Données géométriques'!$B$6/(2+('Données géométriques'!$B$6^2+4)^0.5)</f>
        <v>0.47226617146759942</v>
      </c>
      <c r="G20">
        <f>F20^2/(PI()*'Données géométriques'!$B$6)</f>
        <v>2.2181553158790345E-2</v>
      </c>
      <c r="H20">
        <f t="shared" si="2"/>
        <v>4.0031553158790346E-2</v>
      </c>
      <c r="I20">
        <f t="shared" si="5"/>
        <v>0.24338212154985411</v>
      </c>
      <c r="J20">
        <f>XCP_3D('Données géométriques'!$B$9,'Données géométriques'!$B$10,'Données géométriques'!$B$12,'Données géométriques'!$B$11,I20)</f>
        <v>-0.22258277346833666</v>
      </c>
      <c r="K20">
        <f>'5kts'!K20</f>
        <v>1.1514536950961625</v>
      </c>
      <c r="L20">
        <f t="shared" si="3"/>
        <v>-3.741722653166335E-2</v>
      </c>
      <c r="M20">
        <f t="shared" si="4"/>
        <v>0.28000000000000003</v>
      </c>
    </row>
    <row r="21" spans="1:13" x14ac:dyDescent="0.25">
      <c r="A21">
        <v>8.5</v>
      </c>
      <c r="B21">
        <f t="shared" si="1"/>
        <v>0.14835298641951802</v>
      </c>
      <c r="C21">
        <v>0.89739999999999998</v>
      </c>
      <c r="D21">
        <v>1.925E-2</v>
      </c>
      <c r="E21">
        <v>7.0000000000000001E-3</v>
      </c>
      <c r="F21">
        <f>C21*'Données géométriques'!$B$6/(2+('Données géométriques'!$B$6^2+4)^0.5)</f>
        <v>0.49743152849181188</v>
      </c>
      <c r="G21">
        <f>F21^2/(PI()*'Données géométriques'!$B$6)</f>
        <v>2.4608485883996226E-2</v>
      </c>
      <c r="H21">
        <f t="shared" si="2"/>
        <v>4.3858485883996226E-2</v>
      </c>
      <c r="I21">
        <f t="shared" si="5"/>
        <v>0.24213826030054306</v>
      </c>
      <c r="J21">
        <f>XCP_3D('Données géométriques'!$B$9,'Données géométriques'!$B$10,'Données géométriques'!$B$12,'Données géométriques'!$B$11,I21)</f>
        <v>-0.22166691786756118</v>
      </c>
      <c r="K21">
        <f>'5kts'!K21</f>
        <v>1.1514536950961625</v>
      </c>
      <c r="L21">
        <f t="shared" si="3"/>
        <v>-3.8333082132438828E-2</v>
      </c>
      <c r="M21">
        <f t="shared" si="4"/>
        <v>0.29299999999999998</v>
      </c>
    </row>
    <row r="22" spans="1:13" x14ac:dyDescent="0.25">
      <c r="A22">
        <v>9</v>
      </c>
      <c r="B22">
        <f t="shared" si="1"/>
        <v>0.15707963267948966</v>
      </c>
      <c r="C22">
        <v>0.94220000000000004</v>
      </c>
      <c r="D22">
        <v>2.0619999999999999E-2</v>
      </c>
      <c r="E22">
        <v>8.3000000000000001E-3</v>
      </c>
      <c r="F22">
        <f>C22*'Données géométriques'!$B$6/(2+('Données géométriques'!$B$6^2+4)^0.5)</f>
        <v>0.52226430370513177</v>
      </c>
      <c r="G22">
        <f>F22^2/(PI()*'Données géométriques'!$B$6)</f>
        <v>2.7126824805606808E-2</v>
      </c>
      <c r="H22">
        <f t="shared" si="2"/>
        <v>4.7746824805606811E-2</v>
      </c>
      <c r="I22">
        <f t="shared" si="5"/>
        <v>0.24111183104735029</v>
      </c>
      <c r="J22">
        <f>XCP_3D('Données géométriques'!$B$9,'Données géométriques'!$B$10,'Données géométriques'!$B$12,'Données géométriques'!$B$11,I22)</f>
        <v>-0.22091115754392762</v>
      </c>
      <c r="K22">
        <f>'5kts'!K22</f>
        <v>1.1514536950961625</v>
      </c>
      <c r="L22">
        <f t="shared" si="3"/>
        <v>-3.9088842456072387E-2</v>
      </c>
      <c r="M22">
        <f t="shared" si="4"/>
        <v>0.30599999999999999</v>
      </c>
    </row>
    <row r="23" spans="1:13" x14ac:dyDescent="0.25">
      <c r="A23">
        <v>9.5</v>
      </c>
      <c r="B23">
        <f t="shared" si="1"/>
        <v>0.16580627893946132</v>
      </c>
      <c r="C23">
        <v>0.98299999999999998</v>
      </c>
      <c r="D23">
        <v>2.2599999999999999E-2</v>
      </c>
      <c r="E23">
        <v>0.01</v>
      </c>
      <c r="F23">
        <f>C23*'Données géométriques'!$B$6/(2+('Données géométriques'!$B$6^2+4)^0.5)</f>
        <v>0.54487986684583367</v>
      </c>
      <c r="G23">
        <f>F23^2/(PI()*'Données géométriques'!$B$6)</f>
        <v>2.9527032252549056E-2</v>
      </c>
      <c r="H23">
        <f t="shared" si="2"/>
        <v>5.2127032252549055E-2</v>
      </c>
      <c r="I23">
        <f t="shared" si="5"/>
        <v>0.2397251352666846</v>
      </c>
      <c r="J23">
        <f>XCP_3D('Données géométriques'!$B$9,'Données géométriques'!$B$10,'Données géométriques'!$B$12,'Données géométriques'!$B$11,I23)</f>
        <v>-0.21989013281307765</v>
      </c>
      <c r="K23">
        <f>'5kts'!K23</f>
        <v>1.1514536950961625</v>
      </c>
      <c r="L23">
        <f t="shared" si="3"/>
        <v>-4.010986718692236E-2</v>
      </c>
      <c r="M23">
        <f t="shared" si="4"/>
        <v>0.32</v>
      </c>
    </row>
    <row r="24" spans="1:13" x14ac:dyDescent="0.25">
      <c r="A24">
        <v>10</v>
      </c>
      <c r="B24">
        <f t="shared" si="1"/>
        <v>0.17453292519943295</v>
      </c>
      <c r="C24">
        <v>1.0216000000000001</v>
      </c>
      <c r="D24">
        <v>2.486E-2</v>
      </c>
      <c r="E24">
        <v>1.1900000000000001E-2</v>
      </c>
      <c r="F24">
        <f>C24*'Données géométriques'!$B$6/(2+('Données géométriques'!$B$6^2+4)^0.5)</f>
        <v>0.56627596334659591</v>
      </c>
      <c r="G24">
        <f>F24^2/(PI()*'Données géométriques'!$B$6)</f>
        <v>3.1891469506562672E-2</v>
      </c>
      <c r="H24">
        <f t="shared" si="2"/>
        <v>5.6751469506562673E-2</v>
      </c>
      <c r="I24">
        <f t="shared" si="5"/>
        <v>0.23822244527904127</v>
      </c>
      <c r="J24">
        <f>XCP_3D('Données géométriques'!$B$9,'Données géométriques'!$B$10,'Données géométriques'!$B$12,'Données géométriques'!$B$11,I24)</f>
        <v>-0.21878370149513499</v>
      </c>
      <c r="K24">
        <f>'5kts'!K24</f>
        <v>1.1514536950961625</v>
      </c>
      <c r="L24">
        <f t="shared" si="3"/>
        <v>-4.1216298504865023E-2</v>
      </c>
      <c r="M24">
        <f t="shared" si="4"/>
        <v>0.33400000000000002</v>
      </c>
    </row>
    <row r="25" spans="1:13" x14ac:dyDescent="0.25">
      <c r="A25">
        <v>10.5</v>
      </c>
      <c r="B25">
        <f t="shared" si="1"/>
        <v>0.18325957145940461</v>
      </c>
      <c r="C25">
        <v>1.0569</v>
      </c>
      <c r="D25">
        <v>2.7369999999999998E-2</v>
      </c>
      <c r="E25">
        <v>1.3899999999999999E-2</v>
      </c>
      <c r="F25">
        <f>C25*'Données géométriques'!$B$6/(2+('Données géométriques'!$B$6^2+4)^0.5)</f>
        <v>0.58584285988744822</v>
      </c>
      <c r="G25">
        <f>F25^2/(PI()*'Données géométriques'!$B$6)</f>
        <v>3.4133479257013502E-2</v>
      </c>
      <c r="H25">
        <f t="shared" si="2"/>
        <v>6.1503479257013501E-2</v>
      </c>
      <c r="I25">
        <f t="shared" si="5"/>
        <v>0.2366882450933504</v>
      </c>
      <c r="J25">
        <f>XCP_3D('Données géométriques'!$B$9,'Données géométriques'!$B$10,'Données géométriques'!$B$12,'Données géométriques'!$B$11,I25)</f>
        <v>-0.21765406920411218</v>
      </c>
      <c r="K25">
        <f>'5kts'!K25</f>
        <v>1.1514536950961625</v>
      </c>
      <c r="L25">
        <f t="shared" si="3"/>
        <v>-4.2345930795887832E-2</v>
      </c>
      <c r="M25">
        <f t="shared" si="4"/>
        <v>0.34799999999999998</v>
      </c>
    </row>
    <row r="26" spans="1:13" x14ac:dyDescent="0.25">
      <c r="A26">
        <v>11</v>
      </c>
      <c r="B26">
        <f t="shared" si="1"/>
        <v>0.19198621771937624</v>
      </c>
      <c r="C26">
        <v>1.0891999999999999</v>
      </c>
      <c r="D26">
        <v>2.9819999999999999E-2</v>
      </c>
      <c r="E26">
        <v>1.5900000000000001E-2</v>
      </c>
      <c r="F26">
        <f>C26*'Données géométriques'!$B$6/(2+('Données géométriques'!$B$6^2+4)^0.5)</f>
        <v>0.60374684737383721</v>
      </c>
      <c r="G26">
        <f>F26^2/(PI()*'Données géométriques'!$B$6)</f>
        <v>3.6251670848271814E-2</v>
      </c>
      <c r="H26">
        <f t="shared" si="2"/>
        <v>6.6071670848271813E-2</v>
      </c>
      <c r="I26">
        <f t="shared" si="5"/>
        <v>0.23520762703709977</v>
      </c>
      <c r="J26">
        <f>XCP_3D('Données géométriques'!$B$9,'Données géométriques'!$B$10,'Données géométriques'!$B$12,'Données géométriques'!$B$11,I26)</f>
        <v>-0.21656388945924382</v>
      </c>
      <c r="K26">
        <f>'5kts'!K26</f>
        <v>1.1514536950961625</v>
      </c>
      <c r="L26">
        <f t="shared" si="3"/>
        <v>-4.343611054075619E-2</v>
      </c>
      <c r="M26">
        <f t="shared" si="4"/>
        <v>0.36299999999999999</v>
      </c>
    </row>
    <row r="27" spans="1:13" x14ac:dyDescent="0.25">
      <c r="A27">
        <v>11.5</v>
      </c>
      <c r="B27">
        <f t="shared" si="1"/>
        <v>0.2007128639793479</v>
      </c>
      <c r="C27">
        <v>1.1133</v>
      </c>
      <c r="D27">
        <v>3.2800000000000003E-2</v>
      </c>
      <c r="E27">
        <v>1.83E-2</v>
      </c>
      <c r="F27">
        <f>C27*'Données géométriques'!$B$6/(2+('Données géométriques'!$B$6^2+4)^0.5)</f>
        <v>0.6171055501113597</v>
      </c>
      <c r="G27">
        <f>F27^2/(PI()*'Données géométriques'!$B$6)</f>
        <v>3.787365169843504E-2</v>
      </c>
      <c r="H27">
        <f t="shared" si="2"/>
        <v>7.0673651698435036E-2</v>
      </c>
      <c r="I27">
        <f t="shared" si="5"/>
        <v>0.2333255799087558</v>
      </c>
      <c r="J27">
        <f>XCP_3D('Données géométriques'!$B$9,'Données géométriques'!$B$10,'Données géométriques'!$B$12,'Données géométriques'!$B$11,I27)</f>
        <v>-0.2151781373069275</v>
      </c>
      <c r="K27">
        <f>'5kts'!K27</f>
        <v>1.1514536950961625</v>
      </c>
      <c r="L27">
        <f t="shared" si="3"/>
        <v>-4.4821862693072506E-2</v>
      </c>
      <c r="M27">
        <f t="shared" si="4"/>
        <v>0.377</v>
      </c>
    </row>
    <row r="28" spans="1:13" x14ac:dyDescent="0.25">
      <c r="A28">
        <v>12</v>
      </c>
      <c r="B28">
        <f t="shared" si="1"/>
        <v>0.20943951023931956</v>
      </c>
      <c r="C28">
        <v>1.1218999999999999</v>
      </c>
      <c r="D28">
        <v>3.6949999999999997E-2</v>
      </c>
      <c r="E28">
        <v>2.18E-2</v>
      </c>
      <c r="F28">
        <f>C28*'Données géométriques'!$B$6/(2+('Données géométriques'!$B$6^2+4)^0.5)</f>
        <v>0.62187255606748804</v>
      </c>
      <c r="G28">
        <f>F28^2/(PI()*'Données géométriques'!$B$6)</f>
        <v>3.8461043124211086E-2</v>
      </c>
      <c r="H28">
        <f t="shared" si="2"/>
        <v>7.5411043124211083E-2</v>
      </c>
      <c r="I28">
        <f t="shared" si="5"/>
        <v>0.23027267382153346</v>
      </c>
      <c r="J28">
        <f>XCP_3D('Données géométriques'!$B$9,'Données géométriques'!$B$10,'Données géométriques'!$B$12,'Données géométriques'!$B$11,I28)</f>
        <v>-0.21293028117331925</v>
      </c>
      <c r="K28">
        <f>'5kts'!K28</f>
        <v>1.1514536950961625</v>
      </c>
      <c r="L28">
        <f t="shared" si="3"/>
        <v>-4.7069718826680762E-2</v>
      </c>
      <c r="M28">
        <f t="shared" si="4"/>
        <v>0.39200000000000002</v>
      </c>
    </row>
    <row r="29" spans="1:13" x14ac:dyDescent="0.25">
      <c r="A29">
        <v>12.5</v>
      </c>
      <c r="B29">
        <f t="shared" si="1"/>
        <v>0.21816615649929119</v>
      </c>
      <c r="C29">
        <v>1.1093</v>
      </c>
      <c r="D29">
        <v>4.2569999999999997E-2</v>
      </c>
      <c r="E29">
        <v>2.46E-2</v>
      </c>
      <c r="F29">
        <f>C29*'Données géométriques'!$B$6/(2+('Données géométriques'!$B$6^2+4)^0.5)</f>
        <v>0.61488833803874188</v>
      </c>
      <c r="G29">
        <f>F29^2/(PI()*'Données géométriques'!$B$6)</f>
        <v>3.760198646418518E-2</v>
      </c>
      <c r="H29">
        <f t="shared" si="2"/>
        <v>8.0171986464185177E-2</v>
      </c>
      <c r="I29">
        <f t="shared" si="5"/>
        <v>0.22747704433709279</v>
      </c>
      <c r="J29">
        <f>XCP_3D('Données géométriques'!$B$9,'Données géométriques'!$B$10,'Données géométriques'!$B$12,'Données géométriques'!$B$11,I29)</f>
        <v>-0.21087185791876933</v>
      </c>
      <c r="K29">
        <f>'5kts'!K29</f>
        <v>1.1514536950961625</v>
      </c>
      <c r="L29">
        <f t="shared" si="3"/>
        <v>-4.9128142081230675E-2</v>
      </c>
      <c r="M29">
        <f t="shared" si="4"/>
        <v>0.40699999999999997</v>
      </c>
    </row>
    <row r="30" spans="1:13" x14ac:dyDescent="0.25">
      <c r="A30">
        <v>13</v>
      </c>
      <c r="B30">
        <f t="shared" si="1"/>
        <v>0.22689280275926285</v>
      </c>
      <c r="C30">
        <v>1.0825</v>
      </c>
      <c r="D30">
        <v>5.2060000000000002E-2</v>
      </c>
      <c r="E30">
        <v>2.07E-2</v>
      </c>
      <c r="F30">
        <f>C30*'Données géométriques'!$B$6/(2+('Données géométriques'!$B$6^2+4)^0.5)</f>
        <v>0.60003301715220236</v>
      </c>
      <c r="G30">
        <f>F30^2/(PI()*'Données géométriques'!$B$6)</f>
        <v>3.5807052483768899E-2</v>
      </c>
      <c r="H30">
        <f t="shared" si="2"/>
        <v>8.7867052483768901E-2</v>
      </c>
      <c r="I30">
        <f t="shared" si="5"/>
        <v>0.23059010846813921</v>
      </c>
      <c r="J30">
        <f>XCP_3D('Données géométriques'!$B$9,'Données géométriques'!$B$10,'Données géométriques'!$B$12,'Données géométriques'!$B$11,I30)</f>
        <v>-0.21316400844726954</v>
      </c>
      <c r="K30">
        <f>'5kts'!K30</f>
        <v>1.1514536950961625</v>
      </c>
      <c r="L30">
        <f t="shared" si="3"/>
        <v>-4.6835991552730466E-2</v>
      </c>
      <c r="M30">
        <f t="shared" si="4"/>
        <v>0.42199999999999999</v>
      </c>
    </row>
    <row r="31" spans="1:13" x14ac:dyDescent="0.25">
      <c r="A31">
        <v>13.5</v>
      </c>
      <c r="B31">
        <f t="shared" si="1"/>
        <v>0.23561944901923448</v>
      </c>
      <c r="C31">
        <v>1.0376000000000001</v>
      </c>
      <c r="D31">
        <v>6.9559999999999997E-2</v>
      </c>
      <c r="E31">
        <v>6.7999999999999996E-3</v>
      </c>
      <c r="F31">
        <f>C31*'Données géométriques'!$B$6/(2+('Données géométriques'!$B$6^2+4)^0.5)</f>
        <v>0.57514481163706721</v>
      </c>
      <c r="G31">
        <f>F31^2/(PI()*'Données géométriques'!$B$6)</f>
        <v>3.2898241845926136E-2</v>
      </c>
      <c r="H31">
        <f t="shared" si="2"/>
        <v>0.10245824184592614</v>
      </c>
      <c r="I31">
        <f t="shared" si="5"/>
        <v>0.24336695046669743</v>
      </c>
      <c r="J31">
        <f>XCP_3D('Données géométriques'!$B$9,'Données géométriques'!$B$10,'Données géométriques'!$B$12,'Données géométriques'!$B$11,I31)</f>
        <v>-0.22257160299294379</v>
      </c>
      <c r="K31">
        <f>'5kts'!K31</f>
        <v>1.1514536950961625</v>
      </c>
      <c r="L31">
        <f t="shared" si="3"/>
        <v>-3.7428397007056219E-2</v>
      </c>
      <c r="M31">
        <f t="shared" si="4"/>
        <v>0.437</v>
      </c>
    </row>
    <row r="32" spans="1:13" x14ac:dyDescent="0.25">
      <c r="A32">
        <v>14</v>
      </c>
      <c r="B32">
        <f t="shared" si="1"/>
        <v>0.24434609527920614</v>
      </c>
      <c r="C32">
        <v>0.95469999999999999</v>
      </c>
      <c r="D32">
        <v>9.801E-2</v>
      </c>
      <c r="E32">
        <v>-1.17E-2</v>
      </c>
      <c r="F32">
        <f>C32*'Données géométriques'!$B$6/(2+('Données géométriques'!$B$6^2+4)^0.5)</f>
        <v>0.5291930914320625</v>
      </c>
      <c r="G32">
        <f>F32^2/(PI()*'Données géométriques'!$B$6)</f>
        <v>2.7851372889563322E-2</v>
      </c>
      <c r="H32">
        <f t="shared" si="2"/>
        <v>0.12586137288956331</v>
      </c>
      <c r="I32">
        <f t="shared" si="5"/>
        <v>0.26231511415348441</v>
      </c>
      <c r="J32">
        <f>XCP_3D('Données géométriques'!$B$9,'Données géométriques'!$B$10,'Données géométriques'!$B$12,'Données géométriques'!$B$11,I32)</f>
        <v>-0.23652314449047868</v>
      </c>
      <c r="K32">
        <f>'5kts'!K32</f>
        <v>1.1514536950961625</v>
      </c>
      <c r="L32">
        <f t="shared" si="3"/>
        <v>-2.3476855509521333E-2</v>
      </c>
      <c r="M32">
        <f t="shared" si="4"/>
        <v>0.45100000000000001</v>
      </c>
    </row>
    <row r="33" spans="1:13" x14ac:dyDescent="0.25">
      <c r="A33">
        <v>14.5</v>
      </c>
      <c r="B33">
        <f t="shared" si="1"/>
        <v>0.2530727415391778</v>
      </c>
      <c r="C33">
        <v>0.75070000000000003</v>
      </c>
      <c r="D33">
        <v>0.12564</v>
      </c>
      <c r="E33">
        <v>-1E-3</v>
      </c>
      <c r="F33">
        <f>C33*'Données géométriques'!$B$6/(2+('Données géométriques'!$B$6^2+4)^0.5)</f>
        <v>0.41611527572855278</v>
      </c>
      <c r="G33">
        <f>F33^2/(PI()*'Données géométriques'!$B$6)</f>
        <v>1.7220493552311814E-2</v>
      </c>
      <c r="H33">
        <f t="shared" ref="H33" si="6">G33+D33</f>
        <v>0.14286049355231181</v>
      </c>
      <c r="I33">
        <f t="shared" ref="I33" si="7">0.25-E33/(C33*COS(B33)+D33*SIN(B33))</f>
        <v>0.25131883289343632</v>
      </c>
      <c r="J33">
        <f>XCP_3D('Données géométriques'!$B$9,'Données géométriques'!$B$10,'Données géométriques'!$B$12,'Données géométriques'!$B$11,I33)</f>
        <v>-0.22842657762236027</v>
      </c>
      <c r="K33">
        <f>'5kts'!K33</f>
        <v>1.1514536950961625</v>
      </c>
      <c r="L33">
        <f t="shared" ref="L33" si="8" xml:space="preserve"> -(J33+0.26)</f>
        <v>-3.1573422377639743E-2</v>
      </c>
      <c r="M33">
        <f t="shared" si="4"/>
        <v>0.46600000000000003</v>
      </c>
    </row>
    <row r="34" spans="1:13" x14ac:dyDescent="0.25">
      <c r="A34">
        <v>15</v>
      </c>
      <c r="B34">
        <f t="shared" si="1"/>
        <v>0.26179938779914941</v>
      </c>
      <c r="C34">
        <v>0.75780000000000003</v>
      </c>
      <c r="D34">
        <v>0.17261000000000001</v>
      </c>
      <c r="E34">
        <v>-4.4999999999999998E-2</v>
      </c>
      <c r="F34">
        <f>C34*'Données géométriques'!$B$6/(2+('Données géométriques'!$B$6^2+4)^0.5)</f>
        <v>0.4200508271574494</v>
      </c>
      <c r="G34">
        <f>F34^2/(PI()*'Données géométriques'!$B$6)</f>
        <v>1.7547771261036724E-2</v>
      </c>
      <c r="H34">
        <f t="shared" si="2"/>
        <v>0.19015777126103672</v>
      </c>
      <c r="I34">
        <f t="shared" si="5"/>
        <v>0.30794090787176703</v>
      </c>
      <c r="J34">
        <f>XCP_3D('Données géométriques'!$B$9,'Données géométriques'!$B$10,'Données géométriques'!$B$12,'Données géométriques'!$B$11,I34)</f>
        <v>-0.27011743705311198</v>
      </c>
      <c r="K34">
        <f>'5kts'!K33</f>
        <v>1.1514536950961625</v>
      </c>
      <c r="L34">
        <f t="shared" si="3"/>
        <v>1.0117437053111966E-2</v>
      </c>
      <c r="M34">
        <f t="shared" si="4"/>
        <v>0.48</v>
      </c>
    </row>
    <row r="35" spans="1:13" x14ac:dyDescent="0.25">
      <c r="A35">
        <v>15.5</v>
      </c>
      <c r="B35">
        <f t="shared" si="1"/>
        <v>0.27052603405912107</v>
      </c>
      <c r="C35">
        <v>0.7631</v>
      </c>
      <c r="D35">
        <v>0.18279000000000001</v>
      </c>
      <c r="E35">
        <v>-4.9500000000000002E-2</v>
      </c>
      <c r="F35">
        <f>C35*'Données géométriques'!$B$6/(2+('Données géométriques'!$B$6^2+4)^0.5)</f>
        <v>0.42298863315366803</v>
      </c>
      <c r="G35">
        <f>F35^2/(PI()*'Données géométriques'!$B$6)</f>
        <v>1.779408537179487E-2</v>
      </c>
      <c r="H35">
        <f t="shared" si="2"/>
        <v>0.20058408537179487</v>
      </c>
      <c r="I35">
        <f t="shared" si="5"/>
        <v>0.31312206302103296</v>
      </c>
      <c r="J35">
        <f>XCP_3D('Données géométriques'!$B$9,'Données géométriques'!$B$10,'Données géométriques'!$B$12,'Données géométriques'!$B$11,I35)</f>
        <v>-0.27393232393423861</v>
      </c>
      <c r="K35">
        <f>'5kts'!K34</f>
        <v>1.1514536950961625</v>
      </c>
      <c r="L35">
        <f t="shared" si="3"/>
        <v>1.39323239342386E-2</v>
      </c>
      <c r="M35">
        <f t="shared" si="4"/>
        <v>0.495</v>
      </c>
    </row>
    <row r="36" spans="1:13" x14ac:dyDescent="0.25">
      <c r="A36">
        <v>16</v>
      </c>
      <c r="B36">
        <f t="shared" si="1"/>
        <v>0.27925268031909273</v>
      </c>
      <c r="C36">
        <v>0.77159999999999995</v>
      </c>
      <c r="D36">
        <v>0.19217999999999999</v>
      </c>
      <c r="E36">
        <v>-5.3900000000000003E-2</v>
      </c>
      <c r="F36">
        <f>C36*'Données géométriques'!$B$6/(2+('Données géométriques'!$B$6^2+4)^0.5)</f>
        <v>0.42770020880798093</v>
      </c>
      <c r="G36">
        <f>F36^2/(PI()*'Données géométriques'!$B$6)</f>
        <v>1.8192701789225774E-2</v>
      </c>
      <c r="H36">
        <f t="shared" si="2"/>
        <v>0.21037270178922576</v>
      </c>
      <c r="I36">
        <f t="shared" si="5"/>
        <v>0.31782591416988276</v>
      </c>
      <c r="J36">
        <f>XCP_3D('Données géométriques'!$B$9,'Données géométriques'!$B$10,'Données géométriques'!$B$12,'Données géométriques'!$B$11,I36)</f>
        <v>-0.27739577166385526</v>
      </c>
      <c r="K36">
        <f>'5kts'!K35</f>
        <v>1.1514536950961625</v>
      </c>
      <c r="L36">
        <f t="shared" si="3"/>
        <v>1.7395771663855253E-2</v>
      </c>
      <c r="M36">
        <f t="shared" si="4"/>
        <v>0.50900000000000001</v>
      </c>
    </row>
    <row r="37" spans="1:13" x14ac:dyDescent="0.25">
      <c r="A37">
        <v>16.5</v>
      </c>
      <c r="B37">
        <f t="shared" si="1"/>
        <v>0.28797932657906439</v>
      </c>
      <c r="C37">
        <v>0.78269999999999995</v>
      </c>
      <c r="D37">
        <v>0.20077</v>
      </c>
      <c r="E37">
        <v>-5.8200000000000002E-2</v>
      </c>
      <c r="F37">
        <f>C37*'Données géométriques'!$B$6/(2+('Données géométriques'!$B$6^2+4)^0.5)</f>
        <v>0.43385297230949543</v>
      </c>
      <c r="G37">
        <f>F37^2/(PI()*'Données géométriques'!$B$6)</f>
        <v>1.8719895946620217E-2</v>
      </c>
      <c r="H37">
        <f t="shared" si="2"/>
        <v>0.21948989594662022</v>
      </c>
      <c r="I37">
        <f t="shared" si="5"/>
        <v>0.32207519890198111</v>
      </c>
      <c r="J37">
        <f>XCP_3D('Données géométriques'!$B$9,'Données géométriques'!$B$10,'Données géométriques'!$B$12,'Données géométriques'!$B$11,I37)</f>
        <v>-0.28052452193510508</v>
      </c>
      <c r="K37">
        <f>'5kts'!K36</f>
        <v>1.1514536950961625</v>
      </c>
      <c r="L37">
        <f t="shared" si="3"/>
        <v>2.0524521935105067E-2</v>
      </c>
      <c r="M37">
        <f t="shared" si="4"/>
        <v>0.52200000000000002</v>
      </c>
    </row>
    <row r="38" spans="1:13" x14ac:dyDescent="0.25">
      <c r="A38">
        <v>17</v>
      </c>
      <c r="B38">
        <f t="shared" si="1"/>
        <v>0.29670597283903605</v>
      </c>
      <c r="C38">
        <v>0.79700000000000004</v>
      </c>
      <c r="D38">
        <v>0.20752000000000001</v>
      </c>
      <c r="E38">
        <v>-6.1899999999999997E-2</v>
      </c>
      <c r="F38">
        <f>C38*'Données géométriques'!$B$6/(2+('Données géométriques'!$B$6^2+4)^0.5)</f>
        <v>0.44177950546910427</v>
      </c>
      <c r="G38">
        <f>F38^2/(PI()*'Données géométriques'!$B$6)</f>
        <v>1.9410172971139526E-2</v>
      </c>
      <c r="H38">
        <f t="shared" si="2"/>
        <v>0.22693017297113954</v>
      </c>
      <c r="I38">
        <f t="shared" si="5"/>
        <v>0.32522654248440852</v>
      </c>
      <c r="J38">
        <f>XCP_3D('Données géométriques'!$B$9,'Données géométriques'!$B$10,'Données géométriques'!$B$12,'Données géométriques'!$B$11,I38)</f>
        <v>-0.28284485764098172</v>
      </c>
      <c r="K38">
        <f>'5kts'!K37</f>
        <v>1.1514536950961625</v>
      </c>
      <c r="L38">
        <f t="shared" si="3"/>
        <v>2.2844857640981708E-2</v>
      </c>
      <c r="M38">
        <f t="shared" si="4"/>
        <v>0.53600000000000003</v>
      </c>
    </row>
    <row r="39" spans="1:13" x14ac:dyDescent="0.25">
      <c r="A39">
        <v>17.5</v>
      </c>
      <c r="B39">
        <f t="shared" si="1"/>
        <v>0.30543261909900765</v>
      </c>
      <c r="C39">
        <v>0.81299999999999994</v>
      </c>
      <c r="D39">
        <v>0.21298</v>
      </c>
      <c r="E39">
        <v>-6.5199999999999994E-2</v>
      </c>
      <c r="F39">
        <f>C39*'Données géométriques'!$B$6/(2+('Données géométriques'!$B$6^2+4)^0.5)</f>
        <v>0.45064835375957552</v>
      </c>
      <c r="G39">
        <f>F39^2/(PI()*'Données géométriques'!$B$6)</f>
        <v>2.0197325004149995E-2</v>
      </c>
      <c r="H39">
        <f t="shared" si="2"/>
        <v>0.23317732500415</v>
      </c>
      <c r="I39">
        <f t="shared" si="5"/>
        <v>0.32767303017744215</v>
      </c>
      <c r="J39">
        <f>XCP_3D('Données géométriques'!$B$9,'Données géométriques'!$B$10,'Données géométriques'!$B$12,'Données géométriques'!$B$11,I39)</f>
        <v>-0.28464620763651383</v>
      </c>
      <c r="K39">
        <f>'5kts'!K38</f>
        <v>1.1514536950961625</v>
      </c>
      <c r="L39">
        <f t="shared" si="3"/>
        <v>2.4646207636513817E-2</v>
      </c>
      <c r="M39">
        <f t="shared" si="4"/>
        <v>0.54900000000000004</v>
      </c>
    </row>
    <row r="40" spans="1:13" x14ac:dyDescent="0.25">
      <c r="A40">
        <v>18</v>
      </c>
      <c r="B40">
        <f t="shared" si="1"/>
        <v>0.31415926535897931</v>
      </c>
      <c r="C40">
        <v>0.82489999999999997</v>
      </c>
      <c r="D40">
        <v>0.22214</v>
      </c>
      <c r="E40">
        <v>-7.0000000000000007E-2</v>
      </c>
      <c r="F40">
        <f>C40*'Données géométriques'!$B$6/(2+('Données géométriques'!$B$6^2+4)^0.5)</f>
        <v>0.45724455967561362</v>
      </c>
      <c r="G40">
        <f>F40^2/(PI()*'Données géométriques'!$B$6)</f>
        <v>2.0792914606127002E-2</v>
      </c>
      <c r="H40">
        <f t="shared" si="2"/>
        <v>0.24293291460612701</v>
      </c>
      <c r="I40">
        <f t="shared" si="5"/>
        <v>0.33204680471953824</v>
      </c>
      <c r="J40">
        <f>XCP_3D('Données géométriques'!$B$9,'Données géométriques'!$B$10,'Données géométriques'!$B$12,'Données géométriques'!$B$11,I40)</f>
        <v>-0.28786661981120298</v>
      </c>
      <c r="K40">
        <f>'5kts'!K39</f>
        <v>1.1514536950961625</v>
      </c>
      <c r="L40">
        <f t="shared" si="3"/>
        <v>2.7866619811202975E-2</v>
      </c>
      <c r="M40">
        <f t="shared" si="4"/>
        <v>0.56200000000000006</v>
      </c>
    </row>
    <row r="41" spans="1:13" x14ac:dyDescent="0.25">
      <c r="A41">
        <v>18.5</v>
      </c>
      <c r="B41">
        <f t="shared" si="1"/>
        <v>0.32288591161895097</v>
      </c>
      <c r="C41">
        <v>0.83840000000000003</v>
      </c>
      <c r="D41">
        <v>0.23061999999999999</v>
      </c>
      <c r="E41">
        <v>-7.46E-2</v>
      </c>
      <c r="F41">
        <f>C41*'Données géométriques'!$B$6/(2+('Données géométriques'!$B$6^2+4)^0.5)</f>
        <v>0.46472765042069886</v>
      </c>
      <c r="G41">
        <f>F41^2/(PI()*'Données géométriques'!$B$6)</f>
        <v>2.147906152704453E-2</v>
      </c>
      <c r="H41">
        <f t="shared" si="2"/>
        <v>0.25209906152704453</v>
      </c>
      <c r="I41">
        <f t="shared" si="5"/>
        <v>0.33591982010172461</v>
      </c>
      <c r="J41">
        <f>XCP_3D('Données géométriques'!$B$9,'Données géométriques'!$B$10,'Données géométriques'!$B$12,'Données géométriques'!$B$11,I41)</f>
        <v>-0.29071832278983134</v>
      </c>
      <c r="K41">
        <f>'5kts'!K40</f>
        <v>1.1514536950961625</v>
      </c>
      <c r="L41">
        <f t="shared" si="3"/>
        <v>3.0718322789831332E-2</v>
      </c>
      <c r="M41">
        <f t="shared" si="4"/>
        <v>0.57399999999999995</v>
      </c>
    </row>
    <row r="42" spans="1:13" x14ac:dyDescent="0.25">
      <c r="A42">
        <v>19</v>
      </c>
      <c r="B42">
        <f t="shared" si="1"/>
        <v>0.33161255787892263</v>
      </c>
      <c r="C42">
        <v>0.85329999999999995</v>
      </c>
      <c r="D42">
        <v>0.23813999999999999</v>
      </c>
      <c r="E42">
        <v>-7.8899999999999998E-2</v>
      </c>
      <c r="F42">
        <f>C42*'Données géométriques'!$B$6/(2+('Données géométriques'!$B$6^2+4)^0.5)</f>
        <v>0.47298676539120027</v>
      </c>
      <c r="G42">
        <f>F42^2/(PI()*'Données géométriques'!$B$6)</f>
        <v>2.2249294986059785E-2</v>
      </c>
      <c r="H42">
        <f t="shared" si="2"/>
        <v>0.26038929498605978</v>
      </c>
      <c r="I42">
        <f t="shared" si="5"/>
        <v>0.33921889695042529</v>
      </c>
      <c r="J42">
        <f>XCP_3D('Données géométriques'!$B$9,'Données géométriques'!$B$10,'Données géométriques'!$B$12,'Données géométriques'!$B$11,I42)</f>
        <v>-0.29314743456652093</v>
      </c>
      <c r="K42">
        <f>'5kts'!K41</f>
        <v>1.1514536950961625</v>
      </c>
      <c r="L42">
        <f t="shared" si="3"/>
        <v>3.3147434566520917E-2</v>
      </c>
      <c r="M42">
        <f t="shared" si="4"/>
        <v>0.58499999999999996</v>
      </c>
    </row>
    <row r="43" spans="1:13" x14ac:dyDescent="0.25">
      <c r="A43">
        <v>20</v>
      </c>
      <c r="B43">
        <f t="shared" si="1"/>
        <v>0.3490658503988659</v>
      </c>
      <c r="C43">
        <v>0.88339999999999996</v>
      </c>
      <c r="D43">
        <v>0.25546999999999997</v>
      </c>
      <c r="E43">
        <v>-8.8599999999999998E-2</v>
      </c>
      <c r="F43">
        <f>C43*'Données géométriques'!$B$6/(2+('Données géométriques'!$B$6^2+4)^0.5)</f>
        <v>0.48967128623764949</v>
      </c>
      <c r="G43">
        <f>F43^2/(PI()*'Données géométriques'!$B$6)</f>
        <v>2.3846659612047828E-2</v>
      </c>
      <c r="H43">
        <f t="shared" si="2"/>
        <v>0.27931665961204782</v>
      </c>
      <c r="I43">
        <f t="shared" si="5"/>
        <v>0.34656672094858548</v>
      </c>
      <c r="J43">
        <f>XCP_3D('Données géométriques'!$B$9,'Données géométriques'!$B$10,'Données géométriques'!$B$12,'Données géométriques'!$B$11,I43)</f>
        <v>-0.29855764070161062</v>
      </c>
      <c r="K43">
        <f>'5kts'!K42</f>
        <v>1.1514536950961625</v>
      </c>
      <c r="L43">
        <f t="shared" si="3"/>
        <v>3.8557640701610607E-2</v>
      </c>
      <c r="M43">
        <f t="shared" si="4"/>
        <v>0.60699999999999998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F2A36-DBB2-426D-A76D-B788AAD0C0FB}">
  <sheetPr codeName="Feuil3"/>
  <dimension ref="A1:M43"/>
  <sheetViews>
    <sheetView topLeftCell="A7" workbookViewId="0">
      <selection activeCell="M43" sqref="M43"/>
    </sheetView>
  </sheetViews>
  <sheetFormatPr baseColWidth="10" defaultRowHeight="15" x14ac:dyDescent="0.25"/>
  <sheetData>
    <row r="1" spans="1:13" x14ac:dyDescent="0.25">
      <c r="A1">
        <v>15</v>
      </c>
      <c r="C1">
        <f>ROUND(((A1*0.514)/15.6)*1000000,0)</f>
        <v>494231</v>
      </c>
    </row>
    <row r="2" spans="1:13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23</v>
      </c>
      <c r="J2" t="s">
        <v>24</v>
      </c>
      <c r="K2" t="s">
        <v>26</v>
      </c>
      <c r="L2" t="s">
        <v>25</v>
      </c>
      <c r="M2" t="s">
        <v>11</v>
      </c>
    </row>
    <row r="3" spans="1:13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25">
      <c r="A4">
        <v>0</v>
      </c>
      <c r="B4">
        <f>RADIANS(A4)</f>
        <v>0</v>
      </c>
      <c r="C4">
        <v>0</v>
      </c>
      <c r="D4">
        <v>6.3499999999999997E-3</v>
      </c>
      <c r="E4">
        <v>0</v>
      </c>
      <c r="F4">
        <f>C4*'Données géométriques'!$B$6/(2+('Données géométriques'!$B$6^2+4)^0.5)</f>
        <v>0</v>
      </c>
      <c r="G4">
        <f>F4^2/(PI()*'Données géométriques'!$B$6)</f>
        <v>0</v>
      </c>
      <c r="H4">
        <f>G4+D4</f>
        <v>6.3499999999999997E-3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'5kts'!K4</f>
        <v>1.1514536950961625</v>
      </c>
      <c r="L4">
        <f xml:space="preserve"> -(J4+0.26)</f>
        <v>-0.21661959277092063</v>
      </c>
      <c r="M4">
        <f t="shared" ref="M4" si="0">ROUND( A4^3 * - 0.00006 + 0.0023*A4^2 + 0.0003*A4 + 0.1609,3)</f>
        <v>0.161</v>
      </c>
    </row>
    <row r="5" spans="1:13" x14ac:dyDescent="0.25">
      <c r="A5">
        <v>0.5</v>
      </c>
      <c r="B5">
        <f t="shared" ref="B5:B43" si="1">RADIANS(A5)</f>
        <v>8.7266462599716477E-3</v>
      </c>
      <c r="C5">
        <v>5.1400000000000001E-2</v>
      </c>
      <c r="D5">
        <v>6.3899999999999998E-3</v>
      </c>
      <c r="E5">
        <v>1.1999999999999999E-3</v>
      </c>
      <c r="F5">
        <f>C5*'Données géométriques'!$B$6/(2+('Données géométriques'!$B$6^2+4)^0.5)</f>
        <v>2.8491175133139219E-2</v>
      </c>
      <c r="G5">
        <f>F5^2/(PI()*'Données géométriques'!$B$6)</f>
        <v>8.0730752528430434E-5</v>
      </c>
      <c r="H5">
        <f t="shared" ref="H5:H40" si="2">G5+D5</f>
        <v>6.4707307525284303E-3</v>
      </c>
      <c r="I5">
        <f>0.25-E5/(C5*COS(B5)+D5*SIN(B5))</f>
        <v>0.22667810980159342</v>
      </c>
      <c r="J5">
        <f>XCP_3D('Données géométriques'!$B$9,'Données géométriques'!$B$10,'Données géométriques'!$B$12,'Données géométriques'!$B$11,I5)</f>
        <v>-0.21028360205872598</v>
      </c>
      <c r="K5">
        <f>'5kts'!K5</f>
        <v>1.1514536950961625</v>
      </c>
      <c r="L5">
        <f t="shared" ref="L5:L40" si="3" xml:space="preserve"> -(J5+0.26)</f>
        <v>-4.9716397941274026E-2</v>
      </c>
      <c r="M5">
        <f t="shared" ref="M5:M40" si="4">ROUND( A5^3 * -0.00006 + 0.0023*A5^2 + 0.0003*A5 + 0.1609,3)</f>
        <v>0.16200000000000001</v>
      </c>
    </row>
    <row r="6" spans="1:13" x14ac:dyDescent="0.25">
      <c r="A6">
        <v>1</v>
      </c>
      <c r="B6">
        <f t="shared" si="1"/>
        <v>1.7453292519943295E-2</v>
      </c>
      <c r="C6">
        <v>0.1027</v>
      </c>
      <c r="D6">
        <v>6.5300000000000002E-3</v>
      </c>
      <c r="E6">
        <v>2.5000000000000001E-3</v>
      </c>
      <c r="F6">
        <f>C6*'Données géométriques'!$B$6/(2+('Données géométriques'!$B$6^2+4)^0.5)</f>
        <v>5.6926919964462988E-2</v>
      </c>
      <c r="G6">
        <f>F6^2/(PI()*'Données géométriques'!$B$6)</f>
        <v>3.2229506080167338E-4</v>
      </c>
      <c r="H6">
        <f t="shared" si="2"/>
        <v>6.852295060801674E-3</v>
      </c>
      <c r="I6">
        <f t="shared" ref="I6:I40" si="5">0.25-E6/(C6*COS(B6)+D6*SIN(B6))</f>
        <v>0.22568053700643248</v>
      </c>
      <c r="J6">
        <f>XCP_3D('Données géométriques'!$B$9,'Données géométriques'!$B$10,'Données géométriques'!$B$12,'Données géométriques'!$B$11,I6)</f>
        <v>-0.2095490887581978</v>
      </c>
      <c r="K6">
        <f>'5kts'!K6</f>
        <v>1.1514536950961625</v>
      </c>
      <c r="L6">
        <f t="shared" si="3"/>
        <v>-5.0450911241802204E-2</v>
      </c>
      <c r="M6">
        <f t="shared" si="4"/>
        <v>0.16300000000000001</v>
      </c>
    </row>
    <row r="7" spans="1:13" x14ac:dyDescent="0.25">
      <c r="A7">
        <v>1.5</v>
      </c>
      <c r="B7">
        <f t="shared" si="1"/>
        <v>2.6179938779914945E-2</v>
      </c>
      <c r="C7">
        <v>0.154</v>
      </c>
      <c r="D7">
        <v>6.7999999999999996E-3</v>
      </c>
      <c r="E7">
        <v>3.8E-3</v>
      </c>
      <c r="F7">
        <f>C7*'Données géométriques'!$B$6/(2+('Données géométriques'!$B$6^2+4)^0.5)</f>
        <v>8.5362664795786761E-2</v>
      </c>
      <c r="G7">
        <f>F7^2/(PI()*'Données géométriques'!$B$6)</f>
        <v>7.2469323039117022E-4</v>
      </c>
      <c r="H7">
        <f t="shared" si="2"/>
        <v>7.5246932303911695E-3</v>
      </c>
      <c r="I7">
        <f t="shared" si="5"/>
        <v>0.22534472475351316</v>
      </c>
      <c r="J7">
        <f>XCP_3D('Données géométriques'!$B$9,'Données géométriques'!$B$10,'Données géométriques'!$B$12,'Données géométriques'!$B$11,I7)</f>
        <v>-0.20930183004440209</v>
      </c>
      <c r="K7">
        <f>'5kts'!K7</f>
        <v>1.1514536950961625</v>
      </c>
      <c r="L7">
        <f t="shared" si="3"/>
        <v>-5.0698169955597921E-2</v>
      </c>
      <c r="M7">
        <f t="shared" si="4"/>
        <v>0.16600000000000001</v>
      </c>
    </row>
    <row r="8" spans="1:13" x14ac:dyDescent="0.25">
      <c r="A8">
        <v>2</v>
      </c>
      <c r="B8">
        <f t="shared" si="1"/>
        <v>3.4906585039886591E-2</v>
      </c>
      <c r="C8">
        <v>0.2074</v>
      </c>
      <c r="D8">
        <v>7.1999999999999998E-3</v>
      </c>
      <c r="E8">
        <v>4.4999999999999997E-3</v>
      </c>
      <c r="F8">
        <f>C8*'Données géométriques'!$B$6/(2+('Données géométriques'!$B$6^2+4)^0.5)</f>
        <v>0.1149624459652349</v>
      </c>
      <c r="G8">
        <f>F8^2/(PI()*'Données géométriques'!$B$6)</f>
        <v>1.3144082214075264E-3</v>
      </c>
      <c r="H8">
        <f t="shared" si="2"/>
        <v>8.5144082214075253E-3</v>
      </c>
      <c r="I8">
        <f t="shared" si="5"/>
        <v>0.22831585865162587</v>
      </c>
      <c r="J8">
        <f>XCP_3D('Données géométriques'!$B$9,'Données géométriques'!$B$10,'Données géométriques'!$B$12,'Données géométriques'!$B$11,I8)</f>
        <v>-0.21148947727816403</v>
      </c>
      <c r="K8">
        <f>'5kts'!K8</f>
        <v>1.1514536950961625</v>
      </c>
      <c r="L8">
        <f t="shared" si="3"/>
        <v>-4.851052272183598E-2</v>
      </c>
      <c r="M8">
        <f t="shared" si="4"/>
        <v>0.17</v>
      </c>
    </row>
    <row r="9" spans="1:13" x14ac:dyDescent="0.25">
      <c r="A9">
        <v>2.5</v>
      </c>
      <c r="B9">
        <f t="shared" si="1"/>
        <v>4.3633231299858237E-2</v>
      </c>
      <c r="C9">
        <v>0.26540000000000002</v>
      </c>
      <c r="D9">
        <v>7.7499999999999999E-3</v>
      </c>
      <c r="E9">
        <v>4.0000000000000001E-3</v>
      </c>
      <c r="F9">
        <f>C9*'Données géométriques'!$B$6/(2+('Données géométriques'!$B$6^2+4)^0.5)</f>
        <v>0.14711202101819354</v>
      </c>
      <c r="G9">
        <f>F9^2/(PI()*'Données géométriques'!$B$6)</f>
        <v>2.1523584508340242E-3</v>
      </c>
      <c r="H9">
        <f t="shared" si="2"/>
        <v>9.9023584508340246E-3</v>
      </c>
      <c r="I9">
        <f t="shared" si="5"/>
        <v>0.23493326083889896</v>
      </c>
      <c r="J9">
        <f>XCP_3D('Données géométriques'!$B$9,'Données géométriques'!$B$10,'Données géométriques'!$B$12,'Données géométriques'!$B$11,I9)</f>
        <v>-0.21636187350334374</v>
      </c>
      <c r="K9">
        <f>'5kts'!K9</f>
        <v>1.1514536950961625</v>
      </c>
      <c r="L9">
        <f t="shared" si="3"/>
        <v>-4.3638126496656271E-2</v>
      </c>
      <c r="M9">
        <f t="shared" si="4"/>
        <v>0.17499999999999999</v>
      </c>
    </row>
    <row r="10" spans="1:13" x14ac:dyDescent="0.25">
      <c r="A10">
        <v>3</v>
      </c>
      <c r="B10">
        <f t="shared" si="1"/>
        <v>5.235987755982989E-2</v>
      </c>
      <c r="C10">
        <v>0.3266</v>
      </c>
      <c r="D10">
        <v>8.3800000000000003E-3</v>
      </c>
      <c r="E10">
        <v>2.7000000000000001E-3</v>
      </c>
      <c r="F10">
        <f>C10*'Données géométriques'!$B$6/(2+('Données géométriques'!$B$6^2+4)^0.5)</f>
        <v>0.18103536572924644</v>
      </c>
      <c r="G10">
        <f>F10^2/(PI()*'Données géométriques'!$B$6)</f>
        <v>3.2594560058333594E-3</v>
      </c>
      <c r="H10">
        <f t="shared" si="2"/>
        <v>1.1639456005833359E-2</v>
      </c>
      <c r="I10">
        <f t="shared" si="5"/>
        <v>0.24173277844745686</v>
      </c>
      <c r="J10">
        <f>XCP_3D('Données géométriques'!$B$9,'Données géométriques'!$B$10,'Données géométriques'!$B$12,'Données géométriques'!$B$11,I10)</f>
        <v>-0.22136836139563451</v>
      </c>
      <c r="K10">
        <f>'5kts'!K10</f>
        <v>1.1514536950961625</v>
      </c>
      <c r="L10">
        <f t="shared" si="3"/>
        <v>-3.8631638604365498E-2</v>
      </c>
      <c r="M10">
        <f t="shared" si="4"/>
        <v>0.18099999999999999</v>
      </c>
    </row>
    <row r="11" spans="1:13" x14ac:dyDescent="0.25">
      <c r="A11">
        <v>3.5</v>
      </c>
      <c r="B11">
        <f t="shared" si="1"/>
        <v>6.1086523819801536E-2</v>
      </c>
      <c r="C11">
        <v>0.3896</v>
      </c>
      <c r="D11">
        <v>9.0500000000000008E-3</v>
      </c>
      <c r="E11">
        <v>8.0000000000000004E-4</v>
      </c>
      <c r="F11">
        <f>C11*'Données géométriques'!$B$6/(2+('Données géométriques'!$B$6^2+4)^0.5)</f>
        <v>0.2159564558729774</v>
      </c>
      <c r="G11">
        <f>F11^2/(PI()*'Données géométriques'!$B$6)</f>
        <v>4.6382126836537274E-3</v>
      </c>
      <c r="H11">
        <f t="shared" si="2"/>
        <v>1.3688212683653729E-2</v>
      </c>
      <c r="I11">
        <f t="shared" si="5"/>
        <v>0.24794569341287187</v>
      </c>
      <c r="J11">
        <f>XCP_3D('Données géométriques'!$B$9,'Données géométriques'!$B$10,'Données géométriques'!$B$12,'Données géométriques'!$B$11,I11)</f>
        <v>-0.22594293349631209</v>
      </c>
      <c r="K11">
        <f>'5kts'!K11</f>
        <v>1.1514536950961625</v>
      </c>
      <c r="L11">
        <f t="shared" si="3"/>
        <v>-3.4057066503687922E-2</v>
      </c>
      <c r="M11">
        <f t="shared" si="4"/>
        <v>0.188</v>
      </c>
    </row>
    <row r="12" spans="1:13" x14ac:dyDescent="0.25">
      <c r="A12">
        <v>4</v>
      </c>
      <c r="B12">
        <f t="shared" si="1"/>
        <v>6.9813170079773182E-2</v>
      </c>
      <c r="C12">
        <v>0.45529999999999998</v>
      </c>
      <c r="D12">
        <v>9.7000000000000003E-3</v>
      </c>
      <c r="E12">
        <v>-1.6999999999999999E-3</v>
      </c>
      <c r="F12">
        <f>C12*'Données géométriques'!$B$6/(2+('Données géométriques'!$B$6^2+4)^0.5)</f>
        <v>0.25237416416572539</v>
      </c>
      <c r="G12">
        <f>F12^2/(PI()*'Données géométriques'!$B$6)</f>
        <v>6.3344376157876327E-3</v>
      </c>
      <c r="H12">
        <f t="shared" si="2"/>
        <v>1.6034437615787635E-2</v>
      </c>
      <c r="I12">
        <f t="shared" si="5"/>
        <v>0.25373735167622674</v>
      </c>
      <c r="J12">
        <f>XCP_3D('Données géométriques'!$B$9,'Données géométriques'!$B$10,'Données géométriques'!$B$12,'Données géométriques'!$B$11,I12)</f>
        <v>-0.23020733409662364</v>
      </c>
      <c r="K12">
        <f>'5kts'!K12</f>
        <v>1.1514536950961625</v>
      </c>
      <c r="L12">
        <f t="shared" si="3"/>
        <v>-2.979266590337637E-2</v>
      </c>
      <c r="M12">
        <f t="shared" si="4"/>
        <v>0.19500000000000001</v>
      </c>
    </row>
    <row r="13" spans="1:13" x14ac:dyDescent="0.25">
      <c r="A13">
        <v>4.5</v>
      </c>
      <c r="B13">
        <f t="shared" si="1"/>
        <v>7.8539816339744828E-2</v>
      </c>
      <c r="C13">
        <v>0.52149999999999996</v>
      </c>
      <c r="D13">
        <v>1.0290000000000001E-2</v>
      </c>
      <c r="E13">
        <v>-4.3E-3</v>
      </c>
      <c r="F13">
        <f>C13*'Données géométriques'!$B$6/(2+('Données géométriques'!$B$6^2+4)^0.5)</f>
        <v>0.28906902396755063</v>
      </c>
      <c r="G13">
        <f>F13^2/(PI()*'Données géométriques'!$B$6)</f>
        <v>8.3103896735094891E-3</v>
      </c>
      <c r="H13">
        <f t="shared" si="2"/>
        <v>1.860038967350949E-2</v>
      </c>
      <c r="I13">
        <f t="shared" si="5"/>
        <v>0.25825811830162909</v>
      </c>
      <c r="J13">
        <f>XCP_3D('Données géométriques'!$B$9,'Données géométriques'!$B$10,'Données géométriques'!$B$12,'Données géométriques'!$B$11,I13)</f>
        <v>-0.23353597660877243</v>
      </c>
      <c r="K13">
        <f>'5kts'!K13</f>
        <v>1.1514536950961625</v>
      </c>
      <c r="L13">
        <f t="shared" si="3"/>
        <v>-2.6464023391227581E-2</v>
      </c>
      <c r="M13">
        <f t="shared" si="4"/>
        <v>0.20300000000000001</v>
      </c>
    </row>
    <row r="14" spans="1:13" x14ac:dyDescent="0.25">
      <c r="A14">
        <v>5</v>
      </c>
      <c r="B14">
        <f t="shared" si="1"/>
        <v>8.7266462599716474E-2</v>
      </c>
      <c r="C14">
        <v>0.57320000000000004</v>
      </c>
      <c r="D14">
        <v>1.0840000000000001E-2</v>
      </c>
      <c r="E14">
        <v>-3.7000000000000002E-3</v>
      </c>
      <c r="F14">
        <f>C14*'Données géométriques'!$B$6/(2+('Données géométriques'!$B$6^2+4)^0.5)</f>
        <v>0.31772649000613623</v>
      </c>
      <c r="G14">
        <f>F14^2/(PI()*'Données géométriques'!$B$6)</f>
        <v>1.0039801497606572E-2</v>
      </c>
      <c r="H14">
        <f t="shared" si="2"/>
        <v>2.087980149760657E-2</v>
      </c>
      <c r="I14">
        <f t="shared" si="5"/>
        <v>0.25646894347692606</v>
      </c>
      <c r="J14">
        <f>XCP_3D('Données géométriques'!$B$9,'Données géométriques'!$B$10,'Données géométriques'!$B$12,'Données géométriques'!$B$11,I14)</f>
        <v>-0.23221860637565517</v>
      </c>
      <c r="K14">
        <f>'5kts'!K14</f>
        <v>1.1514536950961625</v>
      </c>
      <c r="L14">
        <f t="shared" si="3"/>
        <v>-2.7781393624344841E-2</v>
      </c>
      <c r="M14">
        <f t="shared" si="4"/>
        <v>0.21199999999999999</v>
      </c>
    </row>
    <row r="15" spans="1:13" x14ac:dyDescent="0.25">
      <c r="A15">
        <v>5.5</v>
      </c>
      <c r="B15">
        <f t="shared" si="1"/>
        <v>9.599310885968812E-2</v>
      </c>
      <c r="C15">
        <v>0.62139999999999995</v>
      </c>
      <c r="D15">
        <v>1.14E-2</v>
      </c>
      <c r="E15">
        <v>-2.3E-3</v>
      </c>
      <c r="F15">
        <f>C15*'Données géométriques'!$B$6/(2+('Données géométriques'!$B$6^2+4)^0.5)</f>
        <v>0.34444389548118109</v>
      </c>
      <c r="G15">
        <f>F15^2/(PI()*'Données géométriques'!$B$6)</f>
        <v>1.1799273301107117E-2</v>
      </c>
      <c r="H15">
        <f t="shared" si="2"/>
        <v>2.3199273301107118E-2</v>
      </c>
      <c r="I15">
        <f t="shared" si="5"/>
        <v>0.25371188156310015</v>
      </c>
      <c r="J15">
        <f>XCP_3D('Données géométriques'!$B$9,'Données géométriques'!$B$10,'Données géométriques'!$B$12,'Données géométriques'!$B$11,I15)</f>
        <v>-0.2301885804408024</v>
      </c>
      <c r="K15">
        <f>'5kts'!K15</f>
        <v>1.1514536950961625</v>
      </c>
      <c r="L15">
        <f t="shared" si="3"/>
        <v>-2.9811419559197611E-2</v>
      </c>
      <c r="M15">
        <f t="shared" si="4"/>
        <v>0.222</v>
      </c>
    </row>
    <row r="16" spans="1:13" x14ac:dyDescent="0.25">
      <c r="A16">
        <v>6</v>
      </c>
      <c r="B16">
        <f t="shared" si="1"/>
        <v>0.10471975511965978</v>
      </c>
      <c r="C16">
        <v>0.66959999999999997</v>
      </c>
      <c r="D16">
        <v>1.2019999999999999E-2</v>
      </c>
      <c r="E16">
        <v>-8.9999999999999998E-4</v>
      </c>
      <c r="F16">
        <f>C16*'Données géométriques'!$B$6/(2+('Données géométriques'!$B$6^2+4)^0.5)</f>
        <v>0.37116130095622607</v>
      </c>
      <c r="G16">
        <f>F16^2/(PI()*'Données géométriques'!$B$6)</f>
        <v>1.3700728263704819E-2</v>
      </c>
      <c r="H16">
        <f t="shared" si="2"/>
        <v>2.572072826370482E-2</v>
      </c>
      <c r="I16">
        <f t="shared" si="5"/>
        <v>0.25134894453197448</v>
      </c>
      <c r="J16">
        <f>XCP_3D('Données géométriques'!$B$9,'Données géométriques'!$B$10,'Données géométriques'!$B$12,'Données géométriques'!$B$11,I16)</f>
        <v>-0.22844874883544186</v>
      </c>
      <c r="K16">
        <f>'5kts'!K16</f>
        <v>1.1514536950961625</v>
      </c>
      <c r="L16">
        <f t="shared" si="3"/>
        <v>-3.1551251164558147E-2</v>
      </c>
      <c r="M16">
        <f t="shared" si="4"/>
        <v>0.23300000000000001</v>
      </c>
    </row>
    <row r="17" spans="1:13" x14ac:dyDescent="0.25">
      <c r="A17">
        <v>6.5</v>
      </c>
      <c r="B17">
        <f t="shared" si="1"/>
        <v>0.11344640137963143</v>
      </c>
      <c r="C17">
        <v>0.71779999999999999</v>
      </c>
      <c r="D17">
        <v>1.2749999999999999E-2</v>
      </c>
      <c r="E17">
        <v>5.0000000000000001E-4</v>
      </c>
      <c r="F17">
        <f>C17*'Données géométriques'!$B$6/(2+('Données géométriques'!$B$6^2+4)^0.5)</f>
        <v>0.39787870643127105</v>
      </c>
      <c r="G17">
        <f>F17^2/(PI()*'Données géométriques'!$B$6)</f>
        <v>1.5744166385399667E-2</v>
      </c>
      <c r="H17">
        <f t="shared" si="2"/>
        <v>2.8494166385399665E-2</v>
      </c>
      <c r="I17">
        <f t="shared" si="5"/>
        <v>0.24930033647278863</v>
      </c>
      <c r="J17">
        <f>XCP_3D('Données géométriques'!$B$9,'Données géométriques'!$B$10,'Données géométriques'!$B$12,'Données géométriques'!$B$11,I17)</f>
        <v>-0.22694035779437061</v>
      </c>
      <c r="K17">
        <f>'5kts'!K17</f>
        <v>1.1514536950961625</v>
      </c>
      <c r="L17">
        <f t="shared" si="3"/>
        <v>-3.3059642205629403E-2</v>
      </c>
      <c r="M17">
        <f t="shared" si="4"/>
        <v>0.24399999999999999</v>
      </c>
    </row>
    <row r="18" spans="1:13" x14ac:dyDescent="0.25">
      <c r="A18">
        <v>7</v>
      </c>
      <c r="B18">
        <f t="shared" si="1"/>
        <v>0.12217304763960307</v>
      </c>
      <c r="C18">
        <v>0.76649999999999996</v>
      </c>
      <c r="D18">
        <v>1.349E-2</v>
      </c>
      <c r="E18">
        <v>1.6000000000000001E-3</v>
      </c>
      <c r="F18">
        <f>C18*'Données géométriques'!$B$6/(2+('Données géométriques'!$B$6^2+4)^0.5)</f>
        <v>0.42487326341539317</v>
      </c>
      <c r="G18">
        <f>F18^2/(PI()*'Données géométriques'!$B$6)</f>
        <v>1.7953002077887865E-2</v>
      </c>
      <c r="H18">
        <f t="shared" si="2"/>
        <v>3.1443002077887867E-2</v>
      </c>
      <c r="I18">
        <f t="shared" si="5"/>
        <v>0.24790144845912135</v>
      </c>
      <c r="J18">
        <f>XCP_3D('Données géométriques'!$B$9,'Données géométriques'!$B$10,'Données géométriques'!$B$12,'Données géométriques'!$B$11,I18)</f>
        <v>-0.22591035591684294</v>
      </c>
      <c r="K18">
        <f>'5kts'!K18</f>
        <v>1.1514536950961625</v>
      </c>
      <c r="L18">
        <f t="shared" si="3"/>
        <v>-3.4089644083157067E-2</v>
      </c>
      <c r="M18">
        <f t="shared" si="4"/>
        <v>0.255</v>
      </c>
    </row>
    <row r="19" spans="1:13" x14ac:dyDescent="0.25">
      <c r="A19">
        <v>7.5</v>
      </c>
      <c r="B19">
        <f t="shared" si="1"/>
        <v>0.1308996938995747</v>
      </c>
      <c r="C19">
        <v>0.81469999999999998</v>
      </c>
      <c r="D19">
        <v>1.4409999999999999E-2</v>
      </c>
      <c r="E19">
        <v>2.8E-3</v>
      </c>
      <c r="F19">
        <f>C19*'Données géométriques'!$B$6/(2+('Données géométriques'!$B$6^2+4)^0.5)</f>
        <v>0.45159066889043814</v>
      </c>
      <c r="G19">
        <f>F19^2/(PI()*'Données géométriques'!$B$6)</f>
        <v>2.028187937212449E-2</v>
      </c>
      <c r="H19">
        <f t="shared" si="2"/>
        <v>3.4691879372124493E-2</v>
      </c>
      <c r="I19">
        <f t="shared" si="5"/>
        <v>0.24654154901305972</v>
      </c>
      <c r="J19">
        <f>XCP_3D('Données géométriques'!$B$9,'Données géométriques'!$B$10,'Données géométriques'!$B$12,'Données géométriques'!$B$11,I19)</f>
        <v>-0.22490906133928709</v>
      </c>
      <c r="K19">
        <f>'5kts'!K19</f>
        <v>1.1514536950961625</v>
      </c>
      <c r="L19">
        <f t="shared" si="3"/>
        <v>-3.5090938660712917E-2</v>
      </c>
      <c r="M19">
        <f t="shared" si="4"/>
        <v>0.26700000000000002</v>
      </c>
    </row>
    <row r="20" spans="1:13" x14ac:dyDescent="0.25">
      <c r="A20">
        <v>8</v>
      </c>
      <c r="B20">
        <f t="shared" si="1"/>
        <v>0.13962634015954636</v>
      </c>
      <c r="C20">
        <v>0.86299999999999999</v>
      </c>
      <c r="D20">
        <v>1.532E-2</v>
      </c>
      <c r="E20">
        <v>3.8999999999999998E-3</v>
      </c>
      <c r="F20">
        <f>C20*'Données géométriques'!$B$6/(2+('Données géométriques'!$B$6^2+4)^0.5)</f>
        <v>0.47836350466729854</v>
      </c>
      <c r="G20">
        <f>F20^2/(PI()*'Données géométriques'!$B$6)</f>
        <v>2.275801368296515E-2</v>
      </c>
      <c r="H20">
        <f t="shared" si="2"/>
        <v>3.8078013682965151E-2</v>
      </c>
      <c r="I20">
        <f t="shared" si="5"/>
        <v>0.24544782582593741</v>
      </c>
      <c r="J20">
        <f>XCP_3D('Données géométriques'!$B$9,'Données géométriques'!$B$10,'Données géométriques'!$B$12,'Données géométriques'!$B$11,I20)</f>
        <v>-0.22410375246164618</v>
      </c>
      <c r="K20">
        <f>'5kts'!K20</f>
        <v>1.1514536950961625</v>
      </c>
      <c r="L20">
        <f t="shared" si="3"/>
        <v>-3.5896247538353826E-2</v>
      </c>
      <c r="M20">
        <f t="shared" si="4"/>
        <v>0.28000000000000003</v>
      </c>
    </row>
    <row r="21" spans="1:13" x14ac:dyDescent="0.25">
      <c r="A21">
        <v>8.5</v>
      </c>
      <c r="B21">
        <f t="shared" si="1"/>
        <v>0.14835298641951802</v>
      </c>
      <c r="C21">
        <v>0.90990000000000004</v>
      </c>
      <c r="D21">
        <v>1.6459999999999999E-2</v>
      </c>
      <c r="E21">
        <v>5.1000000000000004E-3</v>
      </c>
      <c r="F21">
        <f>C21*'Données géométriques'!$B$6/(2+('Données géométriques'!$B$6^2+4)^0.5)</f>
        <v>0.50436031621874267</v>
      </c>
      <c r="G21">
        <f>F21^2/(PI()*'Données géométriques'!$B$6)</f>
        <v>2.5298809966517503E-2</v>
      </c>
      <c r="H21">
        <f t="shared" si="2"/>
        <v>4.1758809966517499E-2</v>
      </c>
      <c r="I21">
        <f t="shared" si="5"/>
        <v>0.24434801891961003</v>
      </c>
      <c r="J21">
        <f>XCP_3D('Données géométriques'!$B$9,'Données géométriques'!$B$10,'Données géométriques'!$B$12,'Données géométriques'!$B$11,I21)</f>
        <v>-0.22329396413880273</v>
      </c>
      <c r="K21">
        <f>'5kts'!K21</f>
        <v>1.1514536950961625</v>
      </c>
      <c r="L21">
        <f t="shared" si="3"/>
        <v>-3.6706035861197278E-2</v>
      </c>
      <c r="M21">
        <f t="shared" si="4"/>
        <v>0.29299999999999998</v>
      </c>
    </row>
    <row r="22" spans="1:13" x14ac:dyDescent="0.25">
      <c r="A22">
        <v>9</v>
      </c>
      <c r="B22">
        <f t="shared" si="1"/>
        <v>0.15707963267948966</v>
      </c>
      <c r="C22">
        <v>0.95630000000000004</v>
      </c>
      <c r="D22">
        <v>1.7670000000000002E-2</v>
      </c>
      <c r="E22">
        <v>6.3E-3</v>
      </c>
      <c r="F22">
        <f>C22*'Données géométriques'!$B$6/(2+('Données géométriques'!$B$6^2+4)^0.5)</f>
        <v>0.5300799762611097</v>
      </c>
      <c r="G22">
        <f>F22^2/(PI()*'Données géométriques'!$B$6)</f>
        <v>2.7944804413481523E-2</v>
      </c>
      <c r="H22">
        <f t="shared" si="2"/>
        <v>4.5614804413481522E-2</v>
      </c>
      <c r="I22">
        <f t="shared" si="5"/>
        <v>0.24334945339344374</v>
      </c>
      <c r="J22">
        <f>XCP_3D('Données géométriques'!$B$9,'Données géométriques'!$B$10,'Données géométriques'!$B$12,'Données géométriques'!$B$11,I22)</f>
        <v>-0.22255871988998632</v>
      </c>
      <c r="K22">
        <f>'5kts'!K22</f>
        <v>1.1514536950961625</v>
      </c>
      <c r="L22">
        <f t="shared" si="3"/>
        <v>-3.7441280110013686E-2</v>
      </c>
      <c r="M22">
        <f t="shared" si="4"/>
        <v>0.30599999999999999</v>
      </c>
    </row>
    <row r="23" spans="1:13" x14ac:dyDescent="0.25">
      <c r="A23">
        <v>9.5</v>
      </c>
      <c r="B23">
        <f t="shared" si="1"/>
        <v>0.16580627893946132</v>
      </c>
      <c r="C23">
        <v>1.0017</v>
      </c>
      <c r="D23">
        <v>1.898E-2</v>
      </c>
      <c r="E23">
        <v>7.6E-3</v>
      </c>
      <c r="F23">
        <f>C23*'Données géométriques'!$B$6/(2+('Données géométriques'!$B$6^2+4)^0.5)</f>
        <v>0.555245333285322</v>
      </c>
      <c r="G23">
        <f>F23^2/(PI()*'Données géométriques'!$B$6)</f>
        <v>3.0661126738823402E-2</v>
      </c>
      <c r="H23">
        <f t="shared" si="2"/>
        <v>4.9641126738823399E-2</v>
      </c>
      <c r="I23">
        <f t="shared" si="5"/>
        <v>0.24233171306608925</v>
      </c>
      <c r="J23">
        <f>XCP_3D('Données géométriques'!$B$9,'Données géométriques'!$B$10,'Données géométriques'!$B$12,'Données géométriques'!$B$11,I23)</f>
        <v>-0.22180935722638007</v>
      </c>
      <c r="K23">
        <f>'5kts'!K23</f>
        <v>1.1514536950961625</v>
      </c>
      <c r="L23">
        <f t="shared" si="3"/>
        <v>-3.8190642773619943E-2</v>
      </c>
      <c r="M23">
        <f t="shared" si="4"/>
        <v>0.32</v>
      </c>
    </row>
    <row r="24" spans="1:13" x14ac:dyDescent="0.25">
      <c r="A24">
        <v>10</v>
      </c>
      <c r="B24">
        <f t="shared" si="1"/>
        <v>0.17453292519943295</v>
      </c>
      <c r="C24">
        <v>1.0445</v>
      </c>
      <c r="D24">
        <v>2.0559999999999998E-2</v>
      </c>
      <c r="E24">
        <v>8.9999999999999993E-3</v>
      </c>
      <c r="F24">
        <f>C24*'Données géométriques'!$B$6/(2+('Données géométriques'!$B$6^2+4)^0.5)</f>
        <v>0.57896950246233292</v>
      </c>
      <c r="G24">
        <f>F24^2/(PI()*'Données géométriques'!$B$6)</f>
        <v>3.3337240751621963E-2</v>
      </c>
      <c r="H24">
        <f t="shared" si="2"/>
        <v>5.3897240751621958E-2</v>
      </c>
      <c r="I24">
        <f t="shared" si="5"/>
        <v>0.24128077563091879</v>
      </c>
      <c r="J24">
        <f>XCP_3D('Données géométriques'!$B$9,'Données géométriques'!$B$10,'Données géométriques'!$B$12,'Données géométriques'!$B$11,I24)</f>
        <v>-0.22103555151726439</v>
      </c>
      <c r="K24">
        <f>'5kts'!K24</f>
        <v>1.1514536950961625</v>
      </c>
      <c r="L24">
        <f t="shared" si="3"/>
        <v>-3.8964448482735614E-2</v>
      </c>
      <c r="M24">
        <f t="shared" si="4"/>
        <v>0.33400000000000002</v>
      </c>
    </row>
    <row r="25" spans="1:13" x14ac:dyDescent="0.25">
      <c r="A25">
        <v>10.5</v>
      </c>
      <c r="B25">
        <f t="shared" si="1"/>
        <v>0.18325957145940461</v>
      </c>
      <c r="C25">
        <v>1.0851</v>
      </c>
      <c r="D25">
        <v>2.2370000000000001E-2</v>
      </c>
      <c r="E25">
        <v>1.0699999999999999E-2</v>
      </c>
      <c r="F25">
        <f>C25*'Données géométriques'!$B$6/(2+('Données géométriques'!$B$6^2+4)^0.5)</f>
        <v>0.60147420499940396</v>
      </c>
      <c r="G25">
        <f>F25^2/(PI()*'Données géométriques'!$B$6)</f>
        <v>3.5979265214419485E-2</v>
      </c>
      <c r="H25">
        <f t="shared" si="2"/>
        <v>5.8349265214419486E-2</v>
      </c>
      <c r="I25">
        <f t="shared" si="5"/>
        <v>0.24000939778511651</v>
      </c>
      <c r="J25">
        <f>XCP_3D('Données géométriques'!$B$9,'Données géométriques'!$B$10,'Données géométriques'!$B$12,'Données géométriques'!$B$11,I25)</f>
        <v>-0.22009943543404137</v>
      </c>
      <c r="K25">
        <f>'5kts'!K25</f>
        <v>1.1514536950961625</v>
      </c>
      <c r="L25">
        <f t="shared" si="3"/>
        <v>-3.9900564565958641E-2</v>
      </c>
      <c r="M25">
        <f t="shared" si="4"/>
        <v>0.34799999999999998</v>
      </c>
    </row>
    <row r="26" spans="1:13" x14ac:dyDescent="0.25">
      <c r="A26">
        <v>11</v>
      </c>
      <c r="B26">
        <f t="shared" si="1"/>
        <v>0.19198621771937624</v>
      </c>
      <c r="C26">
        <v>1.1238999999999999</v>
      </c>
      <c r="D26">
        <v>2.4240000000000001E-2</v>
      </c>
      <c r="E26">
        <v>1.24E-2</v>
      </c>
      <c r="F26">
        <f>C26*'Données géométriques'!$B$6/(2+('Données géométriques'!$B$6^2+4)^0.5)</f>
        <v>0.62298116210379695</v>
      </c>
      <c r="G26">
        <f>F26^2/(PI()*'Données géométriques'!$B$6)</f>
        <v>3.8598293592824053E-2</v>
      </c>
      <c r="H26">
        <f t="shared" si="2"/>
        <v>6.2838293592824057E-2</v>
      </c>
      <c r="I26">
        <f t="shared" si="5"/>
        <v>0.23880741167519287</v>
      </c>
      <c r="J26">
        <f>XCP_3D('Données géométriques'!$B$9,'Données géométriques'!$B$10,'Données géométriques'!$B$12,'Données géométriques'!$B$11,I26)</f>
        <v>-0.21921441251734711</v>
      </c>
      <c r="K26">
        <f>'5kts'!K26</f>
        <v>1.1514536950961625</v>
      </c>
      <c r="L26">
        <f t="shared" si="3"/>
        <v>-4.0785587482652902E-2</v>
      </c>
      <c r="M26">
        <f t="shared" si="4"/>
        <v>0.36299999999999999</v>
      </c>
    </row>
    <row r="27" spans="1:13" x14ac:dyDescent="0.25">
      <c r="A27">
        <v>11.5</v>
      </c>
      <c r="B27">
        <f t="shared" si="1"/>
        <v>0.2007128639793479</v>
      </c>
      <c r="C27">
        <v>1.1591</v>
      </c>
      <c r="D27">
        <v>2.6349999999999998E-2</v>
      </c>
      <c r="E27">
        <v>1.43E-2</v>
      </c>
      <c r="F27">
        <f>C27*'Données géométriques'!$B$6/(2+('Données géométriques'!$B$6^2+4)^0.5)</f>
        <v>0.64249262834283405</v>
      </c>
      <c r="G27">
        <f>F27^2/(PI()*'Données géométriques'!$B$6)</f>
        <v>4.1053914587233037E-2</v>
      </c>
      <c r="H27">
        <f t="shared" si="2"/>
        <v>6.7403914587233035E-2</v>
      </c>
      <c r="I27">
        <f t="shared" si="5"/>
        <v>0.2374680574609021</v>
      </c>
      <c r="J27">
        <f>XCP_3D('Données géométriques'!$B$9,'Données géométriques'!$B$10,'Données géométriques'!$B$12,'Données géométriques'!$B$11,I27)</f>
        <v>-0.2182282454032429</v>
      </c>
      <c r="K27">
        <f>'5kts'!K27</f>
        <v>1.1514536950961625</v>
      </c>
      <c r="L27">
        <f t="shared" si="3"/>
        <v>-4.177175459675711E-2</v>
      </c>
      <c r="M27">
        <f t="shared" si="4"/>
        <v>0.377</v>
      </c>
    </row>
    <row r="28" spans="1:13" x14ac:dyDescent="0.25">
      <c r="A28">
        <v>12</v>
      </c>
      <c r="B28">
        <f t="shared" si="1"/>
        <v>0.20943951023931956</v>
      </c>
      <c r="C28">
        <v>1.1897</v>
      </c>
      <c r="D28">
        <v>2.87E-2</v>
      </c>
      <c r="E28">
        <v>1.6500000000000001E-2</v>
      </c>
      <c r="F28">
        <f>C28*'Données géométriques'!$B$6/(2+('Données géométriques'!$B$6^2+4)^0.5)</f>
        <v>0.65945430069836042</v>
      </c>
      <c r="G28">
        <f>F28^2/(PI()*'Données géométriques'!$B$6)</f>
        <v>4.325015676390738E-2</v>
      </c>
      <c r="H28">
        <f t="shared" si="2"/>
        <v>7.1950156763907383E-2</v>
      </c>
      <c r="I28">
        <f t="shared" si="5"/>
        <v>0.23589344827812669</v>
      </c>
      <c r="J28">
        <f>XCP_3D('Données géométriques'!$B$9,'Données géométriques'!$B$10,'Données géométriques'!$B$12,'Données géométriques'!$B$11,I28)</f>
        <v>-0.21706885994938011</v>
      </c>
      <c r="K28">
        <f>'5kts'!K28</f>
        <v>1.1514536950961625</v>
      </c>
      <c r="L28">
        <f t="shared" si="3"/>
        <v>-4.2931140050619904E-2</v>
      </c>
      <c r="M28">
        <f t="shared" si="4"/>
        <v>0.39200000000000002</v>
      </c>
    </row>
    <row r="29" spans="1:13" x14ac:dyDescent="0.25">
      <c r="A29">
        <v>12.5</v>
      </c>
      <c r="B29">
        <f t="shared" si="1"/>
        <v>0.21816615649929119</v>
      </c>
      <c r="C29">
        <v>1.2118</v>
      </c>
      <c r="D29">
        <v>3.1539999999999999E-2</v>
      </c>
      <c r="E29">
        <v>1.9099999999999999E-2</v>
      </c>
      <c r="F29">
        <f>C29*'Données géométriques'!$B$6/(2+('Données géométriques'!$B$6^2+4)^0.5)</f>
        <v>0.67170439739957399</v>
      </c>
      <c r="G29">
        <f>F29^2/(PI()*'Données géométriques'!$B$6)</f>
        <v>4.487192065834722E-2</v>
      </c>
      <c r="H29">
        <f t="shared" si="2"/>
        <v>7.6411920658347218E-2</v>
      </c>
      <c r="I29">
        <f t="shared" si="5"/>
        <v>0.2339482580161889</v>
      </c>
      <c r="J29">
        <f>XCP_3D('Données géométriques'!$B$9,'Données géométriques'!$B$10,'Données géométriques'!$B$12,'Données géométriques'!$B$11,I29)</f>
        <v>-0.2156366154792225</v>
      </c>
      <c r="K29">
        <f>'5kts'!K29</f>
        <v>1.1514536950961625</v>
      </c>
      <c r="L29">
        <f t="shared" si="3"/>
        <v>-4.436338452077751E-2</v>
      </c>
      <c r="M29">
        <f t="shared" si="4"/>
        <v>0.40699999999999997</v>
      </c>
    </row>
    <row r="30" spans="1:13" x14ac:dyDescent="0.25">
      <c r="A30">
        <v>13</v>
      </c>
      <c r="B30">
        <f t="shared" si="1"/>
        <v>0.22689280275926285</v>
      </c>
      <c r="C30">
        <v>1.2121</v>
      </c>
      <c r="D30">
        <v>3.5430000000000003E-2</v>
      </c>
      <c r="E30">
        <v>2.3199999999999998E-2</v>
      </c>
      <c r="F30">
        <f>C30*'Données géométriques'!$B$6/(2+('Données géométriques'!$B$6^2+4)^0.5)</f>
        <v>0.67187068830502028</v>
      </c>
      <c r="G30">
        <f>F30^2/(PI()*'Données géométriques'!$B$6)</f>
        <v>4.4894140896850489E-2</v>
      </c>
      <c r="H30">
        <f t="shared" si="2"/>
        <v>8.0324140896850499E-2</v>
      </c>
      <c r="I30">
        <f t="shared" si="5"/>
        <v>0.23048787005055812</v>
      </c>
      <c r="J30">
        <f>XCP_3D('Données géométriques'!$B$9,'Données géométriques'!$B$10,'Données géométriques'!$B$12,'Données géométriques'!$B$11,I30)</f>
        <v>-0.21308873025413663</v>
      </c>
      <c r="K30">
        <f>'5kts'!K30</f>
        <v>1.1514536950961625</v>
      </c>
      <c r="L30">
        <f t="shared" si="3"/>
        <v>-4.6911269745863377E-2</v>
      </c>
      <c r="M30">
        <f t="shared" si="4"/>
        <v>0.42199999999999999</v>
      </c>
    </row>
    <row r="31" spans="1:13" x14ac:dyDescent="0.25">
      <c r="A31">
        <v>13.5</v>
      </c>
      <c r="B31">
        <f t="shared" si="1"/>
        <v>0.23561944901923448</v>
      </c>
      <c r="C31">
        <v>1.2031000000000001</v>
      </c>
      <c r="D31">
        <v>4.0969999999999999E-2</v>
      </c>
      <c r="E31">
        <v>2.4400000000000002E-2</v>
      </c>
      <c r="F31">
        <f>C31*'Données géométriques'!$B$6/(2+('Données géométriques'!$B$6^2+4)^0.5)</f>
        <v>0.66688196114163023</v>
      </c>
      <c r="G31">
        <f>F31^2/(PI()*'Données géométriques'!$B$6)</f>
        <v>4.4229926366138456E-2</v>
      </c>
      <c r="H31">
        <f t="shared" si="2"/>
        <v>8.5199926366138462E-2</v>
      </c>
      <c r="I31">
        <f t="shared" si="5"/>
        <v>0.22931190914291613</v>
      </c>
      <c r="J31">
        <f>XCP_3D('Données géométriques'!$B$9,'Données géométriques'!$B$10,'Données géométriques'!$B$12,'Données géométriques'!$B$11,I31)</f>
        <v>-0.21222286970566129</v>
      </c>
      <c r="K31">
        <f>'5kts'!K31</f>
        <v>1.1514536950961625</v>
      </c>
      <c r="L31">
        <f t="shared" si="3"/>
        <v>-4.7777130294338721E-2</v>
      </c>
      <c r="M31">
        <f t="shared" si="4"/>
        <v>0.437</v>
      </c>
    </row>
    <row r="32" spans="1:13" x14ac:dyDescent="0.25">
      <c r="A32">
        <v>14</v>
      </c>
      <c r="B32">
        <f t="shared" si="1"/>
        <v>0.24434609527920614</v>
      </c>
      <c r="C32">
        <v>1.1828000000000001</v>
      </c>
      <c r="D32">
        <v>5.0340000000000003E-2</v>
      </c>
      <c r="E32">
        <v>1.9599999999999999E-2</v>
      </c>
      <c r="F32">
        <f>C32*'Données géométriques'!$B$6/(2+('Données géométriques'!$B$6^2+4)^0.5)</f>
        <v>0.65562960987309471</v>
      </c>
      <c r="G32">
        <f>F32^2/(PI()*'Données géométriques'!$B$6)</f>
        <v>4.2749928675072379E-2</v>
      </c>
      <c r="H32">
        <f t="shared" si="2"/>
        <v>9.3089928675072375E-2</v>
      </c>
      <c r="I32">
        <f t="shared" si="5"/>
        <v>0.23310117761699004</v>
      </c>
      <c r="J32">
        <f>XCP_3D('Données géométriques'!$B$9,'Données géométriques'!$B$10,'Données géométriques'!$B$12,'Données géométriques'!$B$11,I32)</f>
        <v>-0.21501290979794757</v>
      </c>
      <c r="K32">
        <f>'5kts'!K32</f>
        <v>1.1514536950961625</v>
      </c>
      <c r="L32">
        <f t="shared" si="3"/>
        <v>-4.4987090202052438E-2</v>
      </c>
      <c r="M32">
        <f t="shared" si="4"/>
        <v>0.45100000000000001</v>
      </c>
    </row>
    <row r="33" spans="1:13" x14ac:dyDescent="0.25">
      <c r="A33">
        <v>14.5</v>
      </c>
      <c r="B33">
        <f t="shared" si="1"/>
        <v>0.2530727415391778</v>
      </c>
      <c r="C33">
        <v>1.1424000000000001</v>
      </c>
      <c r="D33">
        <v>6.6860000000000003E-2</v>
      </c>
      <c r="E33">
        <v>7.0000000000000001E-3</v>
      </c>
      <c r="F33">
        <f>C33*'Données géométriques'!$B$6/(2+('Données géométriques'!$B$6^2+4)^0.5)</f>
        <v>0.63323576793965453</v>
      </c>
      <c r="G33">
        <f>F33^2/(PI()*'Données géométriques'!$B$6)</f>
        <v>3.9879449224408517E-2</v>
      </c>
      <c r="H33">
        <f t="shared" si="2"/>
        <v>0.10673944922440852</v>
      </c>
      <c r="I33">
        <f t="shared" si="5"/>
        <v>0.24376532100796544</v>
      </c>
      <c r="J33">
        <f>XCP_3D('Données géométriques'!$B$9,'Données géométriques'!$B$10,'Données géométriques'!$B$12,'Données géométriques'!$B$11,I33)</f>
        <v>-0.22286492340275932</v>
      </c>
      <c r="K33">
        <f>'5kts'!K33</f>
        <v>1.1514536950961625</v>
      </c>
      <c r="L33">
        <f t="shared" si="3"/>
        <v>-3.713507659724069E-2</v>
      </c>
      <c r="M33">
        <f t="shared" si="4"/>
        <v>0.46600000000000003</v>
      </c>
    </row>
    <row r="34" spans="1:13" x14ac:dyDescent="0.25">
      <c r="A34">
        <v>15</v>
      </c>
      <c r="B34">
        <f t="shared" si="1"/>
        <v>0.26179938779914941</v>
      </c>
      <c r="C34">
        <v>1.0708</v>
      </c>
      <c r="D34">
        <v>9.0829999999999994E-2</v>
      </c>
      <c r="E34">
        <v>-8.0999999999999996E-3</v>
      </c>
      <c r="F34">
        <f>C34*'Données géométriques'!$B$6/(2+('Données géométriques'!$B$6^2+4)^0.5)</f>
        <v>0.59354767183979518</v>
      </c>
      <c r="G34">
        <f>F34^2/(PI()*'Données géométriques'!$B$6)</f>
        <v>3.5037207711627077E-2</v>
      </c>
      <c r="H34">
        <f t="shared" si="2"/>
        <v>0.12586720771162707</v>
      </c>
      <c r="I34">
        <f t="shared" si="5"/>
        <v>0.25765724356218306</v>
      </c>
      <c r="J34">
        <f>XCP_3D('Données géométriques'!$B$9,'Données géométriques'!$B$10,'Données géométriques'!$B$12,'Données géométriques'!$B$11,I34)</f>
        <v>-0.2330935522661936</v>
      </c>
      <c r="K34">
        <f>'5kts'!K34</f>
        <v>1.1514536950961625</v>
      </c>
      <c r="L34">
        <f t="shared" si="3"/>
        <v>-2.6906447733806405E-2</v>
      </c>
      <c r="M34">
        <f t="shared" si="4"/>
        <v>0.48</v>
      </c>
    </row>
    <row r="35" spans="1:13" x14ac:dyDescent="0.25">
      <c r="A35">
        <v>16</v>
      </c>
      <c r="B35">
        <f t="shared" si="1"/>
        <v>0.27925268031909273</v>
      </c>
      <c r="C35">
        <v>0.78059999999999996</v>
      </c>
      <c r="D35">
        <v>0.18845999999999999</v>
      </c>
      <c r="E35">
        <v>-5.3499999999999999E-2</v>
      </c>
      <c r="F35">
        <f>C35*'Données géométriques'!$B$6/(2+('Données géométriques'!$B$6^2+4)^0.5)</f>
        <v>0.43268893597137104</v>
      </c>
      <c r="G35">
        <f>F35^2/(PI()*'Données géométriques'!$B$6)</f>
        <v>1.8619578981413261E-2</v>
      </c>
      <c r="H35">
        <f t="shared" si="2"/>
        <v>0.20707957898141324</v>
      </c>
      <c r="I35">
        <f t="shared" si="5"/>
        <v>0.3166826625347724</v>
      </c>
      <c r="J35">
        <f>XCP_3D('Données géométriques'!$B$9,'Données géométriques'!$B$10,'Données géométriques'!$B$12,'Données géométriques'!$B$11,I35)</f>
        <v>-0.27655399496754657</v>
      </c>
      <c r="K35">
        <f>'5kts'!K35</f>
        <v>1.1514536950961625</v>
      </c>
      <c r="L35">
        <f t="shared" si="3"/>
        <v>1.6553994967546559E-2</v>
      </c>
      <c r="M35">
        <f t="shared" si="4"/>
        <v>0.50900000000000001</v>
      </c>
    </row>
    <row r="36" spans="1:13" x14ac:dyDescent="0.25">
      <c r="A36">
        <v>16.5</v>
      </c>
      <c r="B36">
        <f t="shared" si="1"/>
        <v>0.28797932657906439</v>
      </c>
      <c r="C36">
        <v>0.78939999999999999</v>
      </c>
      <c r="D36">
        <v>0.19797999999999999</v>
      </c>
      <c r="E36">
        <v>-5.8099999999999999E-2</v>
      </c>
      <c r="F36">
        <f>C36*'Données géométriques'!$B$6/(2+('Données géométriques'!$B$6^2+4)^0.5)</f>
        <v>0.43756680253113028</v>
      </c>
      <c r="G36">
        <f>F36^2/(PI()*'Données géométriques'!$B$6)</f>
        <v>1.9041756484832237E-2</v>
      </c>
      <c r="H36">
        <f t="shared" si="2"/>
        <v>0.21702175648483224</v>
      </c>
      <c r="I36">
        <f t="shared" si="5"/>
        <v>0.32145302246579932</v>
      </c>
      <c r="J36">
        <f>XCP_3D('Données géométriques'!$B$9,'Données géométriques'!$B$10,'Données géométriques'!$B$12,'Données géométriques'!$B$11,I36)</f>
        <v>-0.28006641314358005</v>
      </c>
      <c r="K36">
        <f>'5kts'!K36</f>
        <v>1.1514536950961625</v>
      </c>
      <c r="L36">
        <f t="shared" si="3"/>
        <v>2.0066413143580042E-2</v>
      </c>
      <c r="M36">
        <f t="shared" si="4"/>
        <v>0.52200000000000002</v>
      </c>
    </row>
    <row r="37" spans="1:13" x14ac:dyDescent="0.25">
      <c r="A37">
        <v>17</v>
      </c>
      <c r="B37">
        <f t="shared" si="1"/>
        <v>0.29670597283903605</v>
      </c>
      <c r="C37">
        <v>0.8014</v>
      </c>
      <c r="D37">
        <v>0.20613000000000001</v>
      </c>
      <c r="E37">
        <v>-6.2300000000000001E-2</v>
      </c>
      <c r="F37">
        <f>C37*'Données géométriques'!$B$6/(2+('Données géométriques'!$B$6^2+4)^0.5)</f>
        <v>0.44421843874898381</v>
      </c>
      <c r="G37">
        <f>F37^2/(PI()*'Données géométriques'!$B$6)</f>
        <v>1.9625080143580564E-2</v>
      </c>
      <c r="H37">
        <f t="shared" si="2"/>
        <v>0.22575508014358056</v>
      </c>
      <c r="I37">
        <f t="shared" si="5"/>
        <v>0.32536449460880501</v>
      </c>
      <c r="J37">
        <f>XCP_3D('Données géométriques'!$B$9,'Données géométriques'!$B$10,'Données géométriques'!$B$12,'Données géométriques'!$B$11,I37)</f>
        <v>-0.28294643185260326</v>
      </c>
      <c r="K37">
        <f>'5kts'!K37</f>
        <v>1.1514536950961625</v>
      </c>
      <c r="L37">
        <f t="shared" si="3"/>
        <v>2.2946431852603255E-2</v>
      </c>
      <c r="M37">
        <f t="shared" si="4"/>
        <v>0.53600000000000003</v>
      </c>
    </row>
    <row r="38" spans="1:13" x14ac:dyDescent="0.25">
      <c r="A38">
        <v>17.5</v>
      </c>
      <c r="B38">
        <f t="shared" si="1"/>
        <v>0.30543261909900765</v>
      </c>
      <c r="C38">
        <v>0.81469999999999998</v>
      </c>
      <c r="D38">
        <v>0.21364</v>
      </c>
      <c r="E38">
        <v>-6.6299999999999998E-2</v>
      </c>
      <c r="F38">
        <f>C38*'Données géométriques'!$B$6/(2+('Données géométriques'!$B$6^2+4)^0.5)</f>
        <v>0.45159066889043814</v>
      </c>
      <c r="G38">
        <f>F38^2/(PI()*'Données géométriques'!$B$6)</f>
        <v>2.028187937212449E-2</v>
      </c>
      <c r="H38">
        <f t="shared" si="2"/>
        <v>0.2339218793721245</v>
      </c>
      <c r="I38">
        <f t="shared" si="5"/>
        <v>0.32881260554927461</v>
      </c>
      <c r="J38">
        <f>XCP_3D('Données géométriques'!$B$9,'Données géométriques'!$B$10,'Données géométriques'!$B$12,'Données géométriques'!$B$11,I38)</f>
        <v>-0.28548527749850833</v>
      </c>
      <c r="K38">
        <f>'5kts'!K38</f>
        <v>1.1514536950961625</v>
      </c>
      <c r="L38">
        <f t="shared" si="3"/>
        <v>2.5485277498508319E-2</v>
      </c>
      <c r="M38">
        <f t="shared" si="4"/>
        <v>0.54900000000000004</v>
      </c>
    </row>
    <row r="39" spans="1:13" x14ac:dyDescent="0.25">
      <c r="A39">
        <v>18</v>
      </c>
      <c r="B39">
        <f t="shared" si="1"/>
        <v>0.31415926535897931</v>
      </c>
      <c r="C39">
        <v>0.82920000000000005</v>
      </c>
      <c r="D39">
        <v>0.22047</v>
      </c>
      <c r="E39">
        <v>-7.0300000000000001E-2</v>
      </c>
      <c r="F39">
        <f>C39*'Données géométriques'!$B$6/(2+('Données géométriques'!$B$6^2+4)^0.5)</f>
        <v>0.45962806265367784</v>
      </c>
      <c r="G39">
        <f>F39^2/(PI()*'Données géométriques'!$B$6)</f>
        <v>2.1010256266241575E-2</v>
      </c>
      <c r="H39">
        <f t="shared" si="2"/>
        <v>0.24148025626624159</v>
      </c>
      <c r="I39">
        <f t="shared" si="5"/>
        <v>0.3320547499112807</v>
      </c>
      <c r="J39">
        <f>XCP_3D('Données géométriques'!$B$9,'Données géométriques'!$B$10,'Données géométriques'!$B$12,'Données géométriques'!$B$11,I39)</f>
        <v>-0.28787246985947818</v>
      </c>
      <c r="K39">
        <f>'5kts'!K39</f>
        <v>1.1514536950961625</v>
      </c>
      <c r="L39">
        <f t="shared" si="3"/>
        <v>2.7872469859478166E-2</v>
      </c>
      <c r="M39">
        <f t="shared" si="4"/>
        <v>0.56200000000000006</v>
      </c>
    </row>
    <row r="40" spans="1:13" x14ac:dyDescent="0.25">
      <c r="A40">
        <v>18.5</v>
      </c>
      <c r="B40">
        <f t="shared" si="1"/>
        <v>0.32288591161895097</v>
      </c>
      <c r="C40">
        <v>0.84360000000000002</v>
      </c>
      <c r="D40">
        <v>0.22744</v>
      </c>
      <c r="E40">
        <v>-7.4399999999999994E-2</v>
      </c>
      <c r="F40">
        <f>C40*'Données géométriques'!$B$6/(2+('Données géométriques'!$B$6^2+4)^0.5)</f>
        <v>0.467610026115102</v>
      </c>
      <c r="G40">
        <f>F40^2/(PI()*'Données géométriques'!$B$6)</f>
        <v>2.1746326532538426E-2</v>
      </c>
      <c r="H40">
        <f t="shared" si="2"/>
        <v>0.24918632653253842</v>
      </c>
      <c r="I40">
        <f t="shared" si="5"/>
        <v>0.33530411771039148</v>
      </c>
      <c r="J40">
        <f>XCP_3D('Données géométriques'!$B$9,'Données géométriques'!$B$10,'Données géométriques'!$B$12,'Données géométriques'!$B$11,I40)</f>
        <v>-0.29026498084045876</v>
      </c>
      <c r="K40">
        <f>'5kts'!K40</f>
        <v>1.1514536950961625</v>
      </c>
      <c r="L40">
        <f t="shared" si="3"/>
        <v>3.0264980840458755E-2</v>
      </c>
      <c r="M40">
        <f t="shared" si="4"/>
        <v>0.57399999999999995</v>
      </c>
    </row>
    <row r="41" spans="1:13" x14ac:dyDescent="0.25">
      <c r="A41">
        <v>19</v>
      </c>
      <c r="B41">
        <f>RADIANS(A41)</f>
        <v>0.33161255787892263</v>
      </c>
      <c r="C41">
        <v>0.85670000000000002</v>
      </c>
      <c r="D41">
        <v>0.2366</v>
      </c>
      <c r="E41">
        <v>-7.9200000000000007E-2</v>
      </c>
      <c r="F41">
        <f>C41*'Données géométriques'!$B$6/(2+('Données géométriques'!$B$6^2+4)^0.5)</f>
        <v>0.47487139565292541</v>
      </c>
      <c r="G41">
        <f>F41^2/(PI()*'Données géométriques'!$B$6)</f>
        <v>2.2426954222081637E-2</v>
      </c>
      <c r="H41">
        <f t="shared" ref="H41:H43" si="6">G41+D41</f>
        <v>0.25902695422208166</v>
      </c>
      <c r="I41">
        <f t="shared" ref="I41:I43" si="7">0.25-E41/(C41*COS(B41)+D41*SIN(B41))</f>
        <v>0.33928418544496952</v>
      </c>
      <c r="J41">
        <f>XCP_3D('Données géométriques'!$B$9,'Données géométriques'!$B$10,'Données géométriques'!$B$12,'Données géométriques'!$B$11,I41)</f>
        <v>-0.29319550651459991</v>
      </c>
      <c r="K41">
        <f>'5kts'!K41</f>
        <v>1.1514536950961625</v>
      </c>
      <c r="L41">
        <f t="shared" ref="L41:L43" si="8" xml:space="preserve"> -(J41+0.26)</f>
        <v>3.3195506514599904E-2</v>
      </c>
      <c r="M41">
        <f t="shared" ref="M41:M43" si="9">ROUND( A41^3 * -0.00006 + 0.0023*A41^2 + 0.0003*A41 + 0.1609,3)</f>
        <v>0.58499999999999996</v>
      </c>
    </row>
    <row r="42" spans="1:13" x14ac:dyDescent="0.25">
      <c r="A42">
        <v>19.5</v>
      </c>
      <c r="B42">
        <f t="shared" si="1"/>
        <v>0.34033920413889424</v>
      </c>
      <c r="C42">
        <v>0.87119999999999997</v>
      </c>
      <c r="D42">
        <v>0.24460000000000001</v>
      </c>
      <c r="E42">
        <v>-8.3799999999999999E-2</v>
      </c>
      <c r="F42">
        <f>C42*'Données géométriques'!$B$6/(2+('Données géométriques'!$B$6^2+4)^0.5)</f>
        <v>0.48290878941616511</v>
      </c>
      <c r="G42">
        <f>F42^2/(PI()*'Données géométriques'!$B$6)</f>
        <v>2.3192549717759539E-2</v>
      </c>
      <c r="H42">
        <f t="shared" si="6"/>
        <v>0.26779254971775956</v>
      </c>
      <c r="I42">
        <f t="shared" si="7"/>
        <v>0.34281426789859593</v>
      </c>
      <c r="J42">
        <f>XCP_3D('Données géométriques'!$B$9,'Données géométriques'!$B$10,'Données géométriques'!$B$12,'Données géométriques'!$B$11,I42)</f>
        <v>-0.29579470782273715</v>
      </c>
      <c r="K42">
        <f>'5kts'!K42</f>
        <v>1.1514536950961625</v>
      </c>
      <c r="L42">
        <f t="shared" si="8"/>
        <v>3.5794707822737137E-2</v>
      </c>
      <c r="M42">
        <f t="shared" si="9"/>
        <v>0.59599999999999997</v>
      </c>
    </row>
    <row r="43" spans="1:13" x14ac:dyDescent="0.25">
      <c r="A43">
        <v>20</v>
      </c>
      <c r="B43">
        <f t="shared" si="1"/>
        <v>0.3490658503988659</v>
      </c>
      <c r="C43">
        <v>0.88600000000000001</v>
      </c>
      <c r="D43">
        <v>0.25363000000000002</v>
      </c>
      <c r="E43">
        <v>-8.8800000000000004E-2</v>
      </c>
      <c r="F43">
        <f>C43*'Données géométriques'!$B$6/(2+('Données géométriques'!$B$6^2+4)^0.5)</f>
        <v>0.49111247408485109</v>
      </c>
      <c r="G43">
        <f>F43^2/(PI()*'Données géométriques'!$B$6)</f>
        <v>2.3987235920228833E-2</v>
      </c>
      <c r="H43">
        <f t="shared" si="6"/>
        <v>0.27761723592022886</v>
      </c>
      <c r="I43">
        <f t="shared" si="7"/>
        <v>0.34659374021274192</v>
      </c>
      <c r="J43">
        <f>XCP_3D('Données géométriques'!$B$9,'Données géométriques'!$B$10,'Données géométriques'!$B$12,'Données géométriques'!$B$11,I43)</f>
        <v>-0.29857753499803491</v>
      </c>
      <c r="K43">
        <f>'5kts'!K42</f>
        <v>1.1514536950961625</v>
      </c>
      <c r="L43">
        <f t="shared" si="8"/>
        <v>3.8577534998034901E-2</v>
      </c>
      <c r="M43">
        <f t="shared" si="9"/>
        <v>0.60699999999999998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6ACC0-5A7A-44C3-9A09-A9422B43CF47}">
  <sheetPr codeName="Feuil4"/>
  <dimension ref="A1:M43"/>
  <sheetViews>
    <sheetView topLeftCell="A13" workbookViewId="0">
      <selection activeCell="B44" sqref="B44"/>
    </sheetView>
  </sheetViews>
  <sheetFormatPr baseColWidth="10" defaultRowHeight="15" x14ac:dyDescent="0.25"/>
  <sheetData>
    <row r="1" spans="1:13" x14ac:dyDescent="0.25">
      <c r="A1">
        <v>20</v>
      </c>
      <c r="C1">
        <f>ROUND(((A1*0.514)/15.6)*1000000,0)</f>
        <v>658974</v>
      </c>
    </row>
    <row r="2" spans="1:13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23</v>
      </c>
      <c r="J2" t="s">
        <v>24</v>
      </c>
      <c r="K2" t="s">
        <v>26</v>
      </c>
      <c r="L2" t="s">
        <v>25</v>
      </c>
      <c r="M2" t="s">
        <v>11</v>
      </c>
    </row>
    <row r="3" spans="1:13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25">
      <c r="A4">
        <v>0</v>
      </c>
      <c r="B4">
        <f>RADIANS(A4)</f>
        <v>0</v>
      </c>
      <c r="C4">
        <v>0</v>
      </c>
      <c r="D4">
        <v>6.2300000000000003E-3</v>
      </c>
      <c r="E4">
        <v>0</v>
      </c>
      <c r="F4">
        <v>6.2300000000000003E-3</v>
      </c>
      <c r="G4">
        <f>F4^2/(PI()*'Données géométriques'!$B$6)</f>
        <v>3.8600627922289676E-6</v>
      </c>
      <c r="H4">
        <f>G4+D4</f>
        <v>6.2338600627922297E-3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'5kts'!K4</f>
        <v>1.1514536950961625</v>
      </c>
      <c r="L4">
        <f xml:space="preserve"> -(J4+0.26)</f>
        <v>-0.21661959277092063</v>
      </c>
      <c r="M4">
        <f t="shared" ref="M4" si="0">ROUND( A4^3 * - 0.00006 + 0.0023*A4^2 + 0.0003*A4 + 0.1609,3)</f>
        <v>0.161</v>
      </c>
    </row>
    <row r="5" spans="1:13" x14ac:dyDescent="0.25">
      <c r="A5">
        <v>0.5</v>
      </c>
      <c r="B5">
        <f t="shared" ref="B5:B43" si="1">RADIANS(A5)</f>
        <v>8.7266462599716477E-3</v>
      </c>
      <c r="C5">
        <v>5.2699999999999997E-2</v>
      </c>
      <c r="D5">
        <v>6.2599999999999999E-3</v>
      </c>
      <c r="E5">
        <v>5.2699999999999997E-2</v>
      </c>
      <c r="F5">
        <v>6.2599999999999999E-3</v>
      </c>
      <c r="G5">
        <f>F5^2/(PI()*'Données géométriques'!$B$6)</f>
        <v>3.8973278646210897E-6</v>
      </c>
      <c r="H5">
        <f t="shared" ref="H5:H42" si="2">G5+D5</f>
        <v>6.2638973278646209E-3</v>
      </c>
      <c r="I5">
        <f>0.25-E5/(C5*COS(B5)+D5*SIN(B5))</f>
        <v>-0.74900248639313904</v>
      </c>
      <c r="J5">
        <f>XCP_3D('Données géométriques'!$B$9,'Données géométriques'!$B$10,'Données géométriques'!$B$12,'Données géométriques'!$B$11,I5)</f>
        <v>0.50811046246178593</v>
      </c>
      <c r="K5">
        <f>'5kts'!K5</f>
        <v>1.1514536950961625</v>
      </c>
      <c r="L5">
        <f t="shared" ref="L5:L42" si="3" xml:space="preserve"> -(J5+0.26)</f>
        <v>-0.76811046246178594</v>
      </c>
      <c r="M5">
        <f t="shared" ref="M5:M42" si="4">ROUND( A5^3 * -0.00006 + 0.0023*A5^2 + 0.0003*A5 + 0.1609,3)</f>
        <v>0.16200000000000001</v>
      </c>
    </row>
    <row r="6" spans="1:13" x14ac:dyDescent="0.25">
      <c r="A6">
        <v>1</v>
      </c>
      <c r="B6">
        <f t="shared" si="1"/>
        <v>1.7453292519943295E-2</v>
      </c>
      <c r="C6">
        <v>0.1052</v>
      </c>
      <c r="D6">
        <v>6.3600000000000002E-3</v>
      </c>
      <c r="E6">
        <v>0.1052</v>
      </c>
      <c r="F6">
        <v>6.3600000000000002E-3</v>
      </c>
      <c r="G6">
        <f>F6^2/(PI()*'Données géométriques'!$B$6)</f>
        <v>4.0228376627498811E-6</v>
      </c>
      <c r="H6">
        <f t="shared" si="2"/>
        <v>6.3640228376627504E-3</v>
      </c>
      <c r="I6">
        <f t="shared" ref="I6:I42" si="5">0.25-E6/(C6*COS(B6)+D6*SIN(B6))</f>
        <v>-0.74909801169959001</v>
      </c>
      <c r="J6">
        <f>XCP_3D('Données géométriques'!$B$9,'Données géométriques'!$B$10,'Données géométriques'!$B$12,'Données géométriques'!$B$11,I6)</f>
        <v>0.50818079778815739</v>
      </c>
      <c r="K6">
        <f>'5kts'!K6</f>
        <v>1.1514536950961625</v>
      </c>
      <c r="L6">
        <f t="shared" si="3"/>
        <v>-0.7681807977881574</v>
      </c>
      <c r="M6">
        <f t="shared" si="4"/>
        <v>0.16300000000000001</v>
      </c>
    </row>
    <row r="7" spans="1:13" x14ac:dyDescent="0.25">
      <c r="A7">
        <v>1.5</v>
      </c>
      <c r="B7">
        <f t="shared" si="1"/>
        <v>2.6179938779914945E-2</v>
      </c>
      <c r="C7">
        <v>0.15720000000000001</v>
      </c>
      <c r="D7">
        <v>6.5599999999999999E-3</v>
      </c>
      <c r="E7">
        <v>0.15720000000000001</v>
      </c>
      <c r="F7">
        <v>6.5599999999999999E-3</v>
      </c>
      <c r="G7">
        <f>F7^2/(PI()*'Données géométriques'!$B$6)</f>
        <v>4.2798244443384678E-6</v>
      </c>
      <c r="H7">
        <f t="shared" si="2"/>
        <v>6.5642798244443384E-3</v>
      </c>
      <c r="I7">
        <f t="shared" si="5"/>
        <v>-0.74925086526825213</v>
      </c>
      <c r="J7">
        <f>XCP_3D('Données géométriques'!$B$9,'Données géométriques'!$B$10,'Données géométriques'!$B$12,'Données géométriques'!$B$11,I7)</f>
        <v>0.50829334393993753</v>
      </c>
      <c r="K7">
        <f>'5kts'!K7</f>
        <v>1.1514536950961625</v>
      </c>
      <c r="L7">
        <f t="shared" si="3"/>
        <v>-0.76829334393993753</v>
      </c>
      <c r="M7">
        <f t="shared" si="4"/>
        <v>0.16600000000000001</v>
      </c>
    </row>
    <row r="8" spans="1:13" x14ac:dyDescent="0.25">
      <c r="A8">
        <v>2</v>
      </c>
      <c r="B8">
        <f t="shared" si="1"/>
        <v>3.4906585039886591E-2</v>
      </c>
      <c r="C8">
        <v>0.2089</v>
      </c>
      <c r="D8">
        <v>6.8700000000000002E-3</v>
      </c>
      <c r="E8">
        <v>0.2089</v>
      </c>
      <c r="F8">
        <v>6.8700000000000002E-3</v>
      </c>
      <c r="G8">
        <f>F8^2/(PI()*'Données géométriques'!$B$6)</f>
        <v>4.6938774891479733E-6</v>
      </c>
      <c r="H8">
        <f t="shared" si="2"/>
        <v>6.8746938774891485E-3</v>
      </c>
      <c r="I8">
        <f t="shared" si="5"/>
        <v>-0.74946173886798417</v>
      </c>
      <c r="J8">
        <f>XCP_3D('Données géométriques'!$B$9,'Données géométriques'!$B$10,'Données géométriques'!$B$12,'Données géométriques'!$B$11,I8)</f>
        <v>0.50844861026684973</v>
      </c>
      <c r="K8">
        <f>'5kts'!K8</f>
        <v>1.1514536950961625</v>
      </c>
      <c r="L8">
        <f t="shared" si="3"/>
        <v>-0.76844861026684974</v>
      </c>
      <c r="M8">
        <f t="shared" si="4"/>
        <v>0.17</v>
      </c>
    </row>
    <row r="9" spans="1:13" x14ac:dyDescent="0.25">
      <c r="A9">
        <v>2.5</v>
      </c>
      <c r="B9">
        <f t="shared" si="1"/>
        <v>4.3633231299858237E-2</v>
      </c>
      <c r="C9">
        <v>0.26119999999999999</v>
      </c>
      <c r="D9">
        <v>7.3000000000000001E-3</v>
      </c>
      <c r="E9">
        <v>0.26119999999999999</v>
      </c>
      <c r="F9">
        <v>7.3000000000000001E-3</v>
      </c>
      <c r="G9">
        <f>F9^2/(PI()*'Données géométriques'!$B$6)</f>
        <v>5.2998551048203485E-6</v>
      </c>
      <c r="H9">
        <f t="shared" si="2"/>
        <v>7.3052998551048206E-3</v>
      </c>
      <c r="I9">
        <f t="shared" si="5"/>
        <v>-0.74973277814579353</v>
      </c>
      <c r="J9">
        <f>XCP_3D('Données géométriques'!$B$9,'Données géométriques'!$B$10,'Données géométriques'!$B$12,'Données géométriques'!$B$11,I9)</f>
        <v>0.50864817660976069</v>
      </c>
      <c r="K9">
        <f>'5kts'!K9</f>
        <v>1.1514536950961625</v>
      </c>
      <c r="L9">
        <f t="shared" si="3"/>
        <v>-0.7686481766097607</v>
      </c>
      <c r="M9">
        <f t="shared" si="4"/>
        <v>0.17499999999999999</v>
      </c>
    </row>
    <row r="10" spans="1:13" x14ac:dyDescent="0.25">
      <c r="A10">
        <v>3</v>
      </c>
      <c r="B10">
        <f t="shared" si="1"/>
        <v>5.235987755982989E-2</v>
      </c>
      <c r="C10">
        <v>0.31759999999999999</v>
      </c>
      <c r="D10">
        <v>7.8399999999999997E-3</v>
      </c>
      <c r="E10">
        <v>0.31759999999999999</v>
      </c>
      <c r="F10">
        <v>7.8399999999999997E-3</v>
      </c>
      <c r="G10">
        <f>F10^2/(PI()*'Données géométriques'!$B$6)</f>
        <v>6.1129437780229984E-6</v>
      </c>
      <c r="H10">
        <f t="shared" si="2"/>
        <v>7.8461129437780233E-3</v>
      </c>
      <c r="I10">
        <f t="shared" si="5"/>
        <v>-0.75007855108478405</v>
      </c>
      <c r="J10">
        <f>XCP_3D('Données géométriques'!$B$9,'Données géométriques'!$B$10,'Données géométriques'!$B$12,'Données géométriques'!$B$11,I10)</f>
        <v>0.50890276938121914</v>
      </c>
      <c r="K10">
        <f>'5kts'!K10</f>
        <v>1.1514536950961625</v>
      </c>
      <c r="L10">
        <f t="shared" si="3"/>
        <v>-0.76890276938121915</v>
      </c>
      <c r="M10">
        <f t="shared" si="4"/>
        <v>0.18099999999999999</v>
      </c>
    </row>
    <row r="11" spans="1:13" x14ac:dyDescent="0.25">
      <c r="A11">
        <v>3.5</v>
      </c>
      <c r="B11">
        <f t="shared" si="1"/>
        <v>6.1086523819801536E-2</v>
      </c>
      <c r="C11">
        <v>0.37759999999999999</v>
      </c>
      <c r="D11">
        <v>8.4200000000000004E-3</v>
      </c>
      <c r="E11">
        <v>0.37759999999999999</v>
      </c>
      <c r="F11">
        <v>8.4200000000000004E-3</v>
      </c>
      <c r="G11">
        <f>F11^2/(PI()*'Données géométriques'!$B$6)</f>
        <v>7.0508659683502607E-6</v>
      </c>
      <c r="H11">
        <f t="shared" si="2"/>
        <v>8.427050865968351E-3</v>
      </c>
      <c r="I11">
        <f t="shared" si="5"/>
        <v>-0.75050415079052657</v>
      </c>
      <c r="J11">
        <f>XCP_3D('Données géométriques'!$B$9,'Données géométriques'!$B$10,'Données géométriques'!$B$12,'Données géométriques'!$B$11,I11)</f>
        <v>0.50921613863716064</v>
      </c>
      <c r="K11">
        <f>'5kts'!K11</f>
        <v>1.1514536950961625</v>
      </c>
      <c r="L11">
        <f t="shared" si="3"/>
        <v>-0.76921613863716065</v>
      </c>
      <c r="M11">
        <f t="shared" si="4"/>
        <v>0.188</v>
      </c>
    </row>
    <row r="12" spans="1:13" x14ac:dyDescent="0.25">
      <c r="A12">
        <v>4</v>
      </c>
      <c r="B12">
        <f t="shared" si="1"/>
        <v>6.9813170079773182E-2</v>
      </c>
      <c r="C12">
        <v>0.4405</v>
      </c>
      <c r="D12">
        <v>8.9800000000000001E-3</v>
      </c>
      <c r="E12">
        <v>0.4405</v>
      </c>
      <c r="F12">
        <v>8.9800000000000001E-3</v>
      </c>
      <c r="G12">
        <f>F12^2/(PI()*'Données géométriques'!$B$6)</f>
        <v>8.0199368661053639E-6</v>
      </c>
      <c r="H12">
        <f t="shared" si="2"/>
        <v>8.9880199368661054E-3</v>
      </c>
      <c r="I12">
        <f t="shared" si="5"/>
        <v>-0.7510149285277441</v>
      </c>
      <c r="J12">
        <f>XCP_3D('Données géométriques'!$B$9,'Données géométriques'!$B$10,'Données géométriques'!$B$12,'Données géométriques'!$B$11,I12)</f>
        <v>0.50959222451622388</v>
      </c>
      <c r="K12">
        <f>'5kts'!K12</f>
        <v>1.1514536950961625</v>
      </c>
      <c r="L12">
        <f t="shared" si="3"/>
        <v>-0.76959222451622389</v>
      </c>
      <c r="M12">
        <f t="shared" si="4"/>
        <v>0.19500000000000001</v>
      </c>
    </row>
    <row r="13" spans="1:13" x14ac:dyDescent="0.25">
      <c r="A13">
        <v>4.5</v>
      </c>
      <c r="B13">
        <f t="shared" si="1"/>
        <v>7.8539816339744828E-2</v>
      </c>
      <c r="C13">
        <v>0.50560000000000005</v>
      </c>
      <c r="D13">
        <v>9.5200000000000007E-3</v>
      </c>
      <c r="E13">
        <v>0.50560000000000005</v>
      </c>
      <c r="F13">
        <v>9.5200000000000007E-3</v>
      </c>
      <c r="G13">
        <f>F13^2/(PI()*'Données géométriques'!$B$6)</f>
        <v>9.013473223717587E-6</v>
      </c>
      <c r="H13">
        <f t="shared" si="2"/>
        <v>9.5290134732237183E-3</v>
      </c>
      <c r="I13">
        <f t="shared" si="5"/>
        <v>-0.75160793231080159</v>
      </c>
      <c r="J13">
        <f>XCP_3D('Données géométriques'!$B$9,'Données géométriques'!$B$10,'Données géométriques'!$B$12,'Données géométriques'!$B$11,I13)</f>
        <v>0.51002885347005156</v>
      </c>
      <c r="K13">
        <f>'5kts'!K13</f>
        <v>1.1514536950961625</v>
      </c>
      <c r="L13">
        <f t="shared" si="3"/>
        <v>-0.77002885347005157</v>
      </c>
      <c r="M13">
        <f t="shared" si="4"/>
        <v>0.20300000000000001</v>
      </c>
    </row>
    <row r="14" spans="1:13" x14ac:dyDescent="0.25">
      <c r="A14">
        <v>5</v>
      </c>
      <c r="B14">
        <f t="shared" si="1"/>
        <v>8.7266462599716474E-2</v>
      </c>
      <c r="C14">
        <v>0.57099999999999995</v>
      </c>
      <c r="D14">
        <v>1.005E-2</v>
      </c>
      <c r="E14">
        <v>0.57099999999999995</v>
      </c>
      <c r="F14">
        <v>1.005E-2</v>
      </c>
      <c r="G14">
        <f>F14^2/(PI()*'Données géométriques'!$B$6)</f>
        <v>1.0045010606579418E-5</v>
      </c>
      <c r="H14">
        <f t="shared" si="2"/>
        <v>1.006004501060658E-2</v>
      </c>
      <c r="I14">
        <f t="shared" si="5"/>
        <v>-0.75227647032764167</v>
      </c>
      <c r="J14">
        <f>XCP_3D('Données géométriques'!$B$9,'Données géométriques'!$B$10,'Données géométriques'!$B$12,'Données géométriques'!$B$11,I14)</f>
        <v>0.5105210983143994</v>
      </c>
      <c r="K14">
        <f>'5kts'!K14</f>
        <v>1.1514536950961625</v>
      </c>
      <c r="L14">
        <f t="shared" si="3"/>
        <v>-0.77052109831439941</v>
      </c>
      <c r="M14">
        <f t="shared" si="4"/>
        <v>0.21199999999999999</v>
      </c>
    </row>
    <row r="15" spans="1:13" x14ac:dyDescent="0.25">
      <c r="A15">
        <v>5.5</v>
      </c>
      <c r="B15">
        <f t="shared" si="1"/>
        <v>9.599310885968812E-2</v>
      </c>
      <c r="C15">
        <v>0.62490000000000001</v>
      </c>
      <c r="D15">
        <v>1.0580000000000001E-2</v>
      </c>
      <c r="E15">
        <v>0.62490000000000001</v>
      </c>
      <c r="F15">
        <v>1.0580000000000001E-2</v>
      </c>
      <c r="G15">
        <f>F15^2/(PI()*'Données géométriques'!$B$6)</f>
        <v>1.1132420734757226E-5</v>
      </c>
      <c r="H15">
        <f t="shared" si="2"/>
        <v>1.0591132420734757E-2</v>
      </c>
      <c r="I15">
        <f t="shared" si="5"/>
        <v>-0.75298997841660964</v>
      </c>
      <c r="J15">
        <f>XCP_3D('Données géométriques'!$B$9,'Données géométriques'!$B$10,'Données géométriques'!$B$12,'Données géométriques'!$B$11,I15)</f>
        <v>0.5110464546432012</v>
      </c>
      <c r="K15">
        <f>'5kts'!K15</f>
        <v>1.1514536950961625</v>
      </c>
      <c r="L15">
        <f t="shared" si="3"/>
        <v>-0.77104645464320121</v>
      </c>
      <c r="M15">
        <f t="shared" si="4"/>
        <v>0.222</v>
      </c>
    </row>
    <row r="16" spans="1:13" x14ac:dyDescent="0.25">
      <c r="A16">
        <v>6</v>
      </c>
      <c r="B16">
        <f t="shared" si="1"/>
        <v>0.10471975511965978</v>
      </c>
      <c r="C16">
        <v>0.67320000000000002</v>
      </c>
      <c r="D16">
        <v>1.115E-2</v>
      </c>
      <c r="E16">
        <v>0.67320000000000002</v>
      </c>
      <c r="F16">
        <v>1.115E-2</v>
      </c>
      <c r="G16">
        <f>F16^2/(PI()*'Données géométriques'!$B$6)</f>
        <v>1.2364256638563105E-5</v>
      </c>
      <c r="H16">
        <f t="shared" si="2"/>
        <v>1.1162364256638564E-2</v>
      </c>
      <c r="I16">
        <f t="shared" si="5"/>
        <v>-0.75376092410282292</v>
      </c>
      <c r="J16">
        <f>XCP_3D('Données géométriques'!$B$9,'Données géométriques'!$B$10,'Données géométriques'!$B$12,'Données géométriques'!$B$11,I16)</f>
        <v>0.51161410230084858</v>
      </c>
      <c r="K16">
        <f>'5kts'!K16</f>
        <v>1.1514536950961625</v>
      </c>
      <c r="L16">
        <f t="shared" si="3"/>
        <v>-0.77161410230084859</v>
      </c>
      <c r="M16">
        <f t="shared" si="4"/>
        <v>0.23300000000000001</v>
      </c>
    </row>
    <row r="17" spans="1:13" x14ac:dyDescent="0.25">
      <c r="A17">
        <v>6.5</v>
      </c>
      <c r="B17">
        <f t="shared" si="1"/>
        <v>0.11344640137963143</v>
      </c>
      <c r="C17">
        <v>0.72199999999999998</v>
      </c>
      <c r="D17">
        <v>1.172E-2</v>
      </c>
      <c r="E17">
        <v>0.72199999999999998</v>
      </c>
      <c r="F17">
        <v>1.172E-2</v>
      </c>
      <c r="G17">
        <f>F17^2/(PI()*'Données géométriques'!$B$6)</f>
        <v>1.3660717159503759E-5</v>
      </c>
      <c r="H17">
        <f t="shared" si="2"/>
        <v>1.1733660717159504E-2</v>
      </c>
      <c r="I17">
        <f t="shared" si="5"/>
        <v>-0.75461172234028151</v>
      </c>
      <c r="J17">
        <f>XCP_3D('Données géométriques'!$B$9,'Données géométriques'!$B$10,'Données géométriques'!$B$12,'Données géométriques'!$B$11,I17)</f>
        <v>0.51224054542812003</v>
      </c>
      <c r="K17">
        <f>'5kts'!K17</f>
        <v>1.1514536950961625</v>
      </c>
      <c r="L17">
        <f t="shared" si="3"/>
        <v>-0.77224054542812004</v>
      </c>
      <c r="M17">
        <f t="shared" si="4"/>
        <v>0.24399999999999999</v>
      </c>
    </row>
    <row r="18" spans="1:13" x14ac:dyDescent="0.25">
      <c r="A18">
        <v>7</v>
      </c>
      <c r="B18">
        <f t="shared" si="1"/>
        <v>0.12217304763960307</v>
      </c>
      <c r="C18">
        <v>0.77080000000000004</v>
      </c>
      <c r="D18">
        <v>1.242E-2</v>
      </c>
      <c r="E18">
        <v>0.77080000000000004</v>
      </c>
      <c r="F18">
        <v>1.242E-2</v>
      </c>
      <c r="G18">
        <f>F18^2/(PI()*'Données géométriques'!$B$6)</f>
        <v>1.5341275454892282E-5</v>
      </c>
      <c r="H18">
        <f t="shared" si="2"/>
        <v>1.2435341275454892E-2</v>
      </c>
      <c r="I18">
        <f t="shared" si="5"/>
        <v>-0.75552046004497231</v>
      </c>
      <c r="J18">
        <f>XCP_3D('Données géométriques'!$B$9,'Données géométriques'!$B$10,'Données géométriques'!$B$12,'Données géométriques'!$B$11,I18)</f>
        <v>0.51290964941132844</v>
      </c>
      <c r="K18">
        <f>'5kts'!K18</f>
        <v>1.1514536950961625</v>
      </c>
      <c r="L18">
        <f t="shared" si="3"/>
        <v>-0.77290964941132845</v>
      </c>
      <c r="M18">
        <f t="shared" si="4"/>
        <v>0.255</v>
      </c>
    </row>
    <row r="19" spans="1:13" x14ac:dyDescent="0.25">
      <c r="A19">
        <v>7.5</v>
      </c>
      <c r="B19">
        <f t="shared" si="1"/>
        <v>0.1308996938995747</v>
      </c>
      <c r="C19">
        <v>0.82</v>
      </c>
      <c r="D19">
        <v>1.3129999999999999E-2</v>
      </c>
      <c r="E19">
        <v>0.82</v>
      </c>
      <c r="F19">
        <v>1.3129999999999999E-2</v>
      </c>
      <c r="G19">
        <f>F19^2/(PI()*'Données géométriques'!$B$6)</f>
        <v>1.7145404213177015E-5</v>
      </c>
      <c r="H19">
        <f t="shared" si="2"/>
        <v>1.3147145404213176E-2</v>
      </c>
      <c r="I19">
        <f t="shared" si="5"/>
        <v>-0.75650719763193774</v>
      </c>
      <c r="J19">
        <f>XCP_3D('Données géométriques'!$B$9,'Données géométriques'!$B$10,'Données géométriques'!$B$12,'Données géométriques'!$B$11,I19)</f>
        <v>0.51363618474315853</v>
      </c>
      <c r="K19">
        <f>'5kts'!K19</f>
        <v>1.1514536950961625</v>
      </c>
      <c r="L19">
        <f t="shared" si="3"/>
        <v>-0.77363618474315854</v>
      </c>
      <c r="M19">
        <f t="shared" si="4"/>
        <v>0.26700000000000002</v>
      </c>
    </row>
    <row r="20" spans="1:13" x14ac:dyDescent="0.25">
      <c r="A20">
        <v>8</v>
      </c>
      <c r="B20">
        <f t="shared" si="1"/>
        <v>0.13962634015954636</v>
      </c>
      <c r="C20">
        <v>0.86870000000000003</v>
      </c>
      <c r="D20">
        <v>1.4E-2</v>
      </c>
      <c r="E20">
        <v>0.86870000000000003</v>
      </c>
      <c r="F20">
        <v>1.4E-2</v>
      </c>
      <c r="G20">
        <f>F20^2/(PI()*'Données géométriques'!$B$6)</f>
        <v>1.9492805414614155E-5</v>
      </c>
      <c r="H20">
        <f t="shared" si="2"/>
        <v>1.4019492805414615E-2</v>
      </c>
      <c r="I20">
        <f t="shared" si="5"/>
        <v>-0.75754552113198548</v>
      </c>
      <c r="J20">
        <f>XCP_3D('Données géométriques'!$B$9,'Données géométriques'!$B$10,'Données géométriques'!$B$12,'Données géométriques'!$B$11,I20)</f>
        <v>0.51440070280613337</v>
      </c>
      <c r="K20">
        <f>'5kts'!K20</f>
        <v>1.1514536950961625</v>
      </c>
      <c r="L20">
        <f t="shared" si="3"/>
        <v>-0.77440070280613338</v>
      </c>
      <c r="M20">
        <f t="shared" si="4"/>
        <v>0.28000000000000003</v>
      </c>
    </row>
    <row r="21" spans="1:13" x14ac:dyDescent="0.25">
      <c r="A21">
        <v>8.5</v>
      </c>
      <c r="B21">
        <f t="shared" si="1"/>
        <v>0.14835298641951802</v>
      </c>
      <c r="C21">
        <v>0.91739999999999999</v>
      </c>
      <c r="D21">
        <v>1.489E-2</v>
      </c>
      <c r="E21">
        <v>0.91739999999999999</v>
      </c>
      <c r="F21">
        <v>1.489E-2</v>
      </c>
      <c r="G21">
        <f>F21^2/(PI()*'Données géométriques'!$B$6)</f>
        <v>2.2049953180436096E-5</v>
      </c>
      <c r="H21">
        <f t="shared" si="2"/>
        <v>1.4912049953180436E-2</v>
      </c>
      <c r="I21">
        <f t="shared" si="5"/>
        <v>-0.75865943561183569</v>
      </c>
      <c r="J21">
        <f>XCP_3D('Données géométriques'!$B$9,'Données géométriques'!$B$10,'Données géométriques'!$B$12,'Données géométriques'!$B$11,I21)</f>
        <v>0.51522087854174803</v>
      </c>
      <c r="K21">
        <f>'5kts'!K21</f>
        <v>1.1514536950961625</v>
      </c>
      <c r="L21">
        <f t="shared" si="3"/>
        <v>-0.77522087854174804</v>
      </c>
      <c r="M21">
        <f t="shared" si="4"/>
        <v>0.29299999999999998</v>
      </c>
    </row>
    <row r="22" spans="1:13" x14ac:dyDescent="0.25">
      <c r="A22">
        <v>9</v>
      </c>
      <c r="B22">
        <f t="shared" si="1"/>
        <v>0.15707963267948966</v>
      </c>
      <c r="C22">
        <v>0.96530000000000005</v>
      </c>
      <c r="D22">
        <v>1.5879999999999998E-2</v>
      </c>
      <c r="E22">
        <v>0.96530000000000005</v>
      </c>
      <c r="F22">
        <v>1.5879999999999998E-2</v>
      </c>
      <c r="G22">
        <f>F22^2/(PI()*'Données géométriques'!$B$6)</f>
        <v>2.5079523008913645E-5</v>
      </c>
      <c r="H22">
        <f t="shared" si="2"/>
        <v>1.5905079523008913E-2</v>
      </c>
      <c r="I22">
        <f t="shared" si="5"/>
        <v>-0.7598339451090812</v>
      </c>
      <c r="J22">
        <f>XCP_3D('Données géométriques'!$B$9,'Données géométriques'!$B$10,'Données géométriques'!$B$12,'Données géométriques'!$B$11,I22)</f>
        <v>0.51608567041609288</v>
      </c>
      <c r="K22">
        <f>'5kts'!K22</f>
        <v>1.1514536950961625</v>
      </c>
      <c r="L22">
        <f t="shared" si="3"/>
        <v>-0.77608567041609289</v>
      </c>
      <c r="M22">
        <f t="shared" si="4"/>
        <v>0.30599999999999999</v>
      </c>
    </row>
    <row r="23" spans="1:13" x14ac:dyDescent="0.25">
      <c r="A23">
        <v>9.5</v>
      </c>
      <c r="B23">
        <f t="shared" si="1"/>
        <v>0.16580627893946132</v>
      </c>
      <c r="C23">
        <v>1.0111000000000001</v>
      </c>
      <c r="D23">
        <v>1.7170000000000001E-2</v>
      </c>
      <c r="E23">
        <v>1.0111000000000001</v>
      </c>
      <c r="F23">
        <v>1.7170000000000001E-2</v>
      </c>
      <c r="G23">
        <f>F23^2/(PI()*'Données géométriques'!$B$6)</f>
        <v>2.9319655725492061E-5</v>
      </c>
      <c r="H23">
        <f t="shared" si="2"/>
        <v>1.7199319655725492E-2</v>
      </c>
      <c r="I23">
        <f t="shared" si="5"/>
        <v>-0.76103201910996487</v>
      </c>
      <c r="J23">
        <f>XCP_3D('Données géométriques'!$B$9,'Données géométriques'!$B$10,'Données géométriques'!$B$12,'Données géométriques'!$B$11,I23)</f>
        <v>0.51696781284512672</v>
      </c>
      <c r="K23">
        <f>'5kts'!K23</f>
        <v>1.1514536950961625</v>
      </c>
      <c r="L23">
        <f t="shared" si="3"/>
        <v>-0.77696781284512673</v>
      </c>
      <c r="M23">
        <f t="shared" si="4"/>
        <v>0.32</v>
      </c>
    </row>
    <row r="24" spans="1:13" x14ac:dyDescent="0.25">
      <c r="A24">
        <v>10</v>
      </c>
      <c r="B24">
        <f t="shared" si="1"/>
        <v>0.17453292519943295</v>
      </c>
      <c r="C24">
        <v>1.0569</v>
      </c>
      <c r="D24">
        <v>1.8370000000000001E-2</v>
      </c>
      <c r="E24">
        <v>1.0569</v>
      </c>
      <c r="F24">
        <v>1.8370000000000001E-2</v>
      </c>
      <c r="G24">
        <f>F24^2/(PI()*'Données géométriques'!$B$6)</f>
        <v>3.3561131058769935E-5</v>
      </c>
      <c r="H24">
        <f t="shared" si="2"/>
        <v>1.840356113105877E-2</v>
      </c>
      <c r="I24">
        <f t="shared" si="5"/>
        <v>-0.7623240989207638</v>
      </c>
      <c r="J24">
        <f>XCP_3D('Données géométriques'!$B$9,'Données géométriques'!$B$10,'Données géométriques'!$B$12,'Données géométriques'!$B$11,I24)</f>
        <v>0.51791917179454816</v>
      </c>
      <c r="K24">
        <f>'5kts'!K24</f>
        <v>1.1514536950961625</v>
      </c>
      <c r="L24">
        <f t="shared" si="3"/>
        <v>-0.77791917179454817</v>
      </c>
      <c r="M24">
        <f t="shared" si="4"/>
        <v>0.33400000000000002</v>
      </c>
    </row>
    <row r="25" spans="1:13" x14ac:dyDescent="0.25">
      <c r="A25">
        <v>10.5</v>
      </c>
      <c r="B25">
        <f t="shared" si="1"/>
        <v>0.18325957145940461</v>
      </c>
      <c r="C25">
        <v>1.1015999999999999</v>
      </c>
      <c r="D25">
        <v>1.966E-2</v>
      </c>
      <c r="E25">
        <v>1.1015999999999999</v>
      </c>
      <c r="F25">
        <v>1.966E-2</v>
      </c>
      <c r="G25">
        <f>F25^2/(PI()*'Données géométriques'!$B$6)</f>
        <v>3.8440170308738972E-5</v>
      </c>
      <c r="H25">
        <f t="shared" si="2"/>
        <v>1.969844017030874E-2</v>
      </c>
      <c r="I25">
        <f t="shared" si="5"/>
        <v>-0.76367732229261676</v>
      </c>
      <c r="J25">
        <f>XCP_3D('Données géométriques'!$B$9,'Données géométriques'!$B$10,'Données géométriques'!$B$12,'Données géométriques'!$B$11,I25)</f>
        <v>0.51891555077564133</v>
      </c>
      <c r="K25">
        <f>'5kts'!K25</f>
        <v>1.1514536950961625</v>
      </c>
      <c r="L25">
        <f t="shared" si="3"/>
        <v>-0.77891555077564134</v>
      </c>
      <c r="M25">
        <f t="shared" si="4"/>
        <v>0.34799999999999998</v>
      </c>
    </row>
    <row r="26" spans="1:13" x14ac:dyDescent="0.25">
      <c r="A26">
        <v>11</v>
      </c>
      <c r="B26">
        <f t="shared" si="1"/>
        <v>0.19198621771937624</v>
      </c>
      <c r="C26">
        <v>1.1442000000000001</v>
      </c>
      <c r="D26">
        <v>2.112E-2</v>
      </c>
      <c r="E26">
        <v>1.1442000000000001</v>
      </c>
      <c r="F26">
        <v>2.112E-2</v>
      </c>
      <c r="G26">
        <f>F26^2/(PI()*'Données géométriques'!$B$6)</f>
        <v>4.4361487875165652E-5</v>
      </c>
      <c r="H26">
        <f t="shared" si="2"/>
        <v>2.1164361487875167E-2</v>
      </c>
      <c r="I26">
        <f t="shared" si="5"/>
        <v>-0.7650746757468827</v>
      </c>
      <c r="J26">
        <f>XCP_3D('Données géométriques'!$B$9,'Données géométriques'!$B$10,'Données géométriques'!$B$12,'Données géométriques'!$B$11,I26)</f>
        <v>0.51994442275638708</v>
      </c>
      <c r="K26">
        <f>'5kts'!K26</f>
        <v>1.1514536950961625</v>
      </c>
      <c r="L26">
        <f t="shared" si="3"/>
        <v>-0.77994442275638709</v>
      </c>
      <c r="M26">
        <f t="shared" si="4"/>
        <v>0.36299999999999999</v>
      </c>
    </row>
    <row r="27" spans="1:13" x14ac:dyDescent="0.25">
      <c r="A27">
        <v>11.5</v>
      </c>
      <c r="B27">
        <f t="shared" si="1"/>
        <v>0.2007128639793479</v>
      </c>
      <c r="C27">
        <v>1.1820999999999999</v>
      </c>
      <c r="D27">
        <v>2.3050000000000001E-2</v>
      </c>
      <c r="E27">
        <v>1.1820999999999999</v>
      </c>
      <c r="F27">
        <v>2.3050000000000001E-2</v>
      </c>
      <c r="G27">
        <f>F27^2/(PI()*'Données géométriques'!$B$6)</f>
        <v>5.2839674738765498E-5</v>
      </c>
      <c r="H27">
        <f t="shared" si="2"/>
        <v>2.3102839674738765E-2</v>
      </c>
      <c r="I27">
        <f t="shared" si="5"/>
        <v>-0.76645413684277175</v>
      </c>
      <c r="J27">
        <f>XCP_3D('Données géométriques'!$B$9,'Données géométriques'!$B$10,'Données géométriques'!$B$12,'Données géométriques'!$B$11,I27)</f>
        <v>0.52096012058556151</v>
      </c>
      <c r="K27">
        <f>'5kts'!K27</f>
        <v>1.1514536950961625</v>
      </c>
      <c r="L27">
        <f t="shared" si="3"/>
        <v>-0.78096012058556152</v>
      </c>
      <c r="M27">
        <f t="shared" si="4"/>
        <v>0.377</v>
      </c>
    </row>
    <row r="28" spans="1:13" x14ac:dyDescent="0.25">
      <c r="A28">
        <v>12</v>
      </c>
      <c r="B28">
        <f t="shared" si="1"/>
        <v>0.20943951023931956</v>
      </c>
      <c r="C28">
        <v>1.2168000000000001</v>
      </c>
      <c r="D28">
        <v>2.5170000000000001E-2</v>
      </c>
      <c r="E28">
        <v>1.2168000000000001</v>
      </c>
      <c r="F28">
        <v>2.5170000000000001E-2</v>
      </c>
      <c r="G28">
        <f>F28^2/(PI()*'Données géométriques'!$B$6)</f>
        <v>6.3006405980788524E-5</v>
      </c>
      <c r="H28">
        <f t="shared" si="2"/>
        <v>2.5233006405980789E-2</v>
      </c>
      <c r="I28">
        <f t="shared" si="5"/>
        <v>-0.76786522628585741</v>
      </c>
      <c r="J28">
        <f>XCP_3D('Données géométriques'!$B$9,'Données géométriques'!$B$10,'Données géométriques'!$B$12,'Données géométriques'!$B$11,I28)</f>
        <v>0.52199910638108915</v>
      </c>
      <c r="K28">
        <f>'5kts'!K28</f>
        <v>1.1514536950961625</v>
      </c>
      <c r="L28">
        <f t="shared" si="3"/>
        <v>-0.78199910638108916</v>
      </c>
      <c r="M28">
        <f t="shared" si="4"/>
        <v>0.39200000000000002</v>
      </c>
    </row>
    <row r="29" spans="1:13" x14ac:dyDescent="0.25">
      <c r="A29">
        <v>12.5</v>
      </c>
      <c r="B29">
        <f t="shared" si="1"/>
        <v>0.21816615649929119</v>
      </c>
      <c r="C29">
        <v>1.2467999999999999</v>
      </c>
      <c r="D29">
        <v>2.7529999999999999E-2</v>
      </c>
      <c r="E29">
        <v>1.2467999999999999</v>
      </c>
      <c r="F29">
        <v>2.7529999999999999E-2</v>
      </c>
      <c r="G29">
        <f>F29^2/(PI()*'Données géométriques'!$B$6)</f>
        <v>7.5375585547249687E-5</v>
      </c>
      <c r="H29">
        <f t="shared" si="2"/>
        <v>2.7605375585547248E-2</v>
      </c>
      <c r="I29">
        <f t="shared" si="5"/>
        <v>-0.76928995260121114</v>
      </c>
      <c r="J29">
        <f>XCP_3D('Données géométriques'!$B$9,'Données géométriques'!$B$10,'Données géométriques'!$B$12,'Données géométriques'!$B$11,I29)</f>
        <v>0.52304813301184294</v>
      </c>
      <c r="K29">
        <f>'5kts'!K29</f>
        <v>1.1514536950961625</v>
      </c>
      <c r="L29">
        <f t="shared" si="3"/>
        <v>-0.78304813301184295</v>
      </c>
      <c r="M29">
        <f t="shared" si="4"/>
        <v>0.40699999999999997</v>
      </c>
    </row>
    <row r="30" spans="1:13" x14ac:dyDescent="0.25">
      <c r="A30">
        <v>13</v>
      </c>
      <c r="B30">
        <f t="shared" si="1"/>
        <v>0.22689280275926285</v>
      </c>
      <c r="C30">
        <v>1.2687999999999999</v>
      </c>
      <c r="D30">
        <v>3.0300000000000001E-2</v>
      </c>
      <c r="E30">
        <v>1.2687999999999999</v>
      </c>
      <c r="F30">
        <v>3.0300000000000001E-2</v>
      </c>
      <c r="G30">
        <f>F30^2/(PI()*'Données géométriques'!$B$6)</f>
        <v>9.1306886342362796E-5</v>
      </c>
      <c r="H30">
        <f t="shared" si="2"/>
        <v>3.0391306886342364E-2</v>
      </c>
      <c r="I30">
        <f t="shared" si="5"/>
        <v>-0.77067678541309759</v>
      </c>
      <c r="J30">
        <f>XCP_3D('Données géométriques'!$B$9,'Données géométriques'!$B$10,'Données géométriques'!$B$12,'Données géométriques'!$B$11,I30)</f>
        <v>0.52406925863884346</v>
      </c>
      <c r="K30">
        <f>'5kts'!K30</f>
        <v>1.1514536950961625</v>
      </c>
      <c r="L30">
        <f t="shared" si="3"/>
        <v>-0.78406925863884347</v>
      </c>
      <c r="M30">
        <f t="shared" si="4"/>
        <v>0.42199999999999999</v>
      </c>
    </row>
    <row r="31" spans="1:13" x14ac:dyDescent="0.25">
      <c r="A31">
        <v>13.5</v>
      </c>
      <c r="B31">
        <f t="shared" si="1"/>
        <v>0.23561944901923448</v>
      </c>
      <c r="C31">
        <v>1.2750999999999999</v>
      </c>
      <c r="D31">
        <v>3.3570000000000003E-2</v>
      </c>
      <c r="E31">
        <v>1.2750999999999999</v>
      </c>
      <c r="F31">
        <v>3.3570000000000003E-2</v>
      </c>
      <c r="G31">
        <f>F31^2/(PI()*'Données géométriques'!$B$6)</f>
        <v>1.1207815126883578E-4</v>
      </c>
      <c r="H31">
        <f t="shared" si="2"/>
        <v>3.3682078151268835E-2</v>
      </c>
      <c r="I31">
        <f t="shared" si="5"/>
        <v>-0.77195578237232243</v>
      </c>
      <c r="J31">
        <f>XCP_3D('Données géométriques'!$B$9,'Données géométriques'!$B$10,'Données géométriques'!$B$12,'Données géométriques'!$B$11,I31)</f>
        <v>0.52501098467873075</v>
      </c>
      <c r="K31">
        <f>'5kts'!K31</f>
        <v>1.1514536950961625</v>
      </c>
      <c r="L31">
        <f t="shared" si="3"/>
        <v>-0.78501098467873076</v>
      </c>
      <c r="M31">
        <f t="shared" si="4"/>
        <v>0.437</v>
      </c>
    </row>
    <row r="32" spans="1:13" x14ac:dyDescent="0.25">
      <c r="A32">
        <v>14</v>
      </c>
      <c r="B32">
        <f t="shared" si="1"/>
        <v>0.24434609527920614</v>
      </c>
      <c r="C32">
        <v>1.2713000000000001</v>
      </c>
      <c r="D32">
        <v>3.8289999999999998E-2</v>
      </c>
      <c r="E32">
        <v>1.2713000000000001</v>
      </c>
      <c r="F32">
        <v>3.8289999999999998E-2</v>
      </c>
      <c r="G32">
        <f>F32^2/(PI()*'Données géométriques'!$B$6)</f>
        <v>1.4581057038253216E-4</v>
      </c>
      <c r="H32">
        <f t="shared" si="2"/>
        <v>3.8435810570382527E-2</v>
      </c>
      <c r="I32">
        <f t="shared" si="5"/>
        <v>-0.7729319684987328</v>
      </c>
      <c r="J32">
        <f>XCP_3D('Données géométriques'!$B$9,'Données géométriques'!$B$10,'Données géométriques'!$B$12,'Données géométriques'!$B$11,I32)</f>
        <v>0.52572975096537544</v>
      </c>
      <c r="K32">
        <f>'5kts'!K32</f>
        <v>1.1514536950961625</v>
      </c>
      <c r="L32">
        <f t="shared" si="3"/>
        <v>-0.78572975096537545</v>
      </c>
      <c r="M32">
        <f t="shared" si="4"/>
        <v>0.45100000000000001</v>
      </c>
    </row>
    <row r="33" spans="1:13" x14ac:dyDescent="0.25">
      <c r="A33">
        <v>14.5</v>
      </c>
      <c r="B33">
        <f t="shared" si="1"/>
        <v>0.2530727415391778</v>
      </c>
      <c r="C33">
        <v>1.2562</v>
      </c>
      <c r="D33">
        <v>4.616E-2</v>
      </c>
      <c r="E33">
        <v>1.2562</v>
      </c>
      <c r="F33">
        <v>4.616E-2</v>
      </c>
      <c r="G33">
        <f>F33^2/(PI()*'Données géométriques'!$B$6)</f>
        <v>2.1190923147370043E-4</v>
      </c>
      <c r="H33">
        <f t="shared" si="2"/>
        <v>4.6371909231473697E-2</v>
      </c>
      <c r="I33">
        <f t="shared" si="5"/>
        <v>-0.7731769645018729</v>
      </c>
      <c r="J33">
        <f>XCP_3D('Données géométriques'!$B$9,'Données géométriques'!$B$10,'Données géométriques'!$B$12,'Données géométriques'!$B$11,I33)</f>
        <v>0.52591014163336236</v>
      </c>
      <c r="K33">
        <f>'5kts'!K33</f>
        <v>1.1514536950961625</v>
      </c>
      <c r="L33">
        <f t="shared" si="3"/>
        <v>-0.78591014163336237</v>
      </c>
      <c r="M33">
        <f t="shared" si="4"/>
        <v>0.46600000000000003</v>
      </c>
    </row>
    <row r="34" spans="1:13" x14ac:dyDescent="0.25">
      <c r="A34">
        <v>15</v>
      </c>
      <c r="B34">
        <f t="shared" si="1"/>
        <v>0.26179938779914941</v>
      </c>
      <c r="C34">
        <v>1.2202999999999999</v>
      </c>
      <c r="D34">
        <v>6.0789999999999997E-2</v>
      </c>
      <c r="E34">
        <v>1.2202999999999999</v>
      </c>
      <c r="F34">
        <v>6.0789999999999997E-2</v>
      </c>
      <c r="G34">
        <f>F34^2/(PI()*'Données géométriques'!$B$6)</f>
        <v>3.6752134135599809E-4</v>
      </c>
      <c r="H34">
        <f t="shared" si="2"/>
        <v>6.1157521341355991E-2</v>
      </c>
      <c r="I34">
        <f t="shared" si="5"/>
        <v>-0.77163928315924335</v>
      </c>
      <c r="J34">
        <f>XCP_3D('Données géométriques'!$B$9,'Données géométriques'!$B$10,'Données géométriques'!$B$12,'Données géométriques'!$B$11,I34)</f>
        <v>0.52477794616490758</v>
      </c>
      <c r="K34">
        <f>'5kts'!K34</f>
        <v>1.1514536950961625</v>
      </c>
      <c r="L34">
        <f t="shared" si="3"/>
        <v>-0.78477794616490759</v>
      </c>
      <c r="M34">
        <f t="shared" si="4"/>
        <v>0.48</v>
      </c>
    </row>
    <row r="35" spans="1:13" x14ac:dyDescent="0.25">
      <c r="A35">
        <v>15.5</v>
      </c>
      <c r="B35">
        <f t="shared" si="1"/>
        <v>0.27052603405912107</v>
      </c>
      <c r="C35">
        <v>1.1313</v>
      </c>
      <c r="D35">
        <v>8.7919999999999998E-2</v>
      </c>
      <c r="E35">
        <v>1.1313</v>
      </c>
      <c r="F35">
        <v>8.7919999999999998E-2</v>
      </c>
      <c r="G35">
        <f>F35^2/(PI()*'Données géométriques'!$B$6)</f>
        <v>7.687650570637188E-4</v>
      </c>
      <c r="H35">
        <f t="shared" si="2"/>
        <v>8.8688765057063718E-2</v>
      </c>
      <c r="I35">
        <f t="shared" si="5"/>
        <v>-0.76584811987184653</v>
      </c>
      <c r="J35">
        <f>XCP_3D('Données géométriques'!$B$9,'Données géométriques'!$B$10,'Données géométriques'!$B$12,'Données géométriques'!$B$11,I35)</f>
        <v>0.52051391001561864</v>
      </c>
      <c r="K35">
        <f>'5kts'!K35</f>
        <v>1.1514536950961625</v>
      </c>
      <c r="L35">
        <f t="shared" si="3"/>
        <v>-0.78051391001561865</v>
      </c>
      <c r="M35">
        <f t="shared" si="4"/>
        <v>0.495</v>
      </c>
    </row>
    <row r="36" spans="1:13" x14ac:dyDescent="0.25">
      <c r="A36">
        <v>16</v>
      </c>
      <c r="B36">
        <f t="shared" si="1"/>
        <v>0.27925268031909273</v>
      </c>
      <c r="C36">
        <v>0.98299999999999998</v>
      </c>
      <c r="D36">
        <v>0.12761</v>
      </c>
      <c r="E36">
        <v>0.98299999999999998</v>
      </c>
      <c r="F36">
        <v>0.12761</v>
      </c>
      <c r="G36">
        <f>F36^2/(PI()*'Données géométriques'!$B$6)</f>
        <v>1.6195251381436061E-3</v>
      </c>
      <c r="H36">
        <f t="shared" si="2"/>
        <v>0.12922952513814362</v>
      </c>
      <c r="I36">
        <f t="shared" si="5"/>
        <v>-0.75296468393667637</v>
      </c>
      <c r="J36">
        <f>XCP_3D('Données géométriques'!$B$9,'Données géométriques'!$B$10,'Données géométriques'!$B$12,'Données géométriques'!$B$11,I36)</f>
        <v>0.51102783030617693</v>
      </c>
      <c r="K36">
        <f>'5kts'!K36</f>
        <v>1.1514536950961625</v>
      </c>
      <c r="L36">
        <f t="shared" si="3"/>
        <v>-0.77102783030617694</v>
      </c>
      <c r="M36">
        <f t="shared" si="4"/>
        <v>0.50900000000000001</v>
      </c>
    </row>
    <row r="37" spans="1:13" x14ac:dyDescent="0.25">
      <c r="A37">
        <v>17</v>
      </c>
      <c r="B37">
        <f t="shared" si="1"/>
        <v>0.29670597283903605</v>
      </c>
      <c r="C37">
        <v>0.81169999999999998</v>
      </c>
      <c r="D37">
        <v>0.20079</v>
      </c>
      <c r="E37">
        <v>0.81169999999999998</v>
      </c>
      <c r="F37">
        <v>0.20079</v>
      </c>
      <c r="G37">
        <f>F37^2/(PI()*'Données géométriques'!$B$6)</f>
        <v>4.0096127987522623E-3</v>
      </c>
      <c r="H37">
        <f t="shared" si="2"/>
        <v>0.20479961279875225</v>
      </c>
      <c r="I37">
        <f t="shared" si="5"/>
        <v>-0.72216812720590107</v>
      </c>
      <c r="J37">
        <f>XCP_3D('Données géométriques'!$B$9,'Données géométriques'!$B$10,'Données géométriques'!$B$12,'Données géométriques'!$B$11,I37)</f>
        <v>0.48835231164838799</v>
      </c>
      <c r="K37">
        <f>'5kts'!K37</f>
        <v>1.1514536950961625</v>
      </c>
      <c r="L37">
        <f t="shared" si="3"/>
        <v>-0.748352311648388</v>
      </c>
      <c r="M37">
        <f t="shared" si="4"/>
        <v>0.53600000000000003</v>
      </c>
    </row>
    <row r="38" spans="1:13" x14ac:dyDescent="0.25">
      <c r="A38">
        <v>17.5</v>
      </c>
      <c r="B38">
        <f t="shared" si="1"/>
        <v>0.30543261909900765</v>
      </c>
      <c r="C38">
        <v>0.81759999999999999</v>
      </c>
      <c r="D38">
        <v>0.21262</v>
      </c>
      <c r="E38">
        <v>0.81759999999999999</v>
      </c>
      <c r="F38">
        <v>0.21262</v>
      </c>
      <c r="G38">
        <f>F38^2/(PI()*'Données géométriques'!$B$6)</f>
        <v>4.4960020830419065E-3</v>
      </c>
      <c r="H38">
        <f t="shared" si="2"/>
        <v>0.21711600208304191</v>
      </c>
      <c r="I38">
        <f t="shared" si="5"/>
        <v>-0.71907052359098766</v>
      </c>
      <c r="J38">
        <f>XCP_3D('Données géométriques'!$B$9,'Données géométriques'!$B$10,'Données géométriques'!$B$12,'Données géométriques'!$B$11,I38)</f>
        <v>0.48607154470491076</v>
      </c>
      <c r="K38">
        <f>'5kts'!K38</f>
        <v>1.1514536950961625</v>
      </c>
      <c r="L38">
        <f t="shared" si="3"/>
        <v>-0.74607154470491077</v>
      </c>
      <c r="M38">
        <f t="shared" si="4"/>
        <v>0.54900000000000004</v>
      </c>
    </row>
    <row r="39" spans="1:13" x14ac:dyDescent="0.25">
      <c r="A39">
        <v>18</v>
      </c>
      <c r="B39">
        <f t="shared" si="1"/>
        <v>0.31415926535897931</v>
      </c>
      <c r="C39">
        <v>0.82899999999999996</v>
      </c>
      <c r="D39">
        <v>0.22191</v>
      </c>
      <c r="E39">
        <v>0.82899999999999996</v>
      </c>
      <c r="F39">
        <v>0.22191</v>
      </c>
      <c r="G39">
        <f>F39^2/(PI()*'Données géométriques'!$B$6)</f>
        <v>4.8974726910265293E-3</v>
      </c>
      <c r="H39">
        <f t="shared" si="2"/>
        <v>0.22680747269102652</v>
      </c>
      <c r="I39">
        <f t="shared" si="5"/>
        <v>-0.71732809879516479</v>
      </c>
      <c r="J39">
        <f>XCP_3D('Données géométriques'!$B$9,'Données géométriques'!$B$10,'Données géométriques'!$B$12,'Données géométriques'!$B$11,I39)</f>
        <v>0.48478859653921763</v>
      </c>
      <c r="K39">
        <f>'5kts'!K39</f>
        <v>1.1514536950961625</v>
      </c>
      <c r="L39">
        <f t="shared" si="3"/>
        <v>-0.74478859653921758</v>
      </c>
      <c r="M39">
        <f t="shared" si="4"/>
        <v>0.56200000000000006</v>
      </c>
    </row>
    <row r="40" spans="1:13" x14ac:dyDescent="0.25">
      <c r="A40">
        <v>18.5</v>
      </c>
      <c r="B40">
        <f t="shared" si="1"/>
        <v>0.32288591161895097</v>
      </c>
      <c r="C40">
        <v>0.84240000000000004</v>
      </c>
      <c r="D40">
        <v>0.23028999999999999</v>
      </c>
      <c r="E40">
        <v>0.84240000000000004</v>
      </c>
      <c r="F40">
        <v>0.23028999999999999</v>
      </c>
      <c r="G40">
        <f>F40^2/(PI()*'Données géométriques'!$B$6)</f>
        <v>5.2743438062261916E-3</v>
      </c>
      <c r="H40">
        <f t="shared" si="2"/>
        <v>0.23556434380622618</v>
      </c>
      <c r="I40">
        <f t="shared" si="5"/>
        <v>-0.71612159251605345</v>
      </c>
      <c r="J40">
        <f>XCP_3D('Données géométriques'!$B$9,'Données géométriques'!$B$10,'Données géométriques'!$B$12,'Données géométriques'!$B$11,I40)</f>
        <v>0.48390024541990534</v>
      </c>
      <c r="K40">
        <f>'5kts'!K40</f>
        <v>1.1514536950961625</v>
      </c>
      <c r="L40">
        <f t="shared" si="3"/>
        <v>-0.74390024541990529</v>
      </c>
      <c r="M40">
        <f t="shared" si="4"/>
        <v>0.57399999999999995</v>
      </c>
    </row>
    <row r="41" spans="1:13" x14ac:dyDescent="0.25">
      <c r="A41">
        <v>19</v>
      </c>
      <c r="B41">
        <f t="shared" si="1"/>
        <v>0.33161255787892263</v>
      </c>
      <c r="C41">
        <v>0.8569</v>
      </c>
      <c r="D41">
        <v>0.23821999999999999</v>
      </c>
      <c r="E41">
        <v>0.8569</v>
      </c>
      <c r="F41">
        <v>0.23821999999999999</v>
      </c>
      <c r="G41">
        <f>F41^2/(PI()*'Données géométriques'!$B$6)</f>
        <v>5.6438403058173704E-3</v>
      </c>
      <c r="H41">
        <f t="shared" si="2"/>
        <v>0.24386384030581737</v>
      </c>
      <c r="I41">
        <f t="shared" si="5"/>
        <v>-0.71522561743372859</v>
      </c>
      <c r="J41">
        <f>XCP_3D('Données géométriques'!$B$9,'Données géométriques'!$B$10,'Données géométriques'!$B$12,'Données géométriques'!$B$11,I41)</f>
        <v>0.48324053856131743</v>
      </c>
      <c r="K41">
        <f>'5kts'!K41</f>
        <v>1.1514536950961625</v>
      </c>
      <c r="L41">
        <f t="shared" si="3"/>
        <v>-0.74324053856131744</v>
      </c>
      <c r="M41">
        <f t="shared" si="4"/>
        <v>0.58499999999999996</v>
      </c>
    </row>
    <row r="42" spans="1:13" x14ac:dyDescent="0.25">
      <c r="A42">
        <v>19.5</v>
      </c>
      <c r="B42">
        <f t="shared" si="1"/>
        <v>0.34033920413889424</v>
      </c>
      <c r="C42">
        <v>0.87250000000000005</v>
      </c>
      <c r="D42">
        <v>0.24506</v>
      </c>
      <c r="E42">
        <v>0.87250000000000005</v>
      </c>
      <c r="F42">
        <v>0.24506</v>
      </c>
      <c r="G42">
        <f>F42^2/(PI()*'Données géométriques'!$B$6)</f>
        <v>5.9725959370688963E-3</v>
      </c>
      <c r="H42">
        <f t="shared" si="2"/>
        <v>0.25103259593706889</v>
      </c>
      <c r="I42">
        <f t="shared" si="5"/>
        <v>-0.71488012201613704</v>
      </c>
      <c r="J42">
        <f>XCP_3D('Données géométriques'!$B$9,'Données géométriques'!$B$10,'Données géométriques'!$B$12,'Données géométriques'!$B$11,I42)</f>
        <v>0.48298615012899376</v>
      </c>
      <c r="K42">
        <f>'5kts'!K42</f>
        <v>1.1514536950961625</v>
      </c>
      <c r="L42">
        <f t="shared" si="3"/>
        <v>-0.74298615012899383</v>
      </c>
      <c r="M42">
        <f t="shared" si="4"/>
        <v>0.59599999999999997</v>
      </c>
    </row>
    <row r="43" spans="1:13" x14ac:dyDescent="0.25">
      <c r="A43">
        <v>20</v>
      </c>
      <c r="B43">
        <f t="shared" si="1"/>
        <v>0.3490658503988659</v>
      </c>
      <c r="C43">
        <v>0.88880000000000003</v>
      </c>
      <c r="D43">
        <v>0.25103999999999999</v>
      </c>
      <c r="E43">
        <v>0.88880000000000003</v>
      </c>
      <c r="F43">
        <v>0.25103999999999999</v>
      </c>
      <c r="G43">
        <f>F43^2/(PI()*'Données géométriques'!$B$6)</f>
        <v>6.2676412277924498E-3</v>
      </c>
      <c r="H43">
        <f t="shared" ref="H43" si="6">G43+D43</f>
        <v>0.25730764122779243</v>
      </c>
      <c r="I43">
        <f t="shared" ref="I43" si="7">0.25-E43/(C43*COS(B43)+D43*SIN(B43))</f>
        <v>-0.71497562122823022</v>
      </c>
      <c r="J43">
        <f>XCP_3D('Données géométriques'!$B$9,'Données géométriques'!$B$10,'Données géométriques'!$B$12,'Données géométriques'!$B$11,I43)</f>
        <v>0.48305646624207438</v>
      </c>
      <c r="K43">
        <f>'5kts'!K42</f>
        <v>1.1514536950961625</v>
      </c>
      <c r="L43">
        <f t="shared" ref="L43" si="8" xml:space="preserve"> -(J43+0.26)</f>
        <v>-0.74305646624207444</v>
      </c>
      <c r="M43">
        <f t="shared" ref="M43" si="9">ROUND( A43^3 * -0.00006 + 0.0023*A43^2 + 0.0003*A43 + 0.1609,3)</f>
        <v>0.60699999999999998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F36F7-4354-4DC0-88B5-43DABD77F786}">
  <sheetPr codeName="Feuil5"/>
  <dimension ref="A1:M42"/>
  <sheetViews>
    <sheetView workbookViewId="0">
      <selection activeCell="N41" sqref="N41"/>
    </sheetView>
  </sheetViews>
  <sheetFormatPr baseColWidth="10" defaultRowHeight="15" x14ac:dyDescent="0.25"/>
  <sheetData>
    <row r="1" spans="1:13" ht="15.75" x14ac:dyDescent="0.25">
      <c r="A1" s="1">
        <v>25</v>
      </c>
      <c r="B1" s="1"/>
      <c r="C1">
        <f>ROUND(((A1*0.514)/15.6)*1000000,0)</f>
        <v>823718</v>
      </c>
    </row>
    <row r="2" spans="1:13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23</v>
      </c>
      <c r="J2" t="s">
        <v>24</v>
      </c>
      <c r="K2" t="s">
        <v>26</v>
      </c>
      <c r="L2" t="s">
        <v>25</v>
      </c>
      <c r="M2" t="s">
        <v>11</v>
      </c>
    </row>
    <row r="3" spans="1:13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25">
      <c r="A4">
        <v>0</v>
      </c>
      <c r="B4">
        <f>RADIANS(A4)</f>
        <v>0</v>
      </c>
      <c r="C4">
        <v>0</v>
      </c>
      <c r="D4">
        <v>6.1700000000000001E-3</v>
      </c>
      <c r="E4">
        <v>0</v>
      </c>
      <c r="F4">
        <f>C4*'Données géométriques'!$B$6/(2+('Données géométriques'!$B$6^2+4)^0.5)</f>
        <v>0</v>
      </c>
      <c r="G4">
        <f>F4^2/(PI()*'Données géométriques'!$B$6)</f>
        <v>0</v>
      </c>
      <c r="H4">
        <f>G4+D4</f>
        <v>6.1700000000000001E-3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'5kts'!K4</f>
        <v>1.1514536950961625</v>
      </c>
      <c r="L4">
        <f xml:space="preserve"> -(J4+0.26)</f>
        <v>-0.21661959277092063</v>
      </c>
      <c r="M4">
        <f t="shared" ref="M4" si="0">ROUND( A4^3 * - 0.00006 + 0.0023*A4^2 + 0.0003*A4 + 0.1609,3)</f>
        <v>0.161</v>
      </c>
    </row>
    <row r="5" spans="1:13" x14ac:dyDescent="0.25">
      <c r="A5">
        <v>0.5</v>
      </c>
      <c r="B5">
        <f t="shared" ref="B5:B42" si="1">RADIANS(A5)</f>
        <v>8.7266462599716477E-3</v>
      </c>
      <c r="C5">
        <v>5.3600000000000002E-2</v>
      </c>
      <c r="D5">
        <v>6.1999999999999998E-3</v>
      </c>
      <c r="E5">
        <v>5.0000000000000001E-4</v>
      </c>
      <c r="F5">
        <f>C5*'Données géométriques'!$B$6/(2+('Données géométriques'!$B$6^2+4)^0.5)</f>
        <v>2.9710641773079031E-2</v>
      </c>
      <c r="G5">
        <f>F5^2/(PI()*'Données géométriques'!$B$6)</f>
        <v>8.7789452824448331E-5</v>
      </c>
      <c r="H5">
        <f t="shared" ref="H5:H37" si="2">G5+D5</f>
        <v>6.2877894528244483E-3</v>
      </c>
      <c r="I5">
        <f>0.25-E5/(C5*COS(B5)+D5*SIN(B5))</f>
        <v>0.24068069396618313</v>
      </c>
      <c r="J5">
        <f>XCP_3D('Données géométriques'!$B$9,'Données géométriques'!$B$10,'Données géométriques'!$B$12,'Données géométriques'!$B$11,I5)</f>
        <v>-0.22059371111595491</v>
      </c>
      <c r="K5">
        <f>'5kts'!K5</f>
        <v>1.1514536950961625</v>
      </c>
      <c r="L5">
        <f t="shared" ref="L5:L37" si="3" xml:space="preserve"> -(J5+0.26)</f>
        <v>-3.9406288884045099E-2</v>
      </c>
      <c r="M5">
        <f t="shared" ref="M5:M37" si="4">ROUND( A5^3 * -0.00006 + 0.0023*A5^2 + 0.0003*A5 + 0.1609,3)</f>
        <v>0.16200000000000001</v>
      </c>
    </row>
    <row r="6" spans="1:13" x14ac:dyDescent="0.25">
      <c r="A6">
        <v>1</v>
      </c>
      <c r="B6">
        <f t="shared" si="1"/>
        <v>1.7453292519943295E-2</v>
      </c>
      <c r="C6">
        <v>0.1069</v>
      </c>
      <c r="D6">
        <v>6.3E-3</v>
      </c>
      <c r="E6">
        <v>1E-3</v>
      </c>
      <c r="F6">
        <f>C6*'Données géométriques'!$B$6/(2+('Données géométriques'!$B$6^2+4)^0.5)</f>
        <v>5.9254992640711712E-2</v>
      </c>
      <c r="G6">
        <f>F6^2/(PI()*'Données géométriques'!$B$6)</f>
        <v>3.4919512592977058E-4</v>
      </c>
      <c r="H6">
        <f t="shared" si="2"/>
        <v>6.6491951259297702E-3</v>
      </c>
      <c r="I6">
        <f t="shared" ref="I6:I37" si="5">0.25-E6/(C6*COS(B6)+D6*SIN(B6))</f>
        <v>0.24065365258084812</v>
      </c>
      <c r="J6">
        <f>XCP_3D('Données géométriques'!$B$9,'Données géométriques'!$B$10,'Données géométriques'!$B$12,'Données géométriques'!$B$11,I6)</f>
        <v>-0.22057380053169387</v>
      </c>
      <c r="K6">
        <f>'5kts'!K6</f>
        <v>1.1514536950961625</v>
      </c>
      <c r="L6">
        <f t="shared" si="3"/>
        <v>-3.9426199468306139E-2</v>
      </c>
      <c r="M6">
        <f t="shared" si="4"/>
        <v>0.16300000000000001</v>
      </c>
    </row>
    <row r="7" spans="1:13" x14ac:dyDescent="0.25">
      <c r="A7">
        <v>1.5</v>
      </c>
      <c r="B7">
        <f t="shared" si="1"/>
        <v>2.6179938779914945E-2</v>
      </c>
      <c r="C7">
        <v>0.1598</v>
      </c>
      <c r="D7">
        <v>6.4599999999999996E-3</v>
      </c>
      <c r="E7">
        <v>1.6000000000000001E-3</v>
      </c>
      <c r="F7">
        <f>C7*'Données géométriques'!$B$6/(2+('Données géométriques'!$B$6^2+4)^0.5)</f>
        <v>8.8577622301082626E-2</v>
      </c>
      <c r="G7">
        <f>F7^2/(PI()*'Données géométriques'!$B$6)</f>
        <v>7.8030845500919792E-4</v>
      </c>
      <c r="H7">
        <f t="shared" si="2"/>
        <v>7.2403084550091978E-3</v>
      </c>
      <c r="I7">
        <f t="shared" si="5"/>
        <v>0.23999464360851569</v>
      </c>
      <c r="J7">
        <f>XCP_3D('Données géométriques'!$B$9,'Données géométriques'!$B$10,'Données géométriques'!$B$12,'Données géométriques'!$B$11,I7)</f>
        <v>-0.22008857192713102</v>
      </c>
      <c r="K7">
        <f>'5kts'!K7</f>
        <v>1.1514536950961625</v>
      </c>
      <c r="L7">
        <f t="shared" si="3"/>
        <v>-3.9911428072868987E-2</v>
      </c>
      <c r="M7">
        <f t="shared" si="4"/>
        <v>0.16600000000000001</v>
      </c>
    </row>
    <row r="8" spans="1:13" x14ac:dyDescent="0.25">
      <c r="A8">
        <v>2</v>
      </c>
      <c r="B8">
        <f t="shared" si="1"/>
        <v>3.4906585039886591E-2</v>
      </c>
      <c r="C8">
        <v>0.21199999999999999</v>
      </c>
      <c r="D8">
        <v>6.7200000000000003E-3</v>
      </c>
      <c r="E8">
        <v>2.3999999999999998E-3</v>
      </c>
      <c r="F8">
        <f>C8*'Données géométriques'!$B$6/(2+('Données géométriques'!$B$6^2+4)^0.5)</f>
        <v>0.11751223984874541</v>
      </c>
      <c r="G8">
        <f>F8^2/(PI()*'Données géométriques'!$B$6)</f>
        <v>1.3733602861654899E-3</v>
      </c>
      <c r="H8">
        <f t="shared" si="2"/>
        <v>8.0933602861654897E-3</v>
      </c>
      <c r="I8">
        <f t="shared" si="5"/>
        <v>0.23868486975383524</v>
      </c>
      <c r="J8">
        <f>XCP_3D('Données géométriques'!$B$9,'Données géométriques'!$B$10,'Données géométriques'!$B$12,'Données géométriques'!$B$11,I8)</f>
        <v>-0.21912418484519589</v>
      </c>
      <c r="K8">
        <f>'5kts'!K8</f>
        <v>1.1514536950961625</v>
      </c>
      <c r="L8">
        <f t="shared" si="3"/>
        <v>-4.0875815154804124E-2</v>
      </c>
      <c r="M8">
        <f t="shared" si="4"/>
        <v>0.17</v>
      </c>
    </row>
    <row r="9" spans="1:13" x14ac:dyDescent="0.25">
      <c r="A9">
        <v>2.5</v>
      </c>
      <c r="B9">
        <f t="shared" si="1"/>
        <v>4.3633231299858237E-2</v>
      </c>
      <c r="C9">
        <v>0.26369999999999999</v>
      </c>
      <c r="D9">
        <v>7.0699999999999999E-3</v>
      </c>
      <c r="E9">
        <v>3.3999999999999998E-3</v>
      </c>
      <c r="F9">
        <f>C9*'Données géométriques'!$B$6/(2+('Données géométriques'!$B$6^2+4)^0.5)</f>
        <v>0.14616970588733097</v>
      </c>
      <c r="G9">
        <f>F9^2/(PI()*'Données géométriques'!$B$6)</f>
        <v>2.1248732163956729E-3</v>
      </c>
      <c r="H9">
        <f t="shared" si="2"/>
        <v>9.1948732163956732E-3</v>
      </c>
      <c r="I9">
        <f t="shared" si="5"/>
        <v>0.23710936665943691</v>
      </c>
      <c r="J9">
        <f>XCP_3D('Données géométriques'!$B$9,'Données géométriques'!$B$10,'Données géométriques'!$B$12,'Données géométriques'!$B$11,I9)</f>
        <v>-0.21796414120380003</v>
      </c>
      <c r="K9">
        <f>'5kts'!K9</f>
        <v>1.1514536950961625</v>
      </c>
      <c r="L9">
        <f t="shared" si="3"/>
        <v>-4.2035858796199976E-2</v>
      </c>
      <c r="M9">
        <f t="shared" si="4"/>
        <v>0.17499999999999999</v>
      </c>
    </row>
    <row r="10" spans="1:13" x14ac:dyDescent="0.25">
      <c r="A10">
        <v>3</v>
      </c>
      <c r="B10">
        <f t="shared" si="1"/>
        <v>5.235987755982989E-2</v>
      </c>
      <c r="C10">
        <v>0.316</v>
      </c>
      <c r="D10">
        <v>7.5100000000000002E-3</v>
      </c>
      <c r="E10">
        <v>4.1999999999999997E-3</v>
      </c>
      <c r="F10">
        <f>C10*'Données géométriques'!$B$6/(2+('Données géométriques'!$B$6^2+4)^0.5)</f>
        <v>0.1751597537368092</v>
      </c>
      <c r="G10">
        <f>F10^2/(PI()*'Données géométriques'!$B$6)</f>
        <v>3.0513141851045999E-3</v>
      </c>
      <c r="H10">
        <f t="shared" si="2"/>
        <v>1.0561314185104601E-2</v>
      </c>
      <c r="I10">
        <f t="shared" si="5"/>
        <v>0.2367071771146857</v>
      </c>
      <c r="J10">
        <f>XCP_3D('Données géométriques'!$B$9,'Données géométriques'!$B$10,'Données géométriques'!$B$12,'Données géométriques'!$B$11,I10)</f>
        <v>-0.2176680088599893</v>
      </c>
      <c r="K10">
        <f>'5kts'!K10</f>
        <v>1.1514536950961625</v>
      </c>
      <c r="L10">
        <f t="shared" si="3"/>
        <v>-4.2331991140010711E-2</v>
      </c>
      <c r="M10">
        <f t="shared" si="4"/>
        <v>0.18099999999999999</v>
      </c>
    </row>
    <row r="11" spans="1:13" x14ac:dyDescent="0.25">
      <c r="A11">
        <v>3.5</v>
      </c>
      <c r="B11">
        <f t="shared" si="1"/>
        <v>6.1086523819801536E-2</v>
      </c>
      <c r="C11">
        <v>0.37219999999999998</v>
      </c>
      <c r="D11">
        <v>8.0000000000000002E-3</v>
      </c>
      <c r="E11">
        <v>4.1000000000000003E-3</v>
      </c>
      <c r="F11">
        <f>C11*'Données géométriques'!$B$6/(2+('Données géométriques'!$B$6^2+4)^0.5)</f>
        <v>0.20631158335708982</v>
      </c>
      <c r="G11">
        <f>F11^2/(PI()*'Données géométriques'!$B$6)</f>
        <v>4.2331679598103869E-3</v>
      </c>
      <c r="H11">
        <f t="shared" si="2"/>
        <v>1.2233167959810387E-2</v>
      </c>
      <c r="I11">
        <f t="shared" si="5"/>
        <v>0.23897832160371588</v>
      </c>
      <c r="J11">
        <f>XCP_3D('Données géométriques'!$B$9,'Données géométriques'!$B$10,'Données géométriques'!$B$12,'Données géométriques'!$B$11,I11)</f>
        <v>-0.21934025357506412</v>
      </c>
      <c r="K11">
        <f>'5kts'!K11</f>
        <v>1.1514536950961625</v>
      </c>
      <c r="L11">
        <f t="shared" si="3"/>
        <v>-4.0659746424935889E-2</v>
      </c>
      <c r="M11">
        <f t="shared" si="4"/>
        <v>0.188</v>
      </c>
    </row>
    <row r="12" spans="1:13" x14ac:dyDescent="0.25">
      <c r="A12">
        <v>4</v>
      </c>
      <c r="B12">
        <f t="shared" si="1"/>
        <v>6.9813170079773182E-2</v>
      </c>
      <c r="C12">
        <v>0.43359999999999999</v>
      </c>
      <c r="D12">
        <v>8.4899999999999993E-3</v>
      </c>
      <c r="E12">
        <v>2.8E-3</v>
      </c>
      <c r="F12">
        <f>C12*'Données géométriques'!$B$6/(2+('Données géométriques'!$B$6^2+4)^0.5)</f>
        <v>0.24034578867177361</v>
      </c>
      <c r="G12">
        <f>F12^2/(PI()*'Données géométriques'!$B$6)</f>
        <v>5.745016890069332E-3</v>
      </c>
      <c r="H12">
        <f t="shared" si="2"/>
        <v>1.423501689006933E-2</v>
      </c>
      <c r="I12">
        <f t="shared" si="5"/>
        <v>0.24353551778215279</v>
      </c>
      <c r="J12">
        <f>XCP_3D('Données géométriques'!$B$9,'Données géométriques'!$B$10,'Données géométriques'!$B$12,'Données géométriques'!$B$11,I12)</f>
        <v>-0.22269571918359748</v>
      </c>
      <c r="K12">
        <f>'5kts'!K12</f>
        <v>1.1514536950961625</v>
      </c>
      <c r="L12">
        <f t="shared" si="3"/>
        <v>-3.7304280816402524E-2</v>
      </c>
      <c r="M12">
        <f t="shared" si="4"/>
        <v>0.19500000000000001</v>
      </c>
    </row>
    <row r="13" spans="1:13" x14ac:dyDescent="0.25">
      <c r="A13">
        <v>4.5</v>
      </c>
      <c r="B13">
        <f t="shared" si="1"/>
        <v>7.8539816339744828E-2</v>
      </c>
      <c r="C13">
        <v>0.49630000000000002</v>
      </c>
      <c r="D13">
        <v>8.9800000000000001E-3</v>
      </c>
      <c r="E13">
        <v>1.1000000000000001E-3</v>
      </c>
      <c r="F13">
        <f>C13*'Données géométriques'!$B$6/(2+('Données géométriques'!$B$6^2+4)^0.5)</f>
        <v>0.27510058791005826</v>
      </c>
      <c r="G13">
        <f>F13^2/(PI()*'Données géométriques'!$B$6)</f>
        <v>7.5266429286418154E-3</v>
      </c>
      <c r="H13">
        <f t="shared" si="2"/>
        <v>1.6506642928641815E-2</v>
      </c>
      <c r="I13">
        <f t="shared" si="5"/>
        <v>0.24777990653530291</v>
      </c>
      <c r="J13">
        <f>XCP_3D('Données géométriques'!$B$9,'Données géométriques'!$B$10,'Données géométriques'!$B$12,'Données géométriques'!$B$11,I13)</f>
        <v>-0.22582086454332911</v>
      </c>
      <c r="K13">
        <f>'5kts'!K13</f>
        <v>1.1514536950961625</v>
      </c>
      <c r="L13">
        <f t="shared" si="3"/>
        <v>-3.4179135456670895E-2</v>
      </c>
      <c r="M13">
        <f t="shared" si="4"/>
        <v>0.20300000000000001</v>
      </c>
    </row>
    <row r="14" spans="1:13" x14ac:dyDescent="0.25">
      <c r="A14">
        <v>5</v>
      </c>
      <c r="B14">
        <f t="shared" si="1"/>
        <v>8.7266462599716474E-2</v>
      </c>
      <c r="C14">
        <v>0.5595</v>
      </c>
      <c r="D14">
        <v>9.4599999999999997E-3</v>
      </c>
      <c r="E14">
        <v>-6.9999999999999999E-4</v>
      </c>
      <c r="F14">
        <f>C14*'Données géométriques'!$B$6/(2+('Données géométriques'!$B$6^2+4)^0.5)</f>
        <v>0.31013253865742008</v>
      </c>
      <c r="G14">
        <f>F14^2/(PI()*'Données géométriques'!$B$6)</f>
        <v>9.5656160404351282E-3</v>
      </c>
      <c r="H14">
        <f t="shared" si="2"/>
        <v>1.902561604043513E-2</v>
      </c>
      <c r="I14">
        <f t="shared" si="5"/>
        <v>0.25125404108714505</v>
      </c>
      <c r="J14">
        <f>XCP_3D('Données géométriques'!$B$9,'Données géométriques'!$B$10,'Données géométriques'!$B$12,'Données géométriques'!$B$11,I14)</f>
        <v>-0.22837887138606464</v>
      </c>
      <c r="K14">
        <f>'5kts'!K14</f>
        <v>1.1514536950961625</v>
      </c>
      <c r="L14">
        <f t="shared" si="3"/>
        <v>-3.1621128613935373E-2</v>
      </c>
      <c r="M14">
        <f t="shared" si="4"/>
        <v>0.21199999999999999</v>
      </c>
    </row>
    <row r="15" spans="1:13" x14ac:dyDescent="0.25">
      <c r="A15">
        <v>5.5</v>
      </c>
      <c r="B15">
        <f t="shared" si="1"/>
        <v>9.599310885968812E-2</v>
      </c>
      <c r="C15">
        <v>0.62490000000000001</v>
      </c>
      <c r="D15">
        <v>9.9799999999999993E-3</v>
      </c>
      <c r="E15">
        <v>-3.0000000000000001E-3</v>
      </c>
      <c r="F15">
        <f>C15*'Données géométriques'!$B$6/(2+('Données géométriques'!$B$6^2+4)^0.5)</f>
        <v>0.34638395604472172</v>
      </c>
      <c r="G15">
        <f>F15^2/(PI()*'Données géométriques'!$B$6)</f>
        <v>1.1932565091696924E-2</v>
      </c>
      <c r="H15">
        <f t="shared" si="2"/>
        <v>2.1912565091696923E-2</v>
      </c>
      <c r="I15">
        <f t="shared" si="5"/>
        <v>0.2548155668014751</v>
      </c>
      <c r="J15">
        <f>XCP_3D('Données géométriques'!$B$9,'Données géométriques'!$B$10,'Données géométriques'!$B$12,'Données géométriques'!$B$11,I15)</f>
        <v>-0.23100122438128798</v>
      </c>
      <c r="K15">
        <f>'5kts'!K15</f>
        <v>1.1514536950961625</v>
      </c>
      <c r="L15">
        <f t="shared" si="3"/>
        <v>-2.899877561871203E-2</v>
      </c>
      <c r="M15">
        <f t="shared" si="4"/>
        <v>0.222</v>
      </c>
    </row>
    <row r="16" spans="1:13" x14ac:dyDescent="0.25">
      <c r="A16">
        <v>6</v>
      </c>
      <c r="B16">
        <f t="shared" si="1"/>
        <v>0.10471975511965978</v>
      </c>
      <c r="C16">
        <v>0.67630000000000001</v>
      </c>
      <c r="D16">
        <v>1.0489999999999999E-2</v>
      </c>
      <c r="E16">
        <v>-2.3E-3</v>
      </c>
      <c r="F16">
        <f>C16*'Données géométriques'!$B$6/(2+('Données géométriques'!$B$6^2+4)^0.5)</f>
        <v>0.37487513117786098</v>
      </c>
      <c r="G16">
        <f>F16^2/(PI()*'Données géométriques'!$B$6)</f>
        <v>1.397627822768902E-2</v>
      </c>
      <c r="H16">
        <f t="shared" si="2"/>
        <v>2.4466278227689021E-2</v>
      </c>
      <c r="I16">
        <f t="shared" si="5"/>
        <v>0.25341402474117242</v>
      </c>
      <c r="J16">
        <f>XCP_3D('Données géométriques'!$B$9,'Données géométriques'!$B$10,'Données géométriques'!$B$12,'Données géométriques'!$B$11,I16)</f>
        <v>-0.22996926832802267</v>
      </c>
      <c r="K16">
        <f>'5kts'!K16</f>
        <v>1.1514536950961625</v>
      </c>
      <c r="L16">
        <f t="shared" si="3"/>
        <v>-3.003073167197734E-2</v>
      </c>
      <c r="M16">
        <f t="shared" si="4"/>
        <v>0.23300000000000001</v>
      </c>
    </row>
    <row r="17" spans="1:13" x14ac:dyDescent="0.25">
      <c r="A17">
        <v>6.5</v>
      </c>
      <c r="B17">
        <f t="shared" si="1"/>
        <v>0.11344640137963143</v>
      </c>
      <c r="C17">
        <v>0.72489999999999999</v>
      </c>
      <c r="D17">
        <v>1.108E-2</v>
      </c>
      <c r="E17">
        <v>-8.9999999999999998E-4</v>
      </c>
      <c r="F17">
        <f>C17*'Données géométriques'!$B$6/(2+('Données géométriques'!$B$6^2+4)^0.5)</f>
        <v>0.40181425786016767</v>
      </c>
      <c r="G17">
        <f>F17^2/(PI()*'Données géométriques'!$B$6)</f>
        <v>1.6057168407525906E-2</v>
      </c>
      <c r="H17">
        <f t="shared" si="2"/>
        <v>2.7137168407525905E-2</v>
      </c>
      <c r="I17">
        <f t="shared" si="5"/>
        <v>0.25124741070492085</v>
      </c>
      <c r="J17">
        <f>XCP_3D('Données géométriques'!$B$9,'Données géométriques'!$B$10,'Données géométriques'!$B$12,'Données géométriques'!$B$11,I17)</f>
        <v>-0.22837398943263337</v>
      </c>
      <c r="K17">
        <f>'5kts'!K17</f>
        <v>1.1514536950961625</v>
      </c>
      <c r="L17">
        <f t="shared" si="3"/>
        <v>-3.1626010567366636E-2</v>
      </c>
      <c r="M17">
        <f t="shared" si="4"/>
        <v>0.24399999999999999</v>
      </c>
    </row>
    <row r="18" spans="1:13" x14ac:dyDescent="0.25">
      <c r="A18">
        <v>7</v>
      </c>
      <c r="B18">
        <f t="shared" si="1"/>
        <v>0.12217304763960307</v>
      </c>
      <c r="C18">
        <v>0.77410000000000001</v>
      </c>
      <c r="D18">
        <v>1.1650000000000001E-2</v>
      </c>
      <c r="E18">
        <v>2.9999999999999997E-4</v>
      </c>
      <c r="F18">
        <f>C18*'Données géométriques'!$B$6/(2+('Données géométriques'!$B$6^2+4)^0.5)</f>
        <v>0.4290859663533671</v>
      </c>
      <c r="G18">
        <f>F18^2/(PI()*'Données géométriques'!$B$6)</f>
        <v>1.8310782233463382E-2</v>
      </c>
      <c r="H18">
        <f t="shared" si="2"/>
        <v>2.9960782233463382E-2</v>
      </c>
      <c r="I18">
        <f t="shared" si="5"/>
        <v>0.24961026294778935</v>
      </c>
      <c r="J18">
        <f>XCP_3D('Données géométriques'!$B$9,'Données géométriques'!$B$10,'Données géométriques'!$B$12,'Données géométriques'!$B$11,I18)</f>
        <v>-0.22716855679816939</v>
      </c>
      <c r="K18">
        <f>'5kts'!K18</f>
        <v>1.1514536950961625</v>
      </c>
      <c r="L18">
        <f t="shared" si="3"/>
        <v>-3.2831443201830623E-2</v>
      </c>
      <c r="M18">
        <f t="shared" si="4"/>
        <v>0.255</v>
      </c>
    </row>
    <row r="19" spans="1:13" x14ac:dyDescent="0.25">
      <c r="A19">
        <v>7.5</v>
      </c>
      <c r="B19">
        <f t="shared" si="1"/>
        <v>0.1308996938995747</v>
      </c>
      <c r="C19">
        <v>0.82320000000000004</v>
      </c>
      <c r="D19">
        <v>1.2370000000000001E-2</v>
      </c>
      <c r="E19">
        <v>1.4E-3</v>
      </c>
      <c r="F19">
        <f>C19*'Données géométriques'!$B$6/(2+('Données géométriques'!$B$6^2+4)^0.5)</f>
        <v>0.45630224454475105</v>
      </c>
      <c r="G19">
        <f>F19^2/(PI()*'Données géométriques'!$B$6)</f>
        <v>2.070730051639378E-2</v>
      </c>
      <c r="H19">
        <f t="shared" si="2"/>
        <v>3.3077300516393779E-2</v>
      </c>
      <c r="I19">
        <f t="shared" si="5"/>
        <v>0.24828803142235628</v>
      </c>
      <c r="J19">
        <f>XCP_3D('Données géométriques'!$B$9,'Données géométriques'!$B$10,'Données géométriques'!$B$12,'Données géométriques'!$B$11,I19)</f>
        <v>-0.22619499712762006</v>
      </c>
      <c r="K19">
        <f>'5kts'!K19</f>
        <v>1.1514536950961625</v>
      </c>
      <c r="L19">
        <f t="shared" si="3"/>
        <v>-3.3805002872379947E-2</v>
      </c>
      <c r="M19">
        <f t="shared" si="4"/>
        <v>0.26700000000000002</v>
      </c>
    </row>
    <row r="20" spans="1:13" x14ac:dyDescent="0.25">
      <c r="A20">
        <v>8</v>
      </c>
      <c r="B20">
        <f t="shared" si="1"/>
        <v>0.13962634015954636</v>
      </c>
      <c r="C20">
        <v>0.873</v>
      </c>
      <c r="D20">
        <v>1.306E-2</v>
      </c>
      <c r="E20">
        <v>2.3E-3</v>
      </c>
      <c r="F20">
        <f>C20*'Données géométriques'!$B$6/(2+('Données géométriques'!$B$6^2+4)^0.5)</f>
        <v>0.48390653484884316</v>
      </c>
      <c r="G20">
        <f>F20^2/(PI()*'Données géométriques'!$B$6)</f>
        <v>2.3288485705211342E-2</v>
      </c>
      <c r="H20">
        <f t="shared" si="2"/>
        <v>3.6348485705211341E-2</v>
      </c>
      <c r="I20">
        <f t="shared" si="5"/>
        <v>0.24734509686195341</v>
      </c>
      <c r="J20">
        <f>XCP_3D('Données géométriques'!$B$9,'Données géométriques'!$B$10,'Données géométriques'!$B$12,'Données géométriques'!$B$11,I20)</f>
        <v>-0.2255007139840717</v>
      </c>
      <c r="K20">
        <f>'5kts'!K20</f>
        <v>1.1514536950961625</v>
      </c>
      <c r="L20">
        <f t="shared" si="3"/>
        <v>-3.4499286015928304E-2</v>
      </c>
      <c r="M20">
        <f t="shared" si="4"/>
        <v>0.28000000000000003</v>
      </c>
    </row>
    <row r="21" spans="1:13" x14ac:dyDescent="0.25">
      <c r="A21">
        <v>8.5</v>
      </c>
      <c r="B21">
        <f t="shared" si="1"/>
        <v>0.14835298641951802</v>
      </c>
      <c r="C21">
        <v>0.92220000000000002</v>
      </c>
      <c r="D21">
        <v>1.3860000000000001E-2</v>
      </c>
      <c r="E21">
        <v>3.3E-3</v>
      </c>
      <c r="F21">
        <f>C21*'Données géométriques'!$B$6/(2+('Données géométriques'!$B$6^2+4)^0.5)</f>
        <v>0.51117824334204254</v>
      </c>
      <c r="G21">
        <f>F21^2/(PI()*'Données géométriques'!$B$6)</f>
        <v>2.5987410014966478E-2</v>
      </c>
      <c r="H21">
        <f t="shared" si="2"/>
        <v>3.9847410014966479E-2</v>
      </c>
      <c r="I21">
        <f t="shared" si="5"/>
        <v>0.24638996700008287</v>
      </c>
      <c r="J21">
        <f>XCP_3D('Données géométriques'!$B$9,'Données géométriques'!$B$10,'Données géométriques'!$B$12,'Données géométriques'!$B$11,I21)</f>
        <v>-0.22479745143453536</v>
      </c>
      <c r="K21">
        <f>'5kts'!K21</f>
        <v>1.1514536950961625</v>
      </c>
      <c r="L21">
        <f t="shared" si="3"/>
        <v>-3.5202548565464648E-2</v>
      </c>
      <c r="M21">
        <f t="shared" si="4"/>
        <v>0.29299999999999998</v>
      </c>
    </row>
    <row r="22" spans="1:13" x14ac:dyDescent="0.25">
      <c r="A22">
        <v>9</v>
      </c>
      <c r="B22">
        <f t="shared" si="1"/>
        <v>0.15707963267948966</v>
      </c>
      <c r="C22">
        <v>0.97019999999999995</v>
      </c>
      <c r="D22">
        <v>1.487E-2</v>
      </c>
      <c r="E22">
        <v>4.3E-3</v>
      </c>
      <c r="F22">
        <f>C22*'Données géométriques'!$B$6/(2+('Données géométriques'!$B$6^2+4)^0.5)</f>
        <v>0.53778478821345654</v>
      </c>
      <c r="G22">
        <f>F22^2/(PI()*'Données géométriques'!$B$6)</f>
        <v>2.8763074314225541E-2</v>
      </c>
      <c r="H22">
        <f t="shared" si="2"/>
        <v>4.3633074314225542E-2</v>
      </c>
      <c r="I22">
        <f t="shared" si="5"/>
        <v>0.24552354442656438</v>
      </c>
      <c r="J22">
        <f>XCP_3D('Données géométriques'!$B$9,'Données géométriques'!$B$10,'Données géométriques'!$B$12,'Données géométriques'!$B$11,I22)</f>
        <v>-0.22415950410155475</v>
      </c>
      <c r="K22">
        <f>'5kts'!K22</f>
        <v>1.1514536950961625</v>
      </c>
      <c r="L22">
        <f t="shared" si="3"/>
        <v>-3.5840495898445263E-2</v>
      </c>
      <c r="M22">
        <f t="shared" si="4"/>
        <v>0.30599999999999999</v>
      </c>
    </row>
    <row r="23" spans="1:13" x14ac:dyDescent="0.25">
      <c r="A23">
        <v>9.5</v>
      </c>
      <c r="B23">
        <f t="shared" si="1"/>
        <v>0.16580627893946132</v>
      </c>
      <c r="C23">
        <v>1.0183</v>
      </c>
      <c r="D23">
        <v>1.583E-2</v>
      </c>
      <c r="E23">
        <v>5.3E-3</v>
      </c>
      <c r="F23">
        <f>C23*'Données géométriques'!$B$6/(2+('Données géométriques'!$B$6^2+4)^0.5)</f>
        <v>0.56444676338668609</v>
      </c>
      <c r="G23">
        <f>F23^2/(PI()*'Données géométriques'!$B$6)</f>
        <v>3.1685768896079131E-2</v>
      </c>
      <c r="H23">
        <f t="shared" si="2"/>
        <v>4.7515768896079127E-2</v>
      </c>
      <c r="I23">
        <f t="shared" si="5"/>
        <v>0.24473656681592704</v>
      </c>
      <c r="J23">
        <f>XCP_3D('Données géométriques'!$B$9,'Données géométriques'!$B$10,'Données géométriques'!$B$12,'Données géométriques'!$B$11,I23)</f>
        <v>-0.22358005213069762</v>
      </c>
      <c r="K23">
        <f>'5kts'!K23</f>
        <v>1.1514536950961625</v>
      </c>
      <c r="L23">
        <f t="shared" si="3"/>
        <v>-3.6419947869302388E-2</v>
      </c>
      <c r="M23">
        <f t="shared" si="4"/>
        <v>0.32</v>
      </c>
    </row>
    <row r="24" spans="1:13" x14ac:dyDescent="0.25">
      <c r="A24">
        <v>10</v>
      </c>
      <c r="B24">
        <f t="shared" si="1"/>
        <v>0.17453292519943295</v>
      </c>
      <c r="C24">
        <v>1.0657000000000001</v>
      </c>
      <c r="D24">
        <v>1.6840000000000001E-2</v>
      </c>
      <c r="E24">
        <v>6.3E-3</v>
      </c>
      <c r="F24">
        <f>C24*'Données géométriques'!$B$6/(2+('Données géométriques'!$B$6^2+4)^0.5)</f>
        <v>0.59072072644720752</v>
      </c>
      <c r="G24">
        <f>F24^2/(PI()*'Données géométriques'!$B$6)</f>
        <v>3.4704252485521218E-2</v>
      </c>
      <c r="H24">
        <f t="shared" si="2"/>
        <v>5.1544252485521219E-2</v>
      </c>
      <c r="I24">
        <f t="shared" si="5"/>
        <v>0.24401387559519805</v>
      </c>
      <c r="J24">
        <f>XCP_3D('Données géométriques'!$B$9,'Données géométriques'!$B$10,'Données géométriques'!$B$12,'Données géométriques'!$B$11,I24)</f>
        <v>-0.22304793425782279</v>
      </c>
      <c r="K24">
        <f>'5kts'!K24</f>
        <v>1.1514536950961625</v>
      </c>
      <c r="L24">
        <f t="shared" si="3"/>
        <v>-3.6952065742177215E-2</v>
      </c>
      <c r="M24">
        <f t="shared" si="4"/>
        <v>0.33400000000000002</v>
      </c>
    </row>
    <row r="25" spans="1:13" x14ac:dyDescent="0.25">
      <c r="A25">
        <v>10.5</v>
      </c>
      <c r="B25">
        <f t="shared" si="1"/>
        <v>0.18325957145940461</v>
      </c>
      <c r="C25">
        <v>1.1113999999999999</v>
      </c>
      <c r="D25">
        <v>1.8030000000000001E-2</v>
      </c>
      <c r="E25">
        <v>7.4000000000000003E-3</v>
      </c>
      <c r="F25">
        <f>C25*'Données géométriques'!$B$6/(2+('Données géométriques'!$B$6^2+4)^0.5)</f>
        <v>0.61605237437686622</v>
      </c>
      <c r="G25">
        <f>F25^2/(PI()*'Données géométriques'!$B$6)</f>
        <v>3.7744488789161243E-2</v>
      </c>
      <c r="H25">
        <f t="shared" si="2"/>
        <v>5.5774488789161247E-2</v>
      </c>
      <c r="I25">
        <f t="shared" si="5"/>
        <v>0.24324863848105979</v>
      </c>
      <c r="J25">
        <f>XCP_3D('Données géométriques'!$B$9,'Données géométriques'!$B$10,'Données géométriques'!$B$12,'Données géométriques'!$B$11,I25)</f>
        <v>-0.22248448982437458</v>
      </c>
      <c r="K25">
        <f>'5kts'!K25</f>
        <v>1.1514536950961625</v>
      </c>
      <c r="L25">
        <f t="shared" si="3"/>
        <v>-3.7515510175625433E-2</v>
      </c>
      <c r="M25">
        <f t="shared" si="4"/>
        <v>0.34799999999999998</v>
      </c>
    </row>
    <row r="26" spans="1:13" x14ac:dyDescent="0.25">
      <c r="A26">
        <v>11</v>
      </c>
      <c r="B26">
        <f t="shared" si="1"/>
        <v>0.19198621771937624</v>
      </c>
      <c r="C26">
        <v>1.1539999999999999</v>
      </c>
      <c r="D26">
        <v>1.958E-2</v>
      </c>
      <c r="E26">
        <v>8.8999999999999999E-3</v>
      </c>
      <c r="F26">
        <f>C26*'Données géométriques'!$B$6/(2+('Données géométriques'!$B$6^2+4)^0.5)</f>
        <v>0.63966568295024617</v>
      </c>
      <c r="G26">
        <f>F26^2/(PI()*'Données géométriques'!$B$6)</f>
        <v>4.0693437763687272E-2</v>
      </c>
      <c r="H26">
        <f t="shared" si="2"/>
        <v>6.0273437763687272E-2</v>
      </c>
      <c r="I26">
        <f t="shared" si="5"/>
        <v>0.24216917268713167</v>
      </c>
      <c r="J26">
        <f>XCP_3D('Données géométriques'!$B$9,'Données géométriques'!$B$10,'Données géométriques'!$B$12,'Données géométriques'!$B$11,I26)</f>
        <v>-0.22168967867179754</v>
      </c>
      <c r="K26">
        <f>'5kts'!K26</f>
        <v>1.1514536950961625</v>
      </c>
      <c r="L26">
        <f t="shared" si="3"/>
        <v>-3.8310321328202473E-2</v>
      </c>
      <c r="M26">
        <f t="shared" si="4"/>
        <v>0.36299999999999999</v>
      </c>
    </row>
    <row r="27" spans="1:13" x14ac:dyDescent="0.25">
      <c r="A27">
        <v>11.5</v>
      </c>
      <c r="B27">
        <f t="shared" si="1"/>
        <v>0.2007128639793479</v>
      </c>
      <c r="C27">
        <v>1.196</v>
      </c>
      <c r="D27">
        <v>2.1059999999999999E-2</v>
      </c>
      <c r="E27">
        <v>1.03E-2</v>
      </c>
      <c r="F27">
        <f>C27*'Données géométriques'!$B$6/(2+('Données géométriques'!$B$6^2+4)^0.5)</f>
        <v>0.66294640971273344</v>
      </c>
      <c r="G27">
        <f>F27^2/(PI()*'Données géométriques'!$B$6)</f>
        <v>4.3709427890167636E-2</v>
      </c>
      <c r="H27">
        <f t="shared" si="2"/>
        <v>6.4769427890167638E-2</v>
      </c>
      <c r="I27">
        <f t="shared" si="5"/>
        <v>0.24124290127469625</v>
      </c>
      <c r="J27">
        <f>XCP_3D('Données géométriques'!$B$9,'Données géométriques'!$B$10,'Données géométriques'!$B$12,'Données géométriques'!$B$11,I27)</f>
        <v>-0.22100766461163784</v>
      </c>
      <c r="K27">
        <f>'5kts'!K27</f>
        <v>1.1514536950961625</v>
      </c>
      <c r="L27">
        <f t="shared" si="3"/>
        <v>-3.8992335388362165E-2</v>
      </c>
      <c r="M27">
        <f t="shared" si="4"/>
        <v>0.377</v>
      </c>
    </row>
    <row r="28" spans="1:13" x14ac:dyDescent="0.25">
      <c r="A28">
        <v>12</v>
      </c>
      <c r="B28">
        <f t="shared" si="1"/>
        <v>0.20943951023931956</v>
      </c>
      <c r="C28">
        <v>1.2351000000000001</v>
      </c>
      <c r="D28">
        <v>2.2759999999999999E-2</v>
      </c>
      <c r="E28">
        <v>1.2E-2</v>
      </c>
      <c r="F28">
        <f>C28*'Données géométriques'!$B$6/(2+('Données géométriques'!$B$6^2+4)^0.5)</f>
        <v>0.68461965772257294</v>
      </c>
      <c r="G28">
        <f>F28^2/(PI()*'Données géométriques'!$B$6)</f>
        <v>4.6614068088978396E-2</v>
      </c>
      <c r="H28">
        <f t="shared" si="2"/>
        <v>6.9374068088978391E-2</v>
      </c>
      <c r="I28">
        <f t="shared" si="5"/>
        <v>0.24010588493745078</v>
      </c>
      <c r="J28">
        <f>XCP_3D('Données géométriques'!$B$9,'Données géométriques'!$B$10,'Données géométriques'!$B$12,'Données géométriques'!$B$11,I28)</f>
        <v>-0.22017047896797021</v>
      </c>
      <c r="K28">
        <f>'5kts'!K28</f>
        <v>1.1514536950961625</v>
      </c>
      <c r="L28">
        <f t="shared" si="3"/>
        <v>-3.9829521032029802E-2</v>
      </c>
      <c r="M28">
        <f t="shared" si="4"/>
        <v>0.39200000000000002</v>
      </c>
    </row>
    <row r="29" spans="1:13" x14ac:dyDescent="0.25">
      <c r="A29">
        <v>12.5</v>
      </c>
      <c r="B29">
        <f t="shared" si="1"/>
        <v>0.21816615649929119</v>
      </c>
      <c r="C29">
        <v>1.2706999999999999</v>
      </c>
      <c r="D29">
        <v>2.4680000000000001E-2</v>
      </c>
      <c r="E29">
        <v>1.3899999999999999E-2</v>
      </c>
      <c r="F29">
        <f>C29*'Données géométriques'!$B$6/(2+('Données géométriques'!$B$6^2+4)^0.5)</f>
        <v>0.70435284516887164</v>
      </c>
      <c r="G29">
        <f>F29^2/(PI()*'Données géométriques'!$B$6)</f>
        <v>4.933996335643602E-2</v>
      </c>
      <c r="H29">
        <f t="shared" si="2"/>
        <v>7.4019963356436014E-2</v>
      </c>
      <c r="I29">
        <f t="shared" si="5"/>
        <v>0.23884359500756655</v>
      </c>
      <c r="J29">
        <f>XCP_3D('Données géométriques'!$B$9,'Données géométriques'!$B$10,'Données géométriques'!$B$12,'Données géométriques'!$B$11,I29)</f>
        <v>-0.21924105432134935</v>
      </c>
      <c r="K29">
        <f>'5kts'!K29</f>
        <v>1.1514536950961625</v>
      </c>
      <c r="L29">
        <f t="shared" si="3"/>
        <v>-4.0758945678650654E-2</v>
      </c>
      <c r="M29">
        <f t="shared" si="4"/>
        <v>0.40699999999999997</v>
      </c>
    </row>
    <row r="30" spans="1:13" x14ac:dyDescent="0.25">
      <c r="A30">
        <v>13</v>
      </c>
      <c r="B30">
        <f t="shared" si="1"/>
        <v>0.22689280275926285</v>
      </c>
      <c r="C30">
        <v>1.3018000000000001</v>
      </c>
      <c r="D30">
        <v>2.6800000000000001E-2</v>
      </c>
      <c r="E30">
        <v>1.61E-2</v>
      </c>
      <c r="F30">
        <f>C30*'Données géométriques'!$B$6/(2+('Données géométriques'!$B$6^2+4)^0.5)</f>
        <v>0.72159166903347527</v>
      </c>
      <c r="G30">
        <f>F30^2/(PI()*'Données géométriques'!$B$6)</f>
        <v>5.178468003395912E-2</v>
      </c>
      <c r="H30">
        <f t="shared" si="2"/>
        <v>7.8584680033959117E-2</v>
      </c>
      <c r="I30">
        <f t="shared" si="5"/>
        <v>0.23736723472333526</v>
      </c>
      <c r="J30">
        <f>XCP_3D('Données géométriques'!$B$9,'Données géométriques'!$B$10,'Données géométriques'!$B$12,'Données géométriques'!$B$11,I30)</f>
        <v>-0.21815400957594588</v>
      </c>
      <c r="K30">
        <f>'5kts'!K30</f>
        <v>1.1514536950961625</v>
      </c>
      <c r="L30">
        <f t="shared" si="3"/>
        <v>-4.1845990424054125E-2</v>
      </c>
      <c r="M30">
        <f t="shared" si="4"/>
        <v>0.42199999999999999</v>
      </c>
    </row>
    <row r="31" spans="1:13" x14ac:dyDescent="0.25">
      <c r="A31">
        <v>13.5</v>
      </c>
      <c r="B31">
        <f t="shared" si="1"/>
        <v>0.23561944901923448</v>
      </c>
      <c r="C31">
        <v>1.3263</v>
      </c>
      <c r="D31">
        <v>2.9229999999999999E-2</v>
      </c>
      <c r="E31">
        <v>1.8800000000000001E-2</v>
      </c>
      <c r="F31">
        <f>C31*'Données géométriques'!$B$6/(2+('Données géométriques'!$B$6^2+4)^0.5)</f>
        <v>0.73517209297825958</v>
      </c>
      <c r="G31">
        <f>F31^2/(PI()*'Données géométriques'!$B$6)</f>
        <v>5.3752207181470529E-2</v>
      </c>
      <c r="H31">
        <f t="shared" si="2"/>
        <v>8.2982207181470535E-2</v>
      </c>
      <c r="I31">
        <f t="shared" si="5"/>
        <v>0.23549917359514935</v>
      </c>
      <c r="J31">
        <f>XCP_3D('Données géométriques'!$B$9,'Données géométriques'!$B$10,'Données géométriques'!$B$12,'Données géométriques'!$B$11,I31)</f>
        <v>-0.21677855532187543</v>
      </c>
      <c r="K31">
        <f>'5kts'!K31</f>
        <v>1.1514536950961625</v>
      </c>
      <c r="L31">
        <f t="shared" si="3"/>
        <v>-4.3221444678124582E-2</v>
      </c>
      <c r="M31">
        <f t="shared" si="4"/>
        <v>0.437</v>
      </c>
    </row>
    <row r="32" spans="1:13" x14ac:dyDescent="0.25">
      <c r="A32">
        <v>14</v>
      </c>
      <c r="B32">
        <f t="shared" si="1"/>
        <v>0.24434609527920614</v>
      </c>
      <c r="C32">
        <v>1.3358000000000001</v>
      </c>
      <c r="D32">
        <v>3.211E-2</v>
      </c>
      <c r="E32">
        <v>2.2800000000000001E-2</v>
      </c>
      <c r="F32">
        <f>C32*'Données géométriques'!$B$6/(2+('Données géométriques'!$B$6^2+4)^0.5)</f>
        <v>0.740437971650727</v>
      </c>
      <c r="G32">
        <f>F32^2/(PI()*'Données géométriques'!$B$6)</f>
        <v>5.452499582887866E-2</v>
      </c>
      <c r="H32">
        <f t="shared" si="2"/>
        <v>8.6634995828878653E-2</v>
      </c>
      <c r="I32">
        <f t="shared" si="5"/>
        <v>0.23251385087572013</v>
      </c>
      <c r="J32">
        <f>XCP_3D('Données géométriques'!$B$9,'Données géométriques'!$B$10,'Données géométriques'!$B$12,'Données géométriques'!$B$11,I32)</f>
        <v>-0.21458046085255589</v>
      </c>
      <c r="K32">
        <f>'5kts'!K32</f>
        <v>1.1514536950961625</v>
      </c>
      <c r="L32">
        <f t="shared" si="3"/>
        <v>-4.5419539147444121E-2</v>
      </c>
      <c r="M32">
        <f t="shared" si="4"/>
        <v>0.45100000000000001</v>
      </c>
    </row>
    <row r="33" spans="1:13" x14ac:dyDescent="0.25">
      <c r="A33">
        <v>14.5</v>
      </c>
      <c r="B33">
        <f t="shared" si="1"/>
        <v>0.2530727415391778</v>
      </c>
      <c r="C33">
        <v>1.3348</v>
      </c>
      <c r="D33">
        <v>3.6339999999999997E-2</v>
      </c>
      <c r="E33">
        <v>2.5100000000000001E-2</v>
      </c>
      <c r="F33">
        <f>C33*'Données géométriques'!$B$6/(2+('Données géométriques'!$B$6^2+4)^0.5)</f>
        <v>0.73988366863257249</v>
      </c>
      <c r="G33">
        <f>F33^2/(PI()*'Données géométriques'!$B$6)</f>
        <v>5.4443389919742097E-2</v>
      </c>
      <c r="H33">
        <f t="shared" si="2"/>
        <v>9.0783389919742094E-2</v>
      </c>
      <c r="I33">
        <f t="shared" si="5"/>
        <v>0.23071281560301976</v>
      </c>
      <c r="J33">
        <f>XCP_3D('Données géométriques'!$B$9,'Données géométriques'!$B$10,'Données géométriques'!$B$12,'Données géométriques'!$B$11,I33)</f>
        <v>-0.21325435776621396</v>
      </c>
      <c r="K33">
        <f>'5kts'!K33</f>
        <v>1.1514536950961625</v>
      </c>
      <c r="L33">
        <f t="shared" si="3"/>
        <v>-4.674564223378605E-2</v>
      </c>
      <c r="M33">
        <f t="shared" si="4"/>
        <v>0.46600000000000003</v>
      </c>
    </row>
    <row r="34" spans="1:13" x14ac:dyDescent="0.25">
      <c r="A34">
        <v>15</v>
      </c>
      <c r="B34">
        <f t="shared" si="1"/>
        <v>0.26179938779914941</v>
      </c>
      <c r="C34">
        <v>1.3213999999999999</v>
      </c>
      <c r="D34">
        <v>4.3479999999999998E-2</v>
      </c>
      <c r="E34">
        <v>2.3199999999999998E-2</v>
      </c>
      <c r="F34">
        <f>C34*'Données géométriques'!$B$6/(2+('Données géométriques'!$B$6^2+4)^0.5)</f>
        <v>0.73245600818930268</v>
      </c>
      <c r="G34">
        <f>F34^2/(PI()*'Données géométriques'!$B$6)</f>
        <v>5.3355767043845169E-2</v>
      </c>
      <c r="H34">
        <f t="shared" si="2"/>
        <v>9.6835767043845167E-2</v>
      </c>
      <c r="I34">
        <f t="shared" si="5"/>
        <v>0.23198237153748641</v>
      </c>
      <c r="J34">
        <f>XCP_3D('Données géométriques'!$B$9,'Données géométriques'!$B$10,'Données géométriques'!$B$12,'Données géométriques'!$B$11,I34)</f>
        <v>-0.21418913237529735</v>
      </c>
      <c r="K34">
        <f>'5kts'!K34</f>
        <v>1.1514536950961625</v>
      </c>
      <c r="L34">
        <f t="shared" si="3"/>
        <v>-4.5810867624702656E-2</v>
      </c>
      <c r="M34">
        <f t="shared" si="4"/>
        <v>0.48</v>
      </c>
    </row>
    <row r="35" spans="1:13" x14ac:dyDescent="0.25">
      <c r="A35">
        <v>15.5</v>
      </c>
      <c r="B35">
        <f t="shared" si="1"/>
        <v>0.27052603405912107</v>
      </c>
      <c r="C35">
        <v>1.2888999999999999</v>
      </c>
      <c r="D35">
        <v>5.6660000000000002E-2</v>
      </c>
      <c r="E35">
        <v>1.4E-2</v>
      </c>
      <c r="F35">
        <f>C35*'Données géométriques'!$B$6/(2+('Données géométriques'!$B$6^2+4)^0.5)</f>
        <v>0.71444116009928282</v>
      </c>
      <c r="G35">
        <f>F35^2/(PI()*'Données géométriques'!$B$6)</f>
        <v>5.0763459360132601E-2</v>
      </c>
      <c r="H35">
        <f t="shared" si="2"/>
        <v>0.1074234593601326</v>
      </c>
      <c r="I35">
        <f t="shared" si="5"/>
        <v>0.23886383266731731</v>
      </c>
      <c r="J35">
        <f>XCP_3D('Données géométriques'!$B$9,'Données géométriques'!$B$10,'Données géométriques'!$B$12,'Données géométriques'!$B$11,I35)</f>
        <v>-0.2192559553193833</v>
      </c>
      <c r="K35">
        <f>'5kts'!K35</f>
        <v>1.1514536950961625</v>
      </c>
      <c r="L35">
        <f t="shared" si="3"/>
        <v>-4.0744044680616709E-2</v>
      </c>
      <c r="M35">
        <f t="shared" si="4"/>
        <v>0.495</v>
      </c>
    </row>
    <row r="36" spans="1:13" x14ac:dyDescent="0.25">
      <c r="A36">
        <v>16</v>
      </c>
      <c r="B36">
        <f t="shared" si="1"/>
        <v>0.27925268031909273</v>
      </c>
      <c r="C36">
        <v>1.2114</v>
      </c>
      <c r="D36">
        <v>8.0920000000000006E-2</v>
      </c>
      <c r="E36">
        <v>-2.2000000000000001E-3</v>
      </c>
      <c r="F36">
        <f>C36*'Données géométriques'!$B$6/(2+('Données géométriques'!$B$6^2+4)^0.5)</f>
        <v>0.67148267619231217</v>
      </c>
      <c r="G36">
        <f>F36^2/(PI()*'Données géométriques'!$B$6)</f>
        <v>4.4842302229676542E-2</v>
      </c>
      <c r="H36">
        <f t="shared" si="2"/>
        <v>0.12576230222967655</v>
      </c>
      <c r="I36">
        <f t="shared" si="5"/>
        <v>0.25185376023670353</v>
      </c>
      <c r="J36">
        <f>XCP_3D('Données géométriques'!$B$9,'Données géométriques'!$B$10,'Données géométriques'!$B$12,'Données géométriques'!$B$11,I36)</f>
        <v>-0.22882044486728806</v>
      </c>
      <c r="K36">
        <f>'5kts'!K36</f>
        <v>1.1514536950961625</v>
      </c>
      <c r="L36">
        <f t="shared" si="3"/>
        <v>-3.117955513271195E-2</v>
      </c>
      <c r="M36">
        <f t="shared" si="4"/>
        <v>0.50900000000000001</v>
      </c>
    </row>
    <row r="37" spans="1:13" x14ac:dyDescent="0.25">
      <c r="A37">
        <v>16.5</v>
      </c>
      <c r="B37">
        <f t="shared" si="1"/>
        <v>0.28797932657906439</v>
      </c>
      <c r="C37">
        <v>1.0421</v>
      </c>
      <c r="D37">
        <v>0.12329</v>
      </c>
      <c r="E37">
        <v>-2.4799999999999999E-2</v>
      </c>
      <c r="F37">
        <f>C37*'Données géométriques'!$B$6/(2+('Données géométriques'!$B$6^2+4)^0.5)</f>
        <v>0.57763917521876218</v>
      </c>
      <c r="G37">
        <f>F37^2/(PI()*'Données géométriques'!$B$6)</f>
        <v>3.318421546291888E-2</v>
      </c>
      <c r="H37">
        <f t="shared" si="2"/>
        <v>0.15647421546291887</v>
      </c>
      <c r="I37">
        <f t="shared" si="5"/>
        <v>0.27397983456296521</v>
      </c>
      <c r="J37">
        <f>XCP_3D('Données géométriques'!$B$9,'Données géométriques'!$B$10,'Données géométriques'!$B$12,'Données géométriques'!$B$11,I37)</f>
        <v>-0.24511188340682463</v>
      </c>
      <c r="K37">
        <f>'5kts'!K37</f>
        <v>1.1514536950961625</v>
      </c>
      <c r="L37">
        <f t="shared" si="3"/>
        <v>-1.4888116593175377E-2</v>
      </c>
      <c r="M37">
        <f t="shared" si="4"/>
        <v>0.52200000000000002</v>
      </c>
    </row>
    <row r="38" spans="1:13" x14ac:dyDescent="0.25">
      <c r="A38">
        <v>18</v>
      </c>
      <c r="B38">
        <f t="shared" si="1"/>
        <v>0.31415926535897931</v>
      </c>
      <c r="C38">
        <v>0.83260000000000001</v>
      </c>
      <c r="D38">
        <v>0.21997</v>
      </c>
      <c r="E38">
        <v>-7.0800000000000002E-2</v>
      </c>
      <c r="F38">
        <f>C38*'Données géométriques'!$B$6/(2+('Données géométriques'!$B$6^2+4)^0.5)</f>
        <v>0.46151269291540298</v>
      </c>
      <c r="G38">
        <f>F38^2/(PI()*'Données géométriques'!$B$6)</f>
        <v>2.1182907797481991E-2</v>
      </c>
      <c r="H38">
        <f t="shared" ref="H38:H42" si="6">G38+D38</f>
        <v>0.241152907797482</v>
      </c>
      <c r="I38">
        <f t="shared" ref="I38:I42" si="7">0.25-E38/(C38*COS(B38)+D38*SIN(B38))</f>
        <v>0.33234242102173878</v>
      </c>
      <c r="J38">
        <f>XCP_3D('Données géométriques'!$B$9,'Données géométriques'!$B$10,'Données géométriques'!$B$12,'Données géométriques'!$B$11,I38)</f>
        <v>-0.28808428222829269</v>
      </c>
      <c r="K38">
        <f>'5kts'!K38</f>
        <v>1.1514536950961625</v>
      </c>
      <c r="L38">
        <f t="shared" ref="L38:L42" si="8" xml:space="preserve"> -(J38+0.26)</f>
        <v>2.8084282228292679E-2</v>
      </c>
      <c r="M38">
        <f t="shared" ref="M38:M42" si="9">ROUND( A38^3 * -0.00006 + 0.0023*A38^2 + 0.0003*A38 + 0.1609,3)</f>
        <v>0.56200000000000006</v>
      </c>
    </row>
    <row r="39" spans="1:13" x14ac:dyDescent="0.25">
      <c r="A39">
        <v>18.5</v>
      </c>
      <c r="B39">
        <f t="shared" si="1"/>
        <v>0.32288591161895097</v>
      </c>
      <c r="C39">
        <v>0.84699999999999998</v>
      </c>
      <c r="D39">
        <v>0.22717999999999999</v>
      </c>
      <c r="E39">
        <v>-7.4999999999999997E-2</v>
      </c>
      <c r="F39">
        <f>C39*'Données géométriques'!$B$6/(2+('Données géométriques'!$B$6^2+4)^0.5)</f>
        <v>0.46949465637682714</v>
      </c>
      <c r="G39">
        <f>F39^2/(PI()*'Données géométriques'!$B$6)</f>
        <v>2.1921970219332895E-2</v>
      </c>
      <c r="H39">
        <f t="shared" si="6"/>
        <v>0.24910197021933289</v>
      </c>
      <c r="I39">
        <f t="shared" si="7"/>
        <v>0.33568339975684047</v>
      </c>
      <c r="J39">
        <f>XCP_3D('Données géométriques'!$B$9,'Données géométriques'!$B$10,'Données géométriques'!$B$12,'Données géométriques'!$B$11,I39)</f>
        <v>-0.29054424638290227</v>
      </c>
      <c r="K39">
        <f>'5kts'!K39</f>
        <v>1.1514536950961625</v>
      </c>
      <c r="L39">
        <f t="shared" si="8"/>
        <v>3.0544246382902263E-2</v>
      </c>
      <c r="M39">
        <f t="shared" si="9"/>
        <v>0.57399999999999995</v>
      </c>
    </row>
    <row r="40" spans="1:13" x14ac:dyDescent="0.25">
      <c r="A40">
        <v>19</v>
      </c>
      <c r="B40">
        <f t="shared" si="1"/>
        <v>0.33161255787892263</v>
      </c>
      <c r="C40">
        <v>0.86180000000000001</v>
      </c>
      <c r="D40">
        <v>0.23415</v>
      </c>
      <c r="E40">
        <v>-7.9299999999999995E-2</v>
      </c>
      <c r="F40">
        <f>C40*'Données géométriques'!$B$6/(2+('Données géométriques'!$B$6^2+4)^0.5)</f>
        <v>0.47769834104551318</v>
      </c>
      <c r="G40">
        <f>F40^2/(PI()*'Données géométriques'!$B$6)</f>
        <v>2.2694767728312828E-2</v>
      </c>
      <c r="H40">
        <f t="shared" si="6"/>
        <v>0.25684476772831283</v>
      </c>
      <c r="I40">
        <f t="shared" si="7"/>
        <v>0.33899316270831281</v>
      </c>
      <c r="J40">
        <f>XCP_3D('Données géométriques'!$B$9,'Données géométriques'!$B$10,'Données géométriques'!$B$12,'Données géométriques'!$B$11,I40)</f>
        <v>-0.29298122634189705</v>
      </c>
      <c r="K40">
        <f>'5kts'!K40</f>
        <v>1.1514536950961625</v>
      </c>
      <c r="L40">
        <f t="shared" si="8"/>
        <v>3.2981226341897041E-2</v>
      </c>
      <c r="M40">
        <f t="shared" si="9"/>
        <v>0.58499999999999996</v>
      </c>
    </row>
    <row r="41" spans="1:13" x14ac:dyDescent="0.25">
      <c r="A41">
        <v>19.5</v>
      </c>
      <c r="B41">
        <f t="shared" si="1"/>
        <v>0.34033920413889424</v>
      </c>
      <c r="C41">
        <v>0.87639999999999996</v>
      </c>
      <c r="D41">
        <v>0.24127999999999999</v>
      </c>
      <c r="E41">
        <v>-8.3699999999999997E-2</v>
      </c>
      <c r="F41">
        <f>C41*'Données géométriques'!$B$6/(2+('Données géométriques'!$B$6^2+4)^0.5)</f>
        <v>0.4857911651105683</v>
      </c>
      <c r="G41">
        <f>F41^2/(PI()*'Données géométriques'!$B$6)</f>
        <v>2.3470238376262002E-2</v>
      </c>
      <c r="H41">
        <f t="shared" si="6"/>
        <v>0.26475023837626199</v>
      </c>
      <c r="I41">
        <f t="shared" si="7"/>
        <v>0.34231564140073645</v>
      </c>
      <c r="J41">
        <f>XCP_3D('Données géométriques'!$B$9,'Données géométriques'!$B$10,'Données géométriques'!$B$12,'Données géométriques'!$B$11,I41)</f>
        <v>-0.29542756890671057</v>
      </c>
      <c r="K41">
        <f>'5kts'!K41</f>
        <v>1.1514536950961625</v>
      </c>
      <c r="L41">
        <f t="shared" si="8"/>
        <v>3.542756890671056E-2</v>
      </c>
      <c r="M41">
        <f t="shared" si="9"/>
        <v>0.59599999999999997</v>
      </c>
    </row>
    <row r="42" spans="1:13" x14ac:dyDescent="0.25">
      <c r="A42">
        <v>20</v>
      </c>
      <c r="B42">
        <f t="shared" si="1"/>
        <v>0.3490658503988659</v>
      </c>
      <c r="C42">
        <v>0.88919999999999999</v>
      </c>
      <c r="D42">
        <v>0.25174999999999997</v>
      </c>
      <c r="E42">
        <v>-8.8900000000000007E-2</v>
      </c>
      <c r="F42">
        <f>C42*'Données géométriques'!$B$6/(2+('Données géométriques'!$B$6^2+4)^0.5)</f>
        <v>0.49288624374294532</v>
      </c>
      <c r="G42">
        <f>F42^2/(PI()*'Données géométriques'!$B$6)</f>
        <v>2.4160820055508358E-2</v>
      </c>
      <c r="H42">
        <f t="shared" si="6"/>
        <v>0.27591082005550832</v>
      </c>
      <c r="I42">
        <f t="shared" si="7"/>
        <v>0.34645448403460494</v>
      </c>
      <c r="J42">
        <f>XCP_3D('Données géométriques'!$B$9,'Données géométriques'!$B$10,'Données géométriques'!$B$12,'Données géométriques'!$B$11,I42)</f>
        <v>-0.29847500061105409</v>
      </c>
      <c r="K42">
        <f>'5kts'!K42</f>
        <v>1.1514536950961625</v>
      </c>
      <c r="L42">
        <f t="shared" si="8"/>
        <v>3.8475000611054078E-2</v>
      </c>
      <c r="M42">
        <f t="shared" si="9"/>
        <v>0.60699999999999998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A475C-40A0-4CDE-874E-055F6BD18ABF}">
  <sheetPr codeName="Feuil6"/>
  <dimension ref="A1:M44"/>
  <sheetViews>
    <sheetView workbookViewId="0">
      <selection activeCell="K45" sqref="K45"/>
    </sheetView>
  </sheetViews>
  <sheetFormatPr baseColWidth="10" defaultRowHeight="15" x14ac:dyDescent="0.25"/>
  <sheetData>
    <row r="1" spans="1:13" x14ac:dyDescent="0.25">
      <c r="A1">
        <v>30</v>
      </c>
      <c r="C1">
        <f>ROUND(((A1*0.514)/15.6)*1000000,0)</f>
        <v>988462</v>
      </c>
    </row>
    <row r="2" spans="1:13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23</v>
      </c>
      <c r="J2" t="s">
        <v>24</v>
      </c>
      <c r="K2" t="s">
        <v>26</v>
      </c>
      <c r="L2" t="s">
        <v>25</v>
      </c>
      <c r="M2" t="s">
        <v>11</v>
      </c>
    </row>
    <row r="3" spans="1:13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25">
      <c r="A4">
        <v>0</v>
      </c>
      <c r="B4">
        <f>RADIANS(A4)</f>
        <v>0</v>
      </c>
      <c r="C4">
        <v>0</v>
      </c>
      <c r="D4">
        <v>6.1399999999999996E-3</v>
      </c>
      <c r="E4">
        <v>0</v>
      </c>
      <c r="F4">
        <f>C4*'Données géométriques'!$B$6/(2+('Données géométriques'!$B$6^2+4)^0.5)</f>
        <v>0</v>
      </c>
      <c r="G4">
        <f>F4^2/(PI()*'Données géométriques'!$B$6)</f>
        <v>0</v>
      </c>
      <c r="H4">
        <f>G4+D4</f>
        <v>6.1399999999999996E-3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'5kts'!K4</f>
        <v>1.1514536950961625</v>
      </c>
      <c r="L4">
        <f xml:space="preserve"> -(J4+0.26)</f>
        <v>-0.21661959277092063</v>
      </c>
      <c r="M4">
        <f t="shared" ref="M4" si="0">ROUND( A4^3 * - 0.00006 + 0.0023*A4^2 + 0.0003*A4 + 0.1609,3)</f>
        <v>0.161</v>
      </c>
    </row>
    <row r="5" spans="1:13" x14ac:dyDescent="0.25">
      <c r="A5">
        <v>0.5</v>
      </c>
      <c r="B5">
        <f t="shared" ref="B5:B44" si="1">RADIANS(A5)</f>
        <v>8.7266462599716477E-3</v>
      </c>
      <c r="C5">
        <v>5.4100000000000002E-2</v>
      </c>
      <c r="D5">
        <v>6.1700000000000001E-3</v>
      </c>
      <c r="E5">
        <v>2.9999999999999997E-4</v>
      </c>
      <c r="F5">
        <f>C5*'Données géométriques'!$B$6/(2+('Données géométriques'!$B$6^2+4)^0.5)</f>
        <v>2.9987793282156259E-2</v>
      </c>
      <c r="G5">
        <f>F5^2/(PI()*'Données géométriques'!$B$6)</f>
        <v>8.9434955036312238E-5</v>
      </c>
      <c r="H5">
        <f t="shared" ref="H5:H41" si="2">G5+D5</f>
        <v>6.2594349550363125E-3</v>
      </c>
      <c r="I5">
        <f>0.25-E5/(C5*COS(B5)+D5*SIN(B5))</f>
        <v>0.24446001618599256</v>
      </c>
      <c r="J5">
        <f>XCP_3D('Données géométriques'!$B$9,'Données géométriques'!$B$10,'Données géométriques'!$B$12,'Données géométriques'!$B$11,I5)</f>
        <v>-0.22337642777672428</v>
      </c>
      <c r="K5">
        <f>'5kts'!K5</f>
        <v>1.1514536950961625</v>
      </c>
      <c r="L5">
        <f t="shared" ref="L5:L41" si="3" xml:space="preserve"> -(J5+0.26)</f>
        <v>-3.6623572223275724E-2</v>
      </c>
      <c r="M5">
        <f>ROUND( A5^3 * -0.00006 + 0.0023*A5^2 + 0.0003*A5 + 0.1609,3)</f>
        <v>0.16200000000000001</v>
      </c>
    </row>
    <row r="6" spans="1:13" x14ac:dyDescent="0.25">
      <c r="A6">
        <v>1</v>
      </c>
      <c r="B6">
        <f t="shared" si="1"/>
        <v>1.7453292519943295E-2</v>
      </c>
      <c r="C6">
        <v>0.108</v>
      </c>
      <c r="D6">
        <v>6.2700000000000004E-3</v>
      </c>
      <c r="E6">
        <v>5.9999999999999995E-4</v>
      </c>
      <c r="F6">
        <f>C6*'Données géométriques'!$B$6/(2+('Données géométriques'!$B$6^2+4)^0.5)</f>
        <v>5.9864725960681618E-2</v>
      </c>
      <c r="G6">
        <f>F6^2/(PI()*'Données géométriques'!$B$6)</f>
        <v>3.5641852923269554E-4</v>
      </c>
      <c r="H6">
        <f t="shared" si="2"/>
        <v>6.6264185292326961E-3</v>
      </c>
      <c r="I6">
        <f t="shared" ref="I6:I41" si="4">0.25-E6/(C6*COS(B6)+D6*SIN(B6))</f>
        <v>0.24444922313216211</v>
      </c>
      <c r="J6">
        <f>XCP_3D('Données géométriques'!$B$9,'Données géométriques'!$B$10,'Données géométriques'!$B$12,'Données géométriques'!$B$11,I6)</f>
        <v>-0.22336848084630423</v>
      </c>
      <c r="K6">
        <f>'5kts'!K6</f>
        <v>1.1514536950961625</v>
      </c>
      <c r="L6">
        <f t="shared" si="3"/>
        <v>-3.663151915369578E-2</v>
      </c>
      <c r="M6">
        <f t="shared" ref="M6:M41" si="5">ROUND( A6^3 * -0.00006 + 0.0023*A6^2 + 0.0003*A6 + 0.1609,3)</f>
        <v>0.16300000000000001</v>
      </c>
    </row>
    <row r="7" spans="1:13" x14ac:dyDescent="0.25">
      <c r="A7">
        <v>1.5</v>
      </c>
      <c r="B7">
        <f t="shared" si="1"/>
        <v>2.6179938779914945E-2</v>
      </c>
      <c r="C7">
        <v>0.16139999999999999</v>
      </c>
      <c r="D7">
        <v>6.43E-3</v>
      </c>
      <c r="E7">
        <v>1.1000000000000001E-3</v>
      </c>
      <c r="F7">
        <f>C7*'Données géométriques'!$B$6/(2+('Données géométriques'!$B$6^2+4)^0.5)</f>
        <v>8.9464507130129753E-2</v>
      </c>
      <c r="G7">
        <f>F7^2/(PI()*'Données géométriques'!$B$6)</f>
        <v>7.9601238252490988E-4</v>
      </c>
      <c r="H7">
        <f t="shared" si="2"/>
        <v>7.2260123825249097E-3</v>
      </c>
      <c r="I7">
        <f t="shared" si="4"/>
        <v>0.24318940313350171</v>
      </c>
      <c r="J7">
        <f>XCP_3D('Données géométriques'!$B$9,'Données géométriques'!$B$10,'Données géométriques'!$B$12,'Données géométriques'!$B$11,I7)</f>
        <v>-0.22244087481116262</v>
      </c>
      <c r="K7">
        <f>'5kts'!K7</f>
        <v>1.1514536950961625</v>
      </c>
      <c r="L7">
        <f t="shared" si="3"/>
        <v>-3.7559125188837389E-2</v>
      </c>
      <c r="M7">
        <f t="shared" si="5"/>
        <v>0.16600000000000001</v>
      </c>
    </row>
    <row r="8" spans="1:13" x14ac:dyDescent="0.25">
      <c r="A8">
        <v>2</v>
      </c>
      <c r="B8">
        <f t="shared" si="1"/>
        <v>3.4906585039886591E-2</v>
      </c>
      <c r="C8">
        <v>0.21429999999999999</v>
      </c>
      <c r="D8">
        <v>6.6600000000000001E-3</v>
      </c>
      <c r="E8">
        <v>1.6999999999999999E-3</v>
      </c>
      <c r="F8">
        <f>C8*'Données géométriques'!$B$6/(2+('Données géométriques'!$B$6^2+4)^0.5)</f>
        <v>0.11878713679050065</v>
      </c>
      <c r="G8">
        <f>F8^2/(PI()*'Données géométriques'!$B$6)</f>
        <v>1.4033212604219506E-3</v>
      </c>
      <c r="H8">
        <f t="shared" si="2"/>
        <v>8.0633212604219514E-3</v>
      </c>
      <c r="I8">
        <f t="shared" si="4"/>
        <v>0.24207096522978092</v>
      </c>
      <c r="J8">
        <f>XCP_3D('Données géométriques'!$B$9,'Données géométriques'!$B$10,'Données géométriques'!$B$12,'Données géométriques'!$B$11,I8)</f>
        <v>-0.22161736847650498</v>
      </c>
      <c r="K8">
        <f>'5kts'!K8</f>
        <v>1.1514536950961625</v>
      </c>
      <c r="L8">
        <f t="shared" si="3"/>
        <v>-3.8382631523495025E-2</v>
      </c>
      <c r="M8">
        <f t="shared" si="5"/>
        <v>0.17</v>
      </c>
    </row>
    <row r="9" spans="1:13" x14ac:dyDescent="0.25">
      <c r="A9">
        <v>2.5</v>
      </c>
      <c r="B9">
        <f t="shared" si="1"/>
        <v>4.3633231299858237E-2</v>
      </c>
      <c r="C9">
        <v>0.2666</v>
      </c>
      <c r="D9">
        <v>6.9499999999999996E-3</v>
      </c>
      <c r="E9">
        <v>2.5000000000000001E-3</v>
      </c>
      <c r="F9">
        <f>C9*'Données géométriques'!$B$6/(2+('Données géométriques'!$B$6^2+4)^0.5)</f>
        <v>0.14777718463997888</v>
      </c>
      <c r="G9">
        <f>F9^2/(PI()*'Données géométriques'!$B$6)</f>
        <v>2.1718661316521095E-3</v>
      </c>
      <c r="H9">
        <f t="shared" si="2"/>
        <v>9.1218661316521087E-3</v>
      </c>
      <c r="I9">
        <f t="shared" si="4"/>
        <v>0.24062439330270619</v>
      </c>
      <c r="J9">
        <f>XCP_3D('Données géométriques'!$B$9,'Données géométriques'!$B$10,'Données géométriques'!$B$12,'Données géométriques'!$B$11,I9)</f>
        <v>-0.22055225691195601</v>
      </c>
      <c r="K9">
        <f>'5kts'!K9</f>
        <v>1.1514536950961625</v>
      </c>
      <c r="L9">
        <f t="shared" si="3"/>
        <v>-3.9447743088043996E-2</v>
      </c>
      <c r="M9">
        <f t="shared" si="5"/>
        <v>0.17499999999999999</v>
      </c>
    </row>
    <row r="10" spans="1:13" x14ac:dyDescent="0.25">
      <c r="A10">
        <v>3</v>
      </c>
      <c r="B10">
        <f t="shared" si="1"/>
        <v>5.235987755982989E-2</v>
      </c>
      <c r="C10">
        <v>0.31840000000000002</v>
      </c>
      <c r="D10">
        <v>7.3000000000000001E-3</v>
      </c>
      <c r="E10">
        <v>3.3999999999999998E-3</v>
      </c>
      <c r="F10">
        <f>C10*'Données géométriques'!$B$6/(2+('Données géométriques'!$B$6^2+4)^0.5)</f>
        <v>0.17649008098037994</v>
      </c>
      <c r="G10">
        <f>F10^2/(PI()*'Données géométriques'!$B$6)</f>
        <v>3.0978392704842767E-3</v>
      </c>
      <c r="H10">
        <f t="shared" si="2"/>
        <v>1.0397839270484276E-2</v>
      </c>
      <c r="I10">
        <f t="shared" si="4"/>
        <v>0.23931978651189287</v>
      </c>
      <c r="J10">
        <f>XCP_3D('Données géométriques'!$B$9,'Données géométriques'!$B$10,'Données géométriques'!$B$12,'Données géométriques'!$B$11,I10)</f>
        <v>-0.21959167434148272</v>
      </c>
      <c r="K10">
        <f>'5kts'!K10</f>
        <v>1.1514536950961625</v>
      </c>
      <c r="L10">
        <f t="shared" si="3"/>
        <v>-4.0408325658517291E-2</v>
      </c>
      <c r="M10">
        <f t="shared" si="5"/>
        <v>0.18099999999999999</v>
      </c>
    </row>
    <row r="11" spans="1:13" x14ac:dyDescent="0.25">
      <c r="A11">
        <v>3.5</v>
      </c>
      <c r="B11">
        <f t="shared" si="1"/>
        <v>6.1086523819801536E-2</v>
      </c>
      <c r="C11">
        <v>0.37130000000000002</v>
      </c>
      <c r="D11">
        <v>7.6899999999999998E-3</v>
      </c>
      <c r="E11">
        <v>4.1000000000000003E-3</v>
      </c>
      <c r="F11">
        <f>C11*'Données géométriques'!$B$6/(2+('Données géométriques'!$B$6^2+4)^0.5)</f>
        <v>0.2058127106407508</v>
      </c>
      <c r="G11">
        <f>F11^2/(PI()*'Données géométriques'!$B$6)</f>
        <v>4.2127206468100383E-3</v>
      </c>
      <c r="H11">
        <f t="shared" si="2"/>
        <v>1.1902720646810038E-2</v>
      </c>
      <c r="I11">
        <f t="shared" si="4"/>
        <v>0.23895107767105642</v>
      </c>
      <c r="J11">
        <f>XCP_3D('Données géométriques'!$B$9,'Données géométriques'!$B$10,'Données géométriques'!$B$12,'Données géométriques'!$B$11,I11)</f>
        <v>-0.21932019385511817</v>
      </c>
      <c r="K11">
        <f>'5kts'!K11</f>
        <v>1.1514536950961625</v>
      </c>
      <c r="L11">
        <f t="shared" si="3"/>
        <v>-4.0679806144881842E-2</v>
      </c>
      <c r="M11">
        <f t="shared" si="5"/>
        <v>0.188</v>
      </c>
    </row>
    <row r="12" spans="1:13" x14ac:dyDescent="0.25">
      <c r="A12">
        <v>4</v>
      </c>
      <c r="B12">
        <f t="shared" si="1"/>
        <v>6.9813170079773182E-2</v>
      </c>
      <c r="C12">
        <v>0.42909999999999998</v>
      </c>
      <c r="D12">
        <v>8.1300000000000001E-3</v>
      </c>
      <c r="E12">
        <v>3.7000000000000002E-3</v>
      </c>
      <c r="F12">
        <f>C12*'Données géométriques'!$B$6/(2+('Données géométriques'!$B$6^2+4)^0.5)</f>
        <v>0.23785142509007856</v>
      </c>
      <c r="G12">
        <f>F12^2/(PI()*'Données géométriques'!$B$6)</f>
        <v>5.6263894729516456E-3</v>
      </c>
      <c r="H12">
        <f t="shared" si="2"/>
        <v>1.3756389472951646E-2</v>
      </c>
      <c r="I12">
        <f t="shared" si="4"/>
        <v>0.24136768234138203</v>
      </c>
      <c r="J12">
        <f>XCP_3D('Données géométriques'!$B$9,'Données géométriques'!$B$10,'Données géométriques'!$B$12,'Données géométriques'!$B$11,I12)</f>
        <v>-0.22109954096750731</v>
      </c>
      <c r="K12">
        <f>'5kts'!K12</f>
        <v>1.1514536950961625</v>
      </c>
      <c r="L12">
        <f t="shared" si="3"/>
        <v>-3.8900459032492701E-2</v>
      </c>
      <c r="M12">
        <f t="shared" si="5"/>
        <v>0.19500000000000001</v>
      </c>
    </row>
    <row r="13" spans="1:13" x14ac:dyDescent="0.25">
      <c r="A13">
        <v>4.5</v>
      </c>
      <c r="B13">
        <f t="shared" si="1"/>
        <v>7.8539816339744828E-2</v>
      </c>
      <c r="C13">
        <v>0.49049999999999999</v>
      </c>
      <c r="D13">
        <v>8.5699999999999995E-3</v>
      </c>
      <c r="E13">
        <v>2.3999999999999998E-3</v>
      </c>
      <c r="F13">
        <f>C13*'Données géométriques'!$B$6/(2+('Données géométriques'!$B$6^2+4)^0.5)</f>
        <v>0.27188563040476238</v>
      </c>
      <c r="G13">
        <f>F13^2/(PI()*'Données géométriques'!$B$6)</f>
        <v>7.3517509475931539E-3</v>
      </c>
      <c r="H13">
        <f t="shared" si="2"/>
        <v>1.5921750947593155E-2</v>
      </c>
      <c r="I13">
        <f t="shared" si="4"/>
        <v>0.24509864334239689</v>
      </c>
      <c r="J13">
        <f>XCP_3D('Données géométriques'!$B$9,'Données géométriques'!$B$10,'Données géométriques'!$B$12,'Données géométriques'!$B$11,I13)</f>
        <v>-0.22384664924099362</v>
      </c>
      <c r="K13">
        <f>'5kts'!K13</f>
        <v>1.1514536950961625</v>
      </c>
      <c r="L13">
        <f t="shared" si="3"/>
        <v>-3.6153350759006386E-2</v>
      </c>
      <c r="M13">
        <f t="shared" si="5"/>
        <v>0.20300000000000001</v>
      </c>
    </row>
    <row r="14" spans="1:13" x14ac:dyDescent="0.25">
      <c r="A14">
        <v>5</v>
      </c>
      <c r="B14">
        <f t="shared" si="1"/>
        <v>8.7266462599716474E-2</v>
      </c>
      <c r="C14">
        <v>0.5534</v>
      </c>
      <c r="D14">
        <v>9.0399999999999994E-3</v>
      </c>
      <c r="E14">
        <v>6.9999999999999999E-4</v>
      </c>
      <c r="F14">
        <f>C14*'Données géométriques'!$B$6/(2+('Données géométriques'!$B$6^2+4)^0.5)</f>
        <v>0.30675129024667785</v>
      </c>
      <c r="G14">
        <f>F14^2/(PI()*'Données géométriques'!$B$6)</f>
        <v>9.3581730615928168E-3</v>
      </c>
      <c r="H14">
        <f t="shared" si="2"/>
        <v>1.8398173061592818E-2</v>
      </c>
      <c r="I14">
        <f t="shared" si="4"/>
        <v>0.24873207248724763</v>
      </c>
      <c r="J14">
        <f>XCP_3D('Données géométriques'!$B$9,'Données géométriques'!$B$10,'Données géométriques'!$B$12,'Données géométriques'!$B$11,I14)</f>
        <v>-0.22652194476464893</v>
      </c>
      <c r="K14">
        <f>'5kts'!K14</f>
        <v>1.1514536950961625</v>
      </c>
      <c r="L14">
        <f t="shared" si="3"/>
        <v>-3.3478055235351079E-2</v>
      </c>
      <c r="M14">
        <f t="shared" si="5"/>
        <v>0.21199999999999999</v>
      </c>
    </row>
    <row r="15" spans="1:13" x14ac:dyDescent="0.25">
      <c r="A15">
        <v>5.5</v>
      </c>
      <c r="B15">
        <f t="shared" si="1"/>
        <v>9.599310885968812E-2</v>
      </c>
      <c r="C15">
        <v>0.61680000000000001</v>
      </c>
      <c r="D15">
        <v>9.5200000000000007E-3</v>
      </c>
      <c r="E15">
        <v>-1.1999999999999999E-3</v>
      </c>
      <c r="F15">
        <f>C15*'Données géométriques'!$B$6/(2+('Données géométriques'!$B$6^2+4)^0.5)</f>
        <v>0.34189410159767059</v>
      </c>
      <c r="G15">
        <f>F15^2/(PI()*'Données géométriques'!$B$6)</f>
        <v>1.162522836409398E-2</v>
      </c>
      <c r="H15">
        <f t="shared" si="2"/>
        <v>2.1145228364093979E-2</v>
      </c>
      <c r="I15">
        <f t="shared" si="4"/>
        <v>0.25195162308018626</v>
      </c>
      <c r="J15">
        <f>XCP_3D('Données géométriques'!$B$9,'Données géométriques'!$B$10,'Données géométriques'!$B$12,'Données géométriques'!$B$11,I15)</f>
        <v>-0.22889250132323202</v>
      </c>
      <c r="K15">
        <f>'5kts'!K15</f>
        <v>1.1514536950961625</v>
      </c>
      <c r="L15">
        <f t="shared" si="3"/>
        <v>-3.1107498676767986E-2</v>
      </c>
      <c r="M15">
        <f t="shared" si="5"/>
        <v>0.222</v>
      </c>
    </row>
    <row r="16" spans="1:13" x14ac:dyDescent="0.25">
      <c r="A16">
        <v>6</v>
      </c>
      <c r="B16">
        <f t="shared" si="1"/>
        <v>0.10471975511965978</v>
      </c>
      <c r="C16">
        <v>0.67869999999999997</v>
      </c>
      <c r="D16">
        <v>1.0030000000000001E-2</v>
      </c>
      <c r="E16">
        <v>-2.7000000000000001E-3</v>
      </c>
      <c r="F16">
        <f>C16*'Données géométriques'!$B$6/(2+('Données géométriques'!$B$6^2+4)^0.5)</f>
        <v>0.3762054584214316</v>
      </c>
      <c r="G16">
        <f>F16^2/(PI()*'Données géométriques'!$B$6)</f>
        <v>1.407565006042776E-2</v>
      </c>
      <c r="H16">
        <f t="shared" si="2"/>
        <v>2.4105650060427759E-2</v>
      </c>
      <c r="I16">
        <f t="shared" si="4"/>
        <v>0.25399390305036007</v>
      </c>
      <c r="J16">
        <f>XCP_3D('Données géométriques'!$B$9,'Données géométriques'!$B$10,'Données géométriques'!$B$12,'Données géométriques'!$B$11,I16)</f>
        <v>-0.23039623298949949</v>
      </c>
      <c r="K16">
        <f>'5kts'!K16</f>
        <v>1.1514536950961625</v>
      </c>
      <c r="L16">
        <f t="shared" si="3"/>
        <v>-2.960376701050052E-2</v>
      </c>
      <c r="M16">
        <f t="shared" si="5"/>
        <v>0.23300000000000001</v>
      </c>
    </row>
    <row r="17" spans="1:13" x14ac:dyDescent="0.25">
      <c r="A17">
        <v>6.5</v>
      </c>
      <c r="B17">
        <f t="shared" si="1"/>
        <v>0.11344640137963143</v>
      </c>
      <c r="C17">
        <v>0.72750000000000004</v>
      </c>
      <c r="D17">
        <v>1.055E-2</v>
      </c>
      <c r="E17">
        <v>-1.4E-3</v>
      </c>
      <c r="F17">
        <f>C17*'Données géométriques'!$B$6/(2+('Données géométriques'!$B$6^2+4)^0.5)</f>
        <v>0.40325544570736932</v>
      </c>
      <c r="G17">
        <f>F17^2/(PI()*'Données géométriques'!$B$6)</f>
        <v>1.617255951750788E-2</v>
      </c>
      <c r="H17">
        <f t="shared" si="2"/>
        <v>2.672255951750788E-2</v>
      </c>
      <c r="I17">
        <f t="shared" si="4"/>
        <v>0.25193365406684015</v>
      </c>
      <c r="J17">
        <f>XCP_3D('Données géométriques'!$B$9,'Données géométriques'!$B$10,'Données géométriques'!$B$12,'Données géométriques'!$B$11,I17)</f>
        <v>-0.22887927073057193</v>
      </c>
      <c r="K17">
        <f>'5kts'!K17</f>
        <v>1.1514536950961625</v>
      </c>
      <c r="L17">
        <f t="shared" si="3"/>
        <v>-3.1120729269428077E-2</v>
      </c>
      <c r="M17">
        <f t="shared" si="5"/>
        <v>0.24399999999999999</v>
      </c>
    </row>
    <row r="18" spans="1:13" x14ac:dyDescent="0.25">
      <c r="A18">
        <v>7</v>
      </c>
      <c r="B18">
        <f t="shared" si="1"/>
        <v>0.12217304763960307</v>
      </c>
      <c r="C18">
        <v>0.77659999999999996</v>
      </c>
      <c r="D18">
        <v>1.11E-2</v>
      </c>
      <c r="E18">
        <v>-2.0000000000000001E-4</v>
      </c>
      <c r="F18">
        <f>C18*'Données géométriques'!$B$6/(2+('Données géométriques'!$B$6^2+4)^0.5)</f>
        <v>0.43047172389875321</v>
      </c>
      <c r="G18">
        <f>F18^2/(PI()*'Données géométriques'!$B$6)</f>
        <v>1.8429244642002716E-2</v>
      </c>
      <c r="H18">
        <f t="shared" si="2"/>
        <v>2.9529244642002718E-2</v>
      </c>
      <c r="I18">
        <f t="shared" si="4"/>
        <v>0.25025901230361697</v>
      </c>
      <c r="J18">
        <f>XCP_3D('Données géométriques'!$B$9,'Données géométriques'!$B$10,'Données géométriques'!$B$12,'Données géométriques'!$B$11,I18)</f>
        <v>-0.22764623124245661</v>
      </c>
      <c r="K18">
        <f>'5kts'!K18</f>
        <v>1.1514536950961625</v>
      </c>
      <c r="L18">
        <f t="shared" si="3"/>
        <v>-3.2353768757543394E-2</v>
      </c>
      <c r="M18">
        <f t="shared" si="5"/>
        <v>0.255</v>
      </c>
    </row>
    <row r="19" spans="1:13" x14ac:dyDescent="0.25">
      <c r="A19">
        <v>7.5</v>
      </c>
      <c r="B19">
        <f t="shared" si="1"/>
        <v>0.1308996938995747</v>
      </c>
      <c r="C19">
        <v>0.82609999999999995</v>
      </c>
      <c r="D19">
        <v>1.1730000000000001E-2</v>
      </c>
      <c r="E19">
        <v>8.9999999999999998E-4</v>
      </c>
      <c r="F19">
        <f>C19*'Données géométriques'!$B$6/(2+('Données géométriques'!$B$6^2+4)^0.5)</f>
        <v>0.45790972329739893</v>
      </c>
      <c r="G19">
        <f>F19^2/(PI()*'Données géométriques'!$B$6)</f>
        <v>2.0853454420094404E-2</v>
      </c>
      <c r="H19">
        <f t="shared" si="2"/>
        <v>3.2583454420094402E-2</v>
      </c>
      <c r="I19">
        <f t="shared" si="4"/>
        <v>0.24890319297517782</v>
      </c>
      <c r="J19">
        <f>XCP_3D('Données géométriques'!$B$9,'Données géométriques'!$B$10,'Données géométriques'!$B$12,'Données géométriques'!$B$11,I19)</f>
        <v>-0.22664794085735263</v>
      </c>
      <c r="K19">
        <f>'5kts'!K19</f>
        <v>1.1514536950961625</v>
      </c>
      <c r="L19">
        <f t="shared" si="3"/>
        <v>-3.3352059142647383E-2</v>
      </c>
      <c r="M19">
        <f t="shared" si="5"/>
        <v>0.26700000000000002</v>
      </c>
    </row>
    <row r="20" spans="1:13" x14ac:dyDescent="0.25">
      <c r="A20">
        <v>8</v>
      </c>
      <c r="B20">
        <f t="shared" si="1"/>
        <v>0.13962634015954636</v>
      </c>
      <c r="C20">
        <v>0.876</v>
      </c>
      <c r="D20">
        <v>1.239E-2</v>
      </c>
      <c r="E20">
        <v>1.8E-3</v>
      </c>
      <c r="F20">
        <f>C20*'Données géométriques'!$B$6/(2+('Données géométriques'!$B$6^2+4)^0.5)</f>
        <v>0.48556944390330647</v>
      </c>
      <c r="G20">
        <f>F20^2/(PI()*'Données géométriques'!$B$6)</f>
        <v>2.3448819040506601E-2</v>
      </c>
      <c r="H20">
        <f t="shared" si="2"/>
        <v>3.5838819040506599E-2</v>
      </c>
      <c r="I20">
        <f t="shared" si="4"/>
        <v>0.24792912828804703</v>
      </c>
      <c r="J20">
        <f>XCP_3D('Données géométriques'!$B$9,'Données géométriques'!$B$10,'Données géométriques'!$B$12,'Données géométriques'!$B$11,I20)</f>
        <v>-0.22593073658740609</v>
      </c>
      <c r="K20">
        <f>'5kts'!K20</f>
        <v>1.1514536950961625</v>
      </c>
      <c r="L20">
        <f t="shared" si="3"/>
        <v>-3.406926341259392E-2</v>
      </c>
      <c r="M20">
        <f t="shared" si="5"/>
        <v>0.28000000000000003</v>
      </c>
    </row>
    <row r="21" spans="1:13" x14ac:dyDescent="0.25">
      <c r="A21">
        <v>8.5</v>
      </c>
      <c r="B21">
        <f t="shared" si="1"/>
        <v>0.14835298641951802</v>
      </c>
      <c r="C21">
        <v>0.92520000000000002</v>
      </c>
      <c r="D21">
        <v>1.3220000000000001E-2</v>
      </c>
      <c r="E21">
        <v>2.8E-3</v>
      </c>
      <c r="F21">
        <f>C21*'Données géométriques'!$B$6/(2+('Données géométriques'!$B$6^2+4)^0.5)</f>
        <v>0.51284115239650596</v>
      </c>
      <c r="G21">
        <f>F21^2/(PI()*'Données géométriques'!$B$6)</f>
        <v>2.6156763819211462E-2</v>
      </c>
      <c r="H21">
        <f t="shared" si="2"/>
        <v>3.9376763819211465E-2</v>
      </c>
      <c r="I21">
        <f t="shared" si="4"/>
        <v>0.24694653663912061</v>
      </c>
      <c r="J21">
        <f>XCP_3D('Données géométriques'!$B$9,'Données géométriques'!$B$10,'Données géométriques'!$B$12,'Données géométriques'!$B$11,I21)</f>
        <v>-0.22520725391163199</v>
      </c>
      <c r="K21">
        <f>'5kts'!K21</f>
        <v>1.1514536950961625</v>
      </c>
      <c r="L21">
        <f t="shared" si="3"/>
        <v>-3.4792746088368021E-2</v>
      </c>
      <c r="M21">
        <f t="shared" si="5"/>
        <v>0.29299999999999998</v>
      </c>
    </row>
    <row r="22" spans="1:13" x14ac:dyDescent="0.25">
      <c r="A22">
        <v>9</v>
      </c>
      <c r="B22">
        <f t="shared" si="1"/>
        <v>0.15707963267948966</v>
      </c>
      <c r="C22">
        <v>0.97460000000000002</v>
      </c>
      <c r="D22">
        <v>1.4019999999999999E-2</v>
      </c>
      <c r="E22">
        <v>3.7000000000000002E-3</v>
      </c>
      <c r="F22">
        <f>C22*'Données géométriques'!$B$6/(2+('Données géométriques'!$B$6^2+4)^0.5)</f>
        <v>0.5402237214933362</v>
      </c>
      <c r="G22">
        <f>F22^2/(PI()*'Données géométriques'!$B$6)</f>
        <v>2.9024555463476886E-2</v>
      </c>
      <c r="H22">
        <f t="shared" si="2"/>
        <v>4.3044555463476887E-2</v>
      </c>
      <c r="I22">
        <f t="shared" si="4"/>
        <v>0.24616498550734009</v>
      </c>
      <c r="J22">
        <f>XCP_3D('Données géométriques'!$B$9,'Données géométriques'!$B$10,'Données géométriques'!$B$12,'Données géométriques'!$B$11,I22)</f>
        <v>-0.22463179745961306</v>
      </c>
      <c r="K22">
        <f>'5kts'!K22</f>
        <v>1.1514536950961625</v>
      </c>
      <c r="L22">
        <f t="shared" si="3"/>
        <v>-3.5368202540386945E-2</v>
      </c>
      <c r="M22">
        <f t="shared" si="5"/>
        <v>0.30599999999999999</v>
      </c>
    </row>
    <row r="23" spans="1:13" x14ac:dyDescent="0.25">
      <c r="A23">
        <v>9.5</v>
      </c>
      <c r="B23">
        <f t="shared" si="1"/>
        <v>0.16580627893946132</v>
      </c>
      <c r="C23">
        <v>1.0235000000000001</v>
      </c>
      <c r="D23">
        <v>1.487E-2</v>
      </c>
      <c r="E23">
        <v>4.5999999999999999E-3</v>
      </c>
      <c r="F23">
        <f>C23*'Données géométriques'!$B$6/(2+('Données géométriques'!$B$6^2+4)^0.5)</f>
        <v>0.56732913908108928</v>
      </c>
      <c r="G23">
        <f>F23^2/(PI()*'Données géométriques'!$B$6)</f>
        <v>3.2010205095970599E-2</v>
      </c>
      <c r="H23">
        <f t="shared" si="2"/>
        <v>4.6880205095970601E-2</v>
      </c>
      <c r="I23">
        <f t="shared" si="4"/>
        <v>0.24545417519025331</v>
      </c>
      <c r="J23">
        <f>XCP_3D('Données géométriques'!$B$9,'Données géométriques'!$B$10,'Données géométriques'!$B$12,'Données géométriques'!$B$11,I23)</f>
        <v>-0.22410842750146628</v>
      </c>
      <c r="K23">
        <f>'5kts'!K23</f>
        <v>1.1514536950961625</v>
      </c>
      <c r="L23">
        <f t="shared" si="3"/>
        <v>-3.5891572498533725E-2</v>
      </c>
      <c r="M23">
        <f t="shared" si="5"/>
        <v>0.32</v>
      </c>
    </row>
    <row r="24" spans="1:13" x14ac:dyDescent="0.25">
      <c r="A24">
        <v>10</v>
      </c>
      <c r="B24">
        <f t="shared" si="1"/>
        <v>0.17453292519943295</v>
      </c>
      <c r="C24">
        <v>1.0712999999999999</v>
      </c>
      <c r="D24">
        <v>1.584E-2</v>
      </c>
      <c r="E24">
        <v>5.4999999999999997E-3</v>
      </c>
      <c r="F24">
        <f>C24*'Données géométriques'!$B$6/(2+('Données géométriques'!$B$6^2+4)^0.5)</f>
        <v>0.59382482334887243</v>
      </c>
      <c r="G24">
        <f>F24^2/(PI()*'Données géométriques'!$B$6)</f>
        <v>3.5069935940856736E-2</v>
      </c>
      <c r="H24">
        <f t="shared" si="2"/>
        <v>5.0909935940856736E-2</v>
      </c>
      <c r="I24">
        <f t="shared" si="4"/>
        <v>0.24480040716713311</v>
      </c>
      <c r="J24">
        <f>XCP_3D('Données géométriques'!$B$9,'Données géométriques'!$B$10,'Données géométriques'!$B$12,'Données géométriques'!$B$11,I24)</f>
        <v>-0.22362705781018205</v>
      </c>
      <c r="K24">
        <f>'5kts'!K24</f>
        <v>1.1514536950961625</v>
      </c>
      <c r="L24">
        <f t="shared" si="3"/>
        <v>-3.6372942189817958E-2</v>
      </c>
      <c r="M24">
        <f t="shared" si="5"/>
        <v>0.33400000000000002</v>
      </c>
    </row>
    <row r="25" spans="1:13" x14ac:dyDescent="0.25">
      <c r="A25">
        <v>10.5</v>
      </c>
      <c r="B25">
        <f t="shared" si="1"/>
        <v>0.18325957145940461</v>
      </c>
      <c r="C25">
        <v>1.117</v>
      </c>
      <c r="D25">
        <v>1.7090000000000001E-2</v>
      </c>
      <c r="E25">
        <v>6.7000000000000002E-3</v>
      </c>
      <c r="F25">
        <f>C25*'Données géométriques'!$B$6/(2+('Données géométriques'!$B$6^2+4)^0.5)</f>
        <v>0.61915647127853124</v>
      </c>
      <c r="G25">
        <f>F25^2/(PI()*'Données géométriques'!$B$6)</f>
        <v>3.812581261315267E-2</v>
      </c>
      <c r="H25">
        <f t="shared" si="2"/>
        <v>5.5215812613152671E-2</v>
      </c>
      <c r="I25">
        <f t="shared" si="4"/>
        <v>0.24391688910819201</v>
      </c>
      <c r="J25">
        <f>XCP_3D('Données géométriques'!$B$9,'Données géométriques'!$B$10,'Données géométriques'!$B$12,'Données géométriques'!$B$11,I25)</f>
        <v>-0.22297652306354909</v>
      </c>
      <c r="K25">
        <f>'5kts'!K25</f>
        <v>1.1514536950961625</v>
      </c>
      <c r="L25">
        <f t="shared" si="3"/>
        <v>-3.7023476936450916E-2</v>
      </c>
      <c r="M25">
        <f t="shared" si="5"/>
        <v>0.34799999999999998</v>
      </c>
    </row>
    <row r="26" spans="1:13" x14ac:dyDescent="0.25">
      <c r="A26">
        <v>11</v>
      </c>
      <c r="B26">
        <f t="shared" si="1"/>
        <v>0.19198621771937624</v>
      </c>
      <c r="C26">
        <v>1.1625000000000001</v>
      </c>
      <c r="D26">
        <v>1.8259999999999998E-2</v>
      </c>
      <c r="E26">
        <v>7.9000000000000008E-3</v>
      </c>
      <c r="F26">
        <f>C26*'Données géométriques'!$B$6/(2+('Données géométriques'!$B$6^2+4)^0.5)</f>
        <v>0.64437725860455919</v>
      </c>
      <c r="G26">
        <f>F26^2/(PI()*'Données géométriques'!$B$6)</f>
        <v>4.1295115571062468E-2</v>
      </c>
      <c r="H26">
        <f t="shared" si="2"/>
        <v>5.9555115571062467E-2</v>
      </c>
      <c r="I26">
        <f t="shared" si="4"/>
        <v>0.24309818091968918</v>
      </c>
      <c r="J26">
        <f>XCP_3D('Données géométriques'!$B$9,'Données géométriques'!$B$10,'Données géométriques'!$B$12,'Données géométriques'!$B$11,I26)</f>
        <v>-0.22237370785384925</v>
      </c>
      <c r="K26">
        <f>'5kts'!K26</f>
        <v>1.1514536950961625</v>
      </c>
      <c r="L26">
        <f t="shared" si="3"/>
        <v>-3.7626292146150764E-2</v>
      </c>
      <c r="M26">
        <f t="shared" si="5"/>
        <v>0.36299999999999999</v>
      </c>
    </row>
    <row r="27" spans="1:13" x14ac:dyDescent="0.25">
      <c r="A27">
        <v>11.5</v>
      </c>
      <c r="B27">
        <f t="shared" si="1"/>
        <v>0.2007128639793479</v>
      </c>
      <c r="C27">
        <v>1.2061999999999999</v>
      </c>
      <c r="D27">
        <v>1.959E-2</v>
      </c>
      <c r="E27">
        <v>9.1999999999999998E-3</v>
      </c>
      <c r="F27">
        <f>C27*'Données géométriques'!$B$6/(2+('Données géométriques'!$B$6^2+4)^0.5)</f>
        <v>0.66860030049790897</v>
      </c>
      <c r="G27">
        <f>F27^2/(PI()*'Données géométriques'!$B$6)</f>
        <v>4.4458152480995182E-2</v>
      </c>
      <c r="H27">
        <f t="shared" si="2"/>
        <v>6.4048152480995185E-2</v>
      </c>
      <c r="I27">
        <f t="shared" si="4"/>
        <v>0.24224211872899815</v>
      </c>
      <c r="J27">
        <f>XCP_3D('Données géométriques'!$B$9,'Données géométriques'!$B$10,'Données géométriques'!$B$12,'Données géométriques'!$B$11,I27)</f>
        <v>-0.22174338887543427</v>
      </c>
      <c r="K27">
        <f>'5kts'!K27</f>
        <v>1.1514536950961625</v>
      </c>
      <c r="L27">
        <f t="shared" si="3"/>
        <v>-3.8256611124565743E-2</v>
      </c>
      <c r="M27">
        <f t="shared" si="5"/>
        <v>0.377</v>
      </c>
    </row>
    <row r="28" spans="1:13" x14ac:dyDescent="0.25">
      <c r="A28">
        <v>12</v>
      </c>
      <c r="B28">
        <f t="shared" si="1"/>
        <v>0.20943951023931956</v>
      </c>
      <c r="C28">
        <v>1.2477</v>
      </c>
      <c r="D28">
        <v>2.1059999999999999E-2</v>
      </c>
      <c r="E28">
        <v>1.06E-2</v>
      </c>
      <c r="F28">
        <f>C28*'Données géométriques'!$B$6/(2+('Données géométriques'!$B$6^2+4)^0.5)</f>
        <v>0.6916038757513191</v>
      </c>
      <c r="G28">
        <f>F28^2/(PI()*'Données géométriques'!$B$6)</f>
        <v>4.7569995785066745E-2</v>
      </c>
      <c r="H28">
        <f t="shared" si="2"/>
        <v>6.8629995785066747E-2</v>
      </c>
      <c r="I28">
        <f t="shared" si="4"/>
        <v>0.24134562035420404</v>
      </c>
      <c r="J28">
        <f>XCP_3D('Données géométriques'!$B$9,'Données géométriques'!$B$10,'Données géométriques'!$B$12,'Données géométriques'!$B$11,I28)</f>
        <v>-0.22108329671636454</v>
      </c>
      <c r="K28">
        <f>'5kts'!K28</f>
        <v>1.1514536950961625</v>
      </c>
      <c r="L28">
        <f t="shared" si="3"/>
        <v>-3.8916703283635473E-2</v>
      </c>
      <c r="M28">
        <f t="shared" si="5"/>
        <v>0.39200000000000002</v>
      </c>
    </row>
    <row r="29" spans="1:13" x14ac:dyDescent="0.25">
      <c r="A29">
        <v>12.5</v>
      </c>
      <c r="B29">
        <f t="shared" si="1"/>
        <v>0.21816615649929119</v>
      </c>
      <c r="C29">
        <v>1.2867999999999999</v>
      </c>
      <c r="D29">
        <v>2.2669999999999999E-2</v>
      </c>
      <c r="E29">
        <v>1.2200000000000001E-2</v>
      </c>
      <c r="F29">
        <f>C29*'Données géométriques'!$B$6/(2+('Données géométriques'!$B$6^2+4)^0.5)</f>
        <v>0.71327712376115848</v>
      </c>
      <c r="G29">
        <f>F29^2/(PI()*'Données géométriques'!$B$6)</f>
        <v>5.0598176684201218E-2</v>
      </c>
      <c r="H29">
        <f t="shared" si="2"/>
        <v>7.3268176684201214E-2</v>
      </c>
      <c r="I29">
        <f t="shared" si="4"/>
        <v>0.24032670666548286</v>
      </c>
      <c r="J29">
        <f>XCP_3D('Données géométriques'!$B$9,'Données géométriques'!$B$10,'Données géométriques'!$B$12,'Données géométriques'!$B$11,I29)</f>
        <v>-0.22033307010625253</v>
      </c>
      <c r="K29">
        <f>'5kts'!K29</f>
        <v>1.1514536950961625</v>
      </c>
      <c r="L29">
        <f t="shared" si="3"/>
        <v>-3.9666929893747482E-2</v>
      </c>
      <c r="M29">
        <f t="shared" si="5"/>
        <v>0.40699999999999997</v>
      </c>
    </row>
    <row r="30" spans="1:13" x14ac:dyDescent="0.25">
      <c r="A30">
        <v>13</v>
      </c>
      <c r="B30">
        <f t="shared" si="1"/>
        <v>0.22689280275926285</v>
      </c>
      <c r="C30">
        <v>1.3220000000000001</v>
      </c>
      <c r="D30">
        <v>2.452E-2</v>
      </c>
      <c r="E30">
        <v>1.4200000000000001E-2</v>
      </c>
      <c r="F30">
        <f>C30*'Données géométriques'!$B$6/(2+('Données géométriques'!$B$6^2+4)^0.5)</f>
        <v>0.73278859000019547</v>
      </c>
      <c r="G30">
        <f>F30^2/(PI()*'Données géométriques'!$B$6)</f>
        <v>5.340423189673478E-2</v>
      </c>
      <c r="H30">
        <f t="shared" si="2"/>
        <v>7.792423189673478E-2</v>
      </c>
      <c r="I30">
        <f t="shared" si="4"/>
        <v>0.2390231621177675</v>
      </c>
      <c r="J30">
        <f>XCP_3D('Données géométriques'!$B$9,'Données géométriques'!$B$10,'Données géométriques'!$B$12,'Données géométriques'!$B$11,I30)</f>
        <v>-0.2193732696658533</v>
      </c>
      <c r="K30">
        <f>'5kts'!K30</f>
        <v>1.1514536950961625</v>
      </c>
      <c r="L30">
        <f t="shared" si="3"/>
        <v>-4.062673033414671E-2</v>
      </c>
      <c r="M30">
        <f t="shared" si="5"/>
        <v>0.42199999999999999</v>
      </c>
    </row>
    <row r="31" spans="1:13" x14ac:dyDescent="0.25">
      <c r="A31">
        <v>13.5</v>
      </c>
      <c r="B31">
        <f t="shared" si="1"/>
        <v>0.23561944901923448</v>
      </c>
      <c r="C31">
        <v>1.3507</v>
      </c>
      <c r="D31">
        <v>2.6790000000000001E-2</v>
      </c>
      <c r="E31">
        <v>1.66E-2</v>
      </c>
      <c r="F31">
        <f>C31*'Données géométriques'!$B$6/(2+('Données géométriques'!$B$6^2+4)^0.5)</f>
        <v>0.74869708662122847</v>
      </c>
      <c r="G31">
        <f>F31^2/(PI()*'Données géométriques'!$B$6)</f>
        <v>5.5748163168031287E-2</v>
      </c>
      <c r="H31">
        <f t="shared" si="2"/>
        <v>8.2538163168031281E-2</v>
      </c>
      <c r="I31">
        <f t="shared" si="4"/>
        <v>0.23742075504565507</v>
      </c>
      <c r="J31">
        <f>XCP_3D('Données géométriques'!$B$9,'Données géométriques'!$B$10,'Données géométriques'!$B$12,'Données géométriques'!$B$11,I31)</f>
        <v>-0.21819341661349179</v>
      </c>
      <c r="K31">
        <f>'5kts'!K31</f>
        <v>1.1514536950961625</v>
      </c>
      <c r="L31">
        <f t="shared" si="3"/>
        <v>-4.1806583386508223E-2</v>
      </c>
      <c r="M31">
        <f t="shared" si="5"/>
        <v>0.437</v>
      </c>
    </row>
    <row r="32" spans="1:13" x14ac:dyDescent="0.25">
      <c r="A32">
        <v>14</v>
      </c>
      <c r="B32">
        <f t="shared" si="1"/>
        <v>0.24434609527920614</v>
      </c>
      <c r="C32">
        <v>1.3646</v>
      </c>
      <c r="D32">
        <v>2.9739999999999999E-2</v>
      </c>
      <c r="E32">
        <v>2.0400000000000001E-2</v>
      </c>
      <c r="F32">
        <f>C32*'Données géométriques'!$B$6/(2+('Données géométriques'!$B$6^2+4)^0.5)</f>
        <v>0.75640189857357543</v>
      </c>
      <c r="G32">
        <f>F32^2/(PI()*'Données géométriques'!$B$6)</f>
        <v>5.6901471375397111E-2</v>
      </c>
      <c r="H32">
        <f t="shared" si="2"/>
        <v>8.6641471375397114E-2</v>
      </c>
      <c r="I32">
        <f t="shared" si="4"/>
        <v>0.23467617496027704</v>
      </c>
      <c r="J32">
        <f>XCP_3D('Données géométriques'!$B$9,'Données géométriques'!$B$10,'Données géométriques'!$B$12,'Données géométriques'!$B$11,I32)</f>
        <v>-0.21617258105457174</v>
      </c>
      <c r="K32">
        <f>'5kts'!K32</f>
        <v>1.1514536950961625</v>
      </c>
      <c r="L32">
        <f t="shared" si="3"/>
        <v>-4.382741894542827E-2</v>
      </c>
      <c r="M32">
        <f t="shared" si="5"/>
        <v>0.45100000000000001</v>
      </c>
    </row>
    <row r="33" spans="1:13" x14ac:dyDescent="0.25">
      <c r="A33">
        <v>14.5</v>
      </c>
      <c r="B33">
        <f t="shared" si="1"/>
        <v>0.2530727415391778</v>
      </c>
      <c r="C33">
        <v>1.3716999999999999</v>
      </c>
      <c r="D33">
        <v>3.2809999999999999E-2</v>
      </c>
      <c r="E33">
        <v>2.4E-2</v>
      </c>
      <c r="F33">
        <f>C33*'Données géométriques'!$B$6/(2+('Données géométriques'!$B$6^2+4)^0.5)</f>
        <v>0.7603374500024721</v>
      </c>
      <c r="G33">
        <f>F33^2/(PI()*'Données géométriques'!$B$6)</f>
        <v>5.7495127321293027E-2</v>
      </c>
      <c r="H33">
        <f t="shared" si="2"/>
        <v>9.0305127321293033E-2</v>
      </c>
      <c r="I33">
        <f t="shared" si="4"/>
        <v>0.23203892729653441</v>
      </c>
      <c r="J33">
        <f>XCP_3D('Données géométriques'!$B$9,'Données géométriques'!$B$10,'Données géométriques'!$B$12,'Données géométriques'!$B$11,I33)</f>
        <v>-0.21423077440627766</v>
      </c>
      <c r="K33">
        <f>'5kts'!K33</f>
        <v>1.1514536950961625</v>
      </c>
      <c r="L33">
        <f t="shared" si="3"/>
        <v>-4.5769225593722346E-2</v>
      </c>
      <c r="M33">
        <f t="shared" si="5"/>
        <v>0.46600000000000003</v>
      </c>
    </row>
    <row r="34" spans="1:13" x14ac:dyDescent="0.25">
      <c r="A34">
        <v>15</v>
      </c>
      <c r="B34">
        <f t="shared" si="1"/>
        <v>0.26179938779914941</v>
      </c>
      <c r="C34">
        <v>1.3698999999999999</v>
      </c>
      <c r="D34">
        <v>3.7420000000000002E-2</v>
      </c>
      <c r="E34">
        <v>2.53E-2</v>
      </c>
      <c r="F34">
        <f>C34*'Données géométriques'!$B$6/(2+('Données géométriques'!$B$6^2+4)^0.5)</f>
        <v>0.75933970456979405</v>
      </c>
      <c r="G34">
        <f>F34^2/(PI()*'Données géométriques'!$B$6)</f>
        <v>5.7344331481826299E-2</v>
      </c>
      <c r="H34">
        <f t="shared" si="2"/>
        <v>9.4764331481826308E-2</v>
      </c>
      <c r="I34">
        <f t="shared" si="4"/>
        <v>0.23101892792801224</v>
      </c>
      <c r="J34">
        <f>XCP_3D('Données géométriques'!$B$9,'Données géométriques'!$B$10,'Données géométriques'!$B$12,'Données géométriques'!$B$11,I34)</f>
        <v>-0.21347974840963546</v>
      </c>
      <c r="K34">
        <f>'5kts'!K34</f>
        <v>1.1514536950961625</v>
      </c>
      <c r="L34">
        <f t="shared" si="3"/>
        <v>-4.6520251590364547E-2</v>
      </c>
      <c r="M34">
        <f t="shared" si="5"/>
        <v>0.48</v>
      </c>
    </row>
    <row r="35" spans="1:13" x14ac:dyDescent="0.25">
      <c r="A35">
        <v>15.5</v>
      </c>
      <c r="B35">
        <f t="shared" si="1"/>
        <v>0.27052603405912107</v>
      </c>
      <c r="C35">
        <v>1.3564000000000001</v>
      </c>
      <c r="D35">
        <v>4.514E-2</v>
      </c>
      <c r="E35">
        <v>2.23E-2</v>
      </c>
      <c r="F35">
        <f>C35*'Données géométriques'!$B$6/(2+('Données géométriques'!$B$6^2+4)^0.5)</f>
        <v>0.75185661382470881</v>
      </c>
      <c r="G35">
        <f>F35^2/(PI()*'Données géométriques'!$B$6)</f>
        <v>5.6219674263947708E-2</v>
      </c>
      <c r="H35">
        <f t="shared" si="2"/>
        <v>0.10135967426394771</v>
      </c>
      <c r="I35">
        <f t="shared" si="4"/>
        <v>0.23309493767733802</v>
      </c>
      <c r="J35">
        <f>XCP_3D('Données géométriques'!$B$9,'Données géométriques'!$B$10,'Données géométriques'!$B$12,'Données géométriques'!$B$11,I35)</f>
        <v>-0.21500831532755782</v>
      </c>
      <c r="K35">
        <f>'5kts'!K35</f>
        <v>1.1514536950961625</v>
      </c>
      <c r="L35">
        <f t="shared" si="3"/>
        <v>-4.4991684672442189E-2</v>
      </c>
      <c r="M35">
        <f t="shared" si="5"/>
        <v>0.495</v>
      </c>
    </row>
    <row r="36" spans="1:13" x14ac:dyDescent="0.25">
      <c r="A36">
        <v>16</v>
      </c>
      <c r="B36">
        <f t="shared" si="1"/>
        <v>0.27925268031909273</v>
      </c>
      <c r="C36">
        <v>1.3178000000000001</v>
      </c>
      <c r="D36">
        <v>5.987E-2</v>
      </c>
      <c r="E36">
        <v>1.18E-2</v>
      </c>
      <c r="F36">
        <f>C36*'Données géométriques'!$B$6/(2+('Données géométriques'!$B$6^2+4)^0.5)</f>
        <v>0.73046051732394668</v>
      </c>
      <c r="G36">
        <f>F36^2/(PI()*'Données géométriques'!$B$6)</f>
        <v>5.3065439950526989E-2</v>
      </c>
      <c r="H36">
        <f t="shared" si="2"/>
        <v>0.11293543995052699</v>
      </c>
      <c r="I36">
        <f t="shared" si="4"/>
        <v>0.24080461970987227</v>
      </c>
      <c r="J36">
        <f>XCP_3D('Données géométriques'!$B$9,'Données géométriques'!$B$10,'Données géométriques'!$B$12,'Données géométriques'!$B$11,I36)</f>
        <v>-0.22068495769711496</v>
      </c>
      <c r="K36">
        <f>'5kts'!K36</f>
        <v>1.1514536950961625</v>
      </c>
      <c r="L36">
        <f t="shared" si="3"/>
        <v>-3.9315042302885045E-2</v>
      </c>
      <c r="M36">
        <f t="shared" si="5"/>
        <v>0.50900000000000001</v>
      </c>
    </row>
    <row r="37" spans="1:13" x14ac:dyDescent="0.25">
      <c r="A37">
        <v>16.5</v>
      </c>
      <c r="B37">
        <f t="shared" si="1"/>
        <v>0.28797932657906439</v>
      </c>
      <c r="C37">
        <v>1.1850000000000001</v>
      </c>
      <c r="D37">
        <v>9.4649999999999998E-2</v>
      </c>
      <c r="E37">
        <v>-9.5999999999999992E-3</v>
      </c>
      <c r="F37">
        <f>C37*'Données géométriques'!$B$6/(2+('Données géométriques'!$B$6^2+4)^0.5)</f>
        <v>0.65684907651303459</v>
      </c>
      <c r="G37">
        <f>F37^2/(PI()*'Données géométriques'!$B$6)</f>
        <v>4.2909105728033449E-2</v>
      </c>
      <c r="H37">
        <f t="shared" si="2"/>
        <v>0.13755910572803345</v>
      </c>
      <c r="I37">
        <f t="shared" si="4"/>
        <v>0.25825392201861119</v>
      </c>
      <c r="J37">
        <f>XCP_3D('Données géométriques'!$B$9,'Données géométriques'!$B$10,'Données géométriques'!$B$12,'Données géométriques'!$B$11,I37)</f>
        <v>-0.23353288688368656</v>
      </c>
      <c r="K37">
        <f>'5kts'!K37</f>
        <v>1.1514536950961625</v>
      </c>
      <c r="L37">
        <f t="shared" si="3"/>
        <v>-2.6467113116313445E-2</v>
      </c>
      <c r="M37">
        <f t="shared" si="5"/>
        <v>0.52200000000000002</v>
      </c>
    </row>
    <row r="38" spans="1:13" x14ac:dyDescent="0.25">
      <c r="A38">
        <v>17</v>
      </c>
      <c r="B38">
        <f t="shared" si="1"/>
        <v>0.29670597283903605</v>
      </c>
      <c r="C38">
        <v>1.0443</v>
      </c>
      <c r="D38">
        <v>0.13155</v>
      </c>
      <c r="E38">
        <v>-2.8899999999999999E-2</v>
      </c>
      <c r="F38">
        <f>C38*'Données géométriques'!$B$6/(2+('Données géométriques'!$B$6^2+4)^0.5)</f>
        <v>0.57885864185870206</v>
      </c>
      <c r="G38">
        <f>F38^2/(PI()*'Données géométriques'!$B$6)</f>
        <v>3.3324475199086621E-2</v>
      </c>
      <c r="H38">
        <f t="shared" si="2"/>
        <v>0.16487447519908663</v>
      </c>
      <c r="I38">
        <f t="shared" si="4"/>
        <v>0.27786534431673654</v>
      </c>
      <c r="J38">
        <f>XCP_3D('Données géométriques'!$B$9,'Données géométriques'!$B$10,'Données géométriques'!$B$12,'Données géométriques'!$B$11,I38)</f>
        <v>-0.24797278599690589</v>
      </c>
      <c r="K38">
        <f>'5kts'!K38</f>
        <v>1.1514536950961625</v>
      </c>
      <c r="L38">
        <f t="shared" si="3"/>
        <v>-1.2027214003094117E-2</v>
      </c>
      <c r="M38">
        <f t="shared" si="5"/>
        <v>0.53600000000000003</v>
      </c>
    </row>
    <row r="39" spans="1:13" x14ac:dyDescent="0.25">
      <c r="A39">
        <v>17.5</v>
      </c>
      <c r="B39">
        <f t="shared" si="1"/>
        <v>0.30543261909900765</v>
      </c>
      <c r="C39">
        <v>0.82450000000000001</v>
      </c>
      <c r="D39">
        <v>0.20967</v>
      </c>
      <c r="E39">
        <v>-6.6000000000000003E-2</v>
      </c>
      <c r="F39">
        <f>C39*'Données géométriques'!$B$6/(2+('Données géométriques'!$B$6^2+4)^0.5)</f>
        <v>0.45702283846835179</v>
      </c>
      <c r="G39">
        <f>F39^2/(PI()*'Données géométriques'!$B$6)</f>
        <v>2.0772754224710109E-2</v>
      </c>
      <c r="H39">
        <f t="shared" si="2"/>
        <v>0.23044275422471011</v>
      </c>
      <c r="I39">
        <f t="shared" si="4"/>
        <v>0.32770294910369668</v>
      </c>
      <c r="J39">
        <f>XCP_3D('Données géométriques'!$B$9,'Données géométriques'!$B$10,'Données géométriques'!$B$12,'Données géométriques'!$B$11,I39)</f>
        <v>-0.28466823695545473</v>
      </c>
      <c r="K39">
        <f>'5kts'!K39</f>
        <v>1.1514536950961625</v>
      </c>
      <c r="L39">
        <f t="shared" si="3"/>
        <v>2.4668236955454725E-2</v>
      </c>
      <c r="M39">
        <f t="shared" si="5"/>
        <v>0.54900000000000004</v>
      </c>
    </row>
    <row r="40" spans="1:13" x14ac:dyDescent="0.25">
      <c r="A40">
        <v>18</v>
      </c>
      <c r="B40">
        <f t="shared" si="1"/>
        <v>0.31415926535897931</v>
      </c>
      <c r="C40">
        <v>0.83750000000000002</v>
      </c>
      <c r="D40">
        <v>0.21723999999999999</v>
      </c>
      <c r="E40">
        <v>-7.0199999999999999E-2</v>
      </c>
      <c r="F40">
        <f>C40*'Données géométriques'!$B$6/(2+('Données géométriques'!$B$6^2+4)^0.5)</f>
        <v>0.46422877770435983</v>
      </c>
      <c r="G40">
        <f>F40^2/(PI()*'Données géométriques'!$B$6)</f>
        <v>2.1432971880968828E-2</v>
      </c>
      <c r="H40">
        <f t="shared" si="2"/>
        <v>0.23867297188096881</v>
      </c>
      <c r="I40">
        <f t="shared" si="4"/>
        <v>0.33128380387792844</v>
      </c>
      <c r="J40">
        <f>XCP_3D('Données géométriques'!$B$9,'Données géométriques'!$B$10,'Données géométriques'!$B$12,'Données géométriques'!$B$11,I40)</f>
        <v>-0.28730482194622969</v>
      </c>
      <c r="K40">
        <f>'5kts'!K40</f>
        <v>1.1514536950961625</v>
      </c>
      <c r="L40">
        <f t="shared" si="3"/>
        <v>2.7304821946229685E-2</v>
      </c>
      <c r="M40">
        <f t="shared" si="5"/>
        <v>0.56200000000000006</v>
      </c>
    </row>
    <row r="41" spans="1:13" x14ac:dyDescent="0.25">
      <c r="A41">
        <v>18.5</v>
      </c>
      <c r="B41">
        <f t="shared" si="1"/>
        <v>0.32288591161895097</v>
      </c>
      <c r="C41">
        <v>0.8518</v>
      </c>
      <c r="D41">
        <v>0.22420000000000001</v>
      </c>
      <c r="E41">
        <v>-7.4399999999999994E-2</v>
      </c>
      <c r="F41">
        <f>C41*'Données géométriques'!$B$6/(2+('Données géométriques'!$B$6^2+4)^0.5)</f>
        <v>0.47215531086396856</v>
      </c>
      <c r="G41">
        <f>F41^2/(PI()*'Données géométriques'!$B$6)</f>
        <v>2.217114050635368E-2</v>
      </c>
      <c r="H41">
        <f t="shared" si="2"/>
        <v>0.2463711405063537</v>
      </c>
      <c r="I41">
        <f t="shared" si="4"/>
        <v>0.33464916964478864</v>
      </c>
      <c r="J41">
        <f>XCP_3D('Données géométriques'!$B$9,'Données géométriques'!$B$10,'Données géométriques'!$B$12,'Données géométriques'!$B$11,I41)</f>
        <v>-0.28978274228335921</v>
      </c>
      <c r="K41">
        <f>'5kts'!K41</f>
        <v>1.1514536950961625</v>
      </c>
      <c r="L41">
        <f t="shared" si="3"/>
        <v>2.9782742283359198E-2</v>
      </c>
      <c r="M41">
        <f t="shared" si="5"/>
        <v>0.57399999999999995</v>
      </c>
    </row>
    <row r="42" spans="1:13" x14ac:dyDescent="0.25">
      <c r="A42">
        <v>19</v>
      </c>
      <c r="B42">
        <f t="shared" si="1"/>
        <v>0.33161255787892263</v>
      </c>
      <c r="C42">
        <v>0.86260000000000003</v>
      </c>
      <c r="D42">
        <v>0.23419000000000001</v>
      </c>
      <c r="E42">
        <v>-7.9500000000000001E-2</v>
      </c>
      <c r="F42">
        <f>C42*'Données géométriques'!$B$6/(2+('Données géométriques'!$B$6^2+4)^0.5)</f>
        <v>0.47814178346003672</v>
      </c>
      <c r="G42">
        <f>F42^2/(PI()*'Données géométriques'!$B$6)</f>
        <v>2.2736921919794914E-2</v>
      </c>
      <c r="H42">
        <f t="shared" ref="H42:H44" si="6">G42+D42</f>
        <v>0.25692692191979494</v>
      </c>
      <c r="I42">
        <f t="shared" ref="I42:I44" si="7">0.25-E42/(C42*COS(B42)+D42*SIN(B42))</f>
        <v>0.3391406375572758</v>
      </c>
      <c r="J42">
        <f>XCP_3D('Données géométriques'!$B$9,'Données géométriques'!$B$10,'Données géométriques'!$B$12,'Données géométriques'!$B$11,I42)</f>
        <v>-0.2930898121399298</v>
      </c>
      <c r="K42">
        <f>'5kts'!K42</f>
        <v>1.1514536950961625</v>
      </c>
      <c r="L42">
        <f t="shared" ref="L42:L44" si="8" xml:space="preserve"> -(J42+0.26)</f>
        <v>3.3089812139929786E-2</v>
      </c>
      <c r="M42">
        <f t="shared" ref="M42:M44" si="9">ROUND( A42^3 * -0.00006 + 0.0023*A42^2 + 0.0003*A42 + 0.1609,3)</f>
        <v>0.58499999999999996</v>
      </c>
    </row>
    <row r="43" spans="1:13" x14ac:dyDescent="0.25">
      <c r="A43">
        <v>19.5</v>
      </c>
      <c r="B43">
        <f t="shared" si="1"/>
        <v>0.34033920413889424</v>
      </c>
      <c r="C43">
        <v>0.87509999999999999</v>
      </c>
      <c r="D43">
        <v>0.24396000000000001</v>
      </c>
      <c r="E43">
        <v>-8.4500000000000006E-2</v>
      </c>
      <c r="F43">
        <f>C43*'Données géométriques'!$B$6/(2+('Données géométriques'!$B$6^2+4)^0.5)</f>
        <v>0.48507057118696745</v>
      </c>
      <c r="G43">
        <f>F43^2/(PI()*'Données géométriques'!$B$6)</f>
        <v>2.3400661286915599E-2</v>
      </c>
      <c r="H43">
        <f t="shared" si="6"/>
        <v>0.2673606612869156</v>
      </c>
      <c r="I43">
        <f t="shared" si="7"/>
        <v>0.34323200824784</v>
      </c>
      <c r="J43">
        <f>XCP_3D('Données géométriques'!$B$9,'Données géométriques'!$B$10,'Données géométriques'!$B$12,'Données géométriques'!$B$11,I43)</f>
        <v>-0.29610229023093348</v>
      </c>
      <c r="K43">
        <f>'5kts'!K42</f>
        <v>1.1514536950961625</v>
      </c>
      <c r="L43">
        <f t="shared" si="8"/>
        <v>3.6102290230933476E-2</v>
      </c>
      <c r="M43">
        <f t="shared" si="9"/>
        <v>0.59599999999999997</v>
      </c>
    </row>
    <row r="44" spans="1:13" x14ac:dyDescent="0.25">
      <c r="A44">
        <v>20</v>
      </c>
      <c r="B44">
        <f t="shared" si="1"/>
        <v>0.3490658503988659</v>
      </c>
      <c r="C44">
        <v>0.88990000000000002</v>
      </c>
      <c r="D44">
        <v>0.25181999999999999</v>
      </c>
      <c r="E44">
        <v>-8.9099999999999999E-2</v>
      </c>
      <c r="F44">
        <f>C44*'Données géométriques'!$B$6/(2+('Données géométriques'!$B$6^2+4)^0.5)</f>
        <v>0.49327425585565349</v>
      </c>
      <c r="G44">
        <f>F44^2/(PI()*'Données géométriques'!$B$6)</f>
        <v>2.4198875006104258E-2</v>
      </c>
      <c r="H44">
        <f t="shared" si="6"/>
        <v>0.27601887500610423</v>
      </c>
      <c r="I44">
        <f t="shared" si="7"/>
        <v>0.34660002856207611</v>
      </c>
      <c r="J44">
        <f>XCP_3D('Données géométriques'!$B$9,'Données géométriques'!$B$10,'Données géométriques'!$B$12,'Données géométriques'!$B$11,I44)</f>
        <v>-0.29858216511249697</v>
      </c>
      <c r="K44">
        <f>'5kts'!K42</f>
        <v>1.1514536950961625</v>
      </c>
      <c r="L44">
        <f t="shared" si="8"/>
        <v>3.8582165112496958E-2</v>
      </c>
      <c r="M44">
        <f t="shared" si="9"/>
        <v>0.60699999999999998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F4AE-F25D-40F3-8D98-0BFD38619A9B}">
  <sheetPr codeName="Feuil7"/>
  <dimension ref="A1:M43"/>
  <sheetViews>
    <sheetView workbookViewId="0">
      <selection activeCell="Q7" sqref="Q7"/>
    </sheetView>
  </sheetViews>
  <sheetFormatPr baseColWidth="10" defaultRowHeight="15" x14ac:dyDescent="0.25"/>
  <sheetData>
    <row r="1" spans="1:13" x14ac:dyDescent="0.25">
      <c r="A1">
        <v>35</v>
      </c>
      <c r="C1">
        <f>ROUND(((A1*0.514)/15.6)*1000000,0)</f>
        <v>1153205</v>
      </c>
    </row>
    <row r="2" spans="1:13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23</v>
      </c>
      <c r="J2" t="s">
        <v>24</v>
      </c>
      <c r="K2" t="s">
        <v>26</v>
      </c>
      <c r="L2" t="s">
        <v>25</v>
      </c>
      <c r="M2" t="s">
        <v>11</v>
      </c>
    </row>
    <row r="3" spans="1:13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25">
      <c r="A4">
        <v>0</v>
      </c>
      <c r="B4">
        <f>RADIANS(A4)</f>
        <v>0</v>
      </c>
      <c r="C4">
        <v>1E-4</v>
      </c>
      <c r="D4">
        <v>6.13E-3</v>
      </c>
      <c r="E4">
        <v>0</v>
      </c>
      <c r="F4">
        <f>C4*'Données géométriques'!$B$6/(2+('Données géométriques'!$B$6^2+4)^0.5)</f>
        <v>5.543030181544595E-5</v>
      </c>
      <c r="G4">
        <f>F4^2/(PI()*'Données géométriques'!$B$6)</f>
        <v>3.0557144138605595E-10</v>
      </c>
      <c r="H4">
        <f>G4+D4</f>
        <v>6.1300003055714414E-3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'5kts'!K4</f>
        <v>1.1514536950961625</v>
      </c>
      <c r="L4">
        <f xml:space="preserve"> -(J4+0.26)</f>
        <v>-0.21661959277092063</v>
      </c>
      <c r="M4">
        <f t="shared" ref="M4" si="0">ROUND( A4^3 * - 0.00006 + 0.0023*A4^2 + 0.0003*A4 + 0.1609,3)</f>
        <v>0.161</v>
      </c>
    </row>
    <row r="5" spans="1:13" x14ac:dyDescent="0.25">
      <c r="A5">
        <v>0.5</v>
      </c>
      <c r="B5">
        <f t="shared" ref="B5:B43" si="1">RADIANS(A5)</f>
        <v>8.7266462599716477E-3</v>
      </c>
      <c r="C5">
        <v>5.4399999999999997E-2</v>
      </c>
      <c r="D5">
        <v>6.1500000000000001E-3</v>
      </c>
      <c r="E5">
        <v>2.0000000000000001E-4</v>
      </c>
      <c r="F5">
        <f>C5*'Données géométriques'!$B$6/(2+('Données géométriques'!$B$6^2+4)^0.5)</f>
        <v>3.0154084187602594E-2</v>
      </c>
      <c r="G5">
        <f>F5^2/(PI()*'Données géométriques'!$B$6)</f>
        <v>9.0429590078023835E-5</v>
      </c>
      <c r="H5">
        <f t="shared" ref="H5:H42" si="2">G5+D5</f>
        <v>6.2404295900780242E-3</v>
      </c>
      <c r="I5">
        <f>0.25-E5/(C5*COS(B5)+D5*SIN(B5))</f>
        <v>0.24632701313232022</v>
      </c>
      <c r="J5">
        <f>XCP_3D('Données géométriques'!$B$9,'Données géométriques'!$B$10,'Données géométriques'!$B$12,'Données géométriques'!$B$11,I5)</f>
        <v>-0.22475109847321023</v>
      </c>
      <c r="K5">
        <f>'5kts'!K5</f>
        <v>1.1514536950961625</v>
      </c>
      <c r="L5">
        <f t="shared" ref="L5:L42" si="3" xml:space="preserve"> -(J5+0.26)</f>
        <v>-3.5248901526789778E-2</v>
      </c>
      <c r="M5">
        <f t="shared" ref="M5:M42" si="4">ROUND( A5^3 * -0.00006 + 0.0023*A5^2 + 0.0003*A5 + 0.1609,3)</f>
        <v>0.16200000000000001</v>
      </c>
    </row>
    <row r="6" spans="1:13" x14ac:dyDescent="0.25">
      <c r="A6">
        <v>1</v>
      </c>
      <c r="B6">
        <f t="shared" si="1"/>
        <v>1.7453292519943295E-2</v>
      </c>
      <c r="C6">
        <v>0.1086</v>
      </c>
      <c r="D6">
        <v>6.2500000000000003E-3</v>
      </c>
      <c r="E6">
        <v>5.0000000000000001E-4</v>
      </c>
      <c r="F6">
        <f>C6*'Données géométriques'!$B$6/(2+('Données géométriques'!$B$6^2+4)^0.5)</f>
        <v>6.0197307771574296E-2</v>
      </c>
      <c r="G6">
        <f>F6^2/(PI()*'Données géométriques'!$B$6)</f>
        <v>3.6038973568494875E-4</v>
      </c>
      <c r="H6">
        <f t="shared" si="2"/>
        <v>6.6103897356849491E-3</v>
      </c>
      <c r="I6">
        <f t="shared" ref="I6:I42" si="5">0.25-E6/(C6*COS(B6)+D6*SIN(B6))</f>
        <v>0.24539986817197421</v>
      </c>
      <c r="J6">
        <f>XCP_3D('Données géométriques'!$B$9,'Données géométriques'!$B$10,'Données géométriques'!$B$12,'Données géométriques'!$B$11,I6)</f>
        <v>-0.22406844121933012</v>
      </c>
      <c r="K6">
        <f>'5kts'!K6</f>
        <v>1.1514536950961625</v>
      </c>
      <c r="L6">
        <f t="shared" si="3"/>
        <v>-3.5931558780669892E-2</v>
      </c>
      <c r="M6">
        <f t="shared" si="4"/>
        <v>0.16300000000000001</v>
      </c>
    </row>
    <row r="7" spans="1:13" x14ac:dyDescent="0.25">
      <c r="A7">
        <v>1.5</v>
      </c>
      <c r="B7">
        <f t="shared" si="1"/>
        <v>2.6179938779914945E-2</v>
      </c>
      <c r="C7">
        <v>0.16250000000000001</v>
      </c>
      <c r="D7">
        <v>6.4099999999999999E-3</v>
      </c>
      <c r="E7">
        <v>8.0000000000000004E-4</v>
      </c>
      <c r="F7">
        <f>C7*'Données géométriques'!$B$6/(2+('Données géométriques'!$B$6^2+4)^0.5)</f>
        <v>9.0074240450099666E-2</v>
      </c>
      <c r="G7">
        <f>F7^2/(PI()*'Données géométriques'!$B$6)</f>
        <v>8.0689958741005389E-4</v>
      </c>
      <c r="H7">
        <f t="shared" si="2"/>
        <v>7.2168995874100535E-3</v>
      </c>
      <c r="I7">
        <f t="shared" si="5"/>
        <v>0.24508031719022819</v>
      </c>
      <c r="J7">
        <f>XCP_3D('Données géométriques'!$B$9,'Données géométriques'!$B$10,'Données géométriques'!$B$12,'Données géométriques'!$B$11,I7)</f>
        <v>-0.2238331556868583</v>
      </c>
      <c r="K7">
        <f>'5kts'!K7</f>
        <v>1.1514536950961625</v>
      </c>
      <c r="L7">
        <f t="shared" si="3"/>
        <v>-3.6166844313141711E-2</v>
      </c>
      <c r="M7">
        <f t="shared" si="4"/>
        <v>0.16600000000000001</v>
      </c>
    </row>
    <row r="8" spans="1:13" x14ac:dyDescent="0.25">
      <c r="A8">
        <v>2</v>
      </c>
      <c r="B8">
        <f t="shared" si="1"/>
        <v>3.4906585039886591E-2</v>
      </c>
      <c r="C8">
        <v>0.21590000000000001</v>
      </c>
      <c r="D8">
        <v>6.62E-3</v>
      </c>
      <c r="E8">
        <v>1.1999999999999999E-3</v>
      </c>
      <c r="F8">
        <f>C8*'Données géométriques'!$B$6/(2+('Données géométriques'!$B$6^2+4)^0.5)</f>
        <v>0.11967402161954781</v>
      </c>
      <c r="G8">
        <f>F8^2/(PI()*'Données géométriques'!$B$6)</f>
        <v>1.4243543538754362E-3</v>
      </c>
      <c r="H8">
        <f t="shared" si="2"/>
        <v>8.044354353875436E-3</v>
      </c>
      <c r="I8">
        <f t="shared" si="5"/>
        <v>0.24444443195011575</v>
      </c>
      <c r="J8">
        <f>XCP_3D('Données géométriques'!$B$9,'Données géométriques'!$B$10,'Données géométriques'!$B$12,'Données géométriques'!$B$11,I8)</f>
        <v>-0.22336495309679613</v>
      </c>
      <c r="K8">
        <f>'5kts'!K8</f>
        <v>1.1514536950961625</v>
      </c>
      <c r="L8">
        <f t="shared" si="3"/>
        <v>-3.6635046903203877E-2</v>
      </c>
      <c r="M8">
        <f t="shared" si="4"/>
        <v>0.17</v>
      </c>
    </row>
    <row r="9" spans="1:13" x14ac:dyDescent="0.25">
      <c r="A9">
        <v>2.5</v>
      </c>
      <c r="B9">
        <f t="shared" si="1"/>
        <v>4.3633231299858237E-2</v>
      </c>
      <c r="C9">
        <v>0.26889999999999997</v>
      </c>
      <c r="D9">
        <v>6.8700000000000002E-3</v>
      </c>
      <c r="E9">
        <v>1.8E-3</v>
      </c>
      <c r="F9">
        <f>C9*'Données géométriques'!$B$6/(2+('Données géométriques'!$B$6^2+4)^0.5)</f>
        <v>0.14905208158173414</v>
      </c>
      <c r="G9">
        <f>F9^2/(PI()*'Données géométriques'!$B$6)</f>
        <v>2.209501838230423E-3</v>
      </c>
      <c r="H9">
        <f t="shared" si="2"/>
        <v>9.0795018382304228E-3</v>
      </c>
      <c r="I9">
        <f>0.25-E9/(C9*COS(B9)+D9*SIN(B9))</f>
        <v>0.24330715021025195</v>
      </c>
      <c r="J9">
        <f>XCP_3D('Données géométriques'!$B$9,'Données géométriques'!$B$10,'Données géométriques'!$B$12,'Données géométriques'!$B$11,I9)</f>
        <v>-0.2225275720370597</v>
      </c>
      <c r="K9">
        <f>'5kts'!K9</f>
        <v>1.1514536950961625</v>
      </c>
      <c r="L9">
        <f t="shared" si="3"/>
        <v>-3.7472427962940313E-2</v>
      </c>
      <c r="M9">
        <f t="shared" si="4"/>
        <v>0.17499999999999999</v>
      </c>
    </row>
    <row r="10" spans="1:13" x14ac:dyDescent="0.25">
      <c r="A10">
        <v>3</v>
      </c>
      <c r="B10">
        <f t="shared" si="1"/>
        <v>5.235987755982989E-2</v>
      </c>
      <c r="C10">
        <v>0.32129999999999997</v>
      </c>
      <c r="D10">
        <v>7.1700000000000002E-3</v>
      </c>
      <c r="E10">
        <v>2.5999999999999999E-3</v>
      </c>
      <c r="F10">
        <f>C10*'Données géométriques'!$B$6/(2+('Données géométriques'!$B$6^2+4)^0.5)</f>
        <v>0.17809755973302782</v>
      </c>
      <c r="G10">
        <f>F10^2/(PI()*'Données géométriques'!$B$6)</f>
        <v>3.154526745290126E-3</v>
      </c>
      <c r="H10">
        <f t="shared" si="2"/>
        <v>1.0324526745290125E-2</v>
      </c>
      <c r="I10">
        <f t="shared" si="5"/>
        <v>0.24190623480917328</v>
      </c>
      <c r="J10">
        <f>XCP_3D('Données géométriques'!$B$9,'Données géométriques'!$B$10,'Données géométriques'!$B$12,'Données géométriques'!$B$11,I10)</f>
        <v>-0.22149607739326263</v>
      </c>
      <c r="K10">
        <f>'5kts'!K10</f>
        <v>1.1514536950961625</v>
      </c>
      <c r="L10">
        <f t="shared" si="3"/>
        <v>-3.8503922606737379E-2</v>
      </c>
      <c r="M10">
        <f t="shared" si="4"/>
        <v>0.18099999999999999</v>
      </c>
    </row>
    <row r="11" spans="1:13" x14ac:dyDescent="0.25">
      <c r="A11">
        <v>3.5</v>
      </c>
      <c r="B11">
        <f t="shared" si="1"/>
        <v>6.1086523819801536E-2</v>
      </c>
      <c r="C11">
        <v>0.37330000000000002</v>
      </c>
      <c r="D11">
        <v>7.4900000000000001E-3</v>
      </c>
      <c r="E11">
        <v>3.5000000000000001E-3</v>
      </c>
      <c r="F11">
        <f>C11*'Données géométriques'!$B$6/(2+('Données géométriques'!$B$6^2+4)^0.5)</f>
        <v>0.20692131667705974</v>
      </c>
      <c r="G11">
        <f>F11^2/(PI()*'Données géométriques'!$B$6)</f>
        <v>4.2582263458612497E-3</v>
      </c>
      <c r="H11">
        <f t="shared" si="2"/>
        <v>1.174822634586125E-2</v>
      </c>
      <c r="I11">
        <f t="shared" si="5"/>
        <v>0.24061815562148886</v>
      </c>
      <c r="J11">
        <f>XCP_3D('Données géométriques'!$B$9,'Données géométriques'!$B$10,'Données géométriques'!$B$12,'Données géométriques'!$B$11,I11)</f>
        <v>-0.22054766410445412</v>
      </c>
      <c r="K11">
        <f>'5kts'!K11</f>
        <v>1.1514536950961625</v>
      </c>
      <c r="L11">
        <f t="shared" si="3"/>
        <v>-3.9452335895545892E-2</v>
      </c>
      <c r="M11">
        <f t="shared" si="4"/>
        <v>0.188</v>
      </c>
    </row>
    <row r="12" spans="1:13" x14ac:dyDescent="0.25">
      <c r="A12">
        <v>4</v>
      </c>
      <c r="B12">
        <f t="shared" si="1"/>
        <v>6.9813170079773182E-2</v>
      </c>
      <c r="C12">
        <v>0.42730000000000001</v>
      </c>
      <c r="D12">
        <v>7.8600000000000007E-3</v>
      </c>
      <c r="E12">
        <v>4.0000000000000001E-3</v>
      </c>
      <c r="F12">
        <f>C12*'Données géométriques'!$B$6/(2+('Données géométriques'!$B$6^2+4)^0.5)</f>
        <v>0.23685367965740056</v>
      </c>
      <c r="G12">
        <f>F12^2/(PI()*'Données géométriques'!$B$6)</f>
        <v>5.5792850241191032E-3</v>
      </c>
      <c r="H12">
        <f t="shared" si="2"/>
        <v>1.3439285024119105E-2</v>
      </c>
      <c r="I12">
        <f t="shared" si="5"/>
        <v>0.24062809136564323</v>
      </c>
      <c r="J12">
        <f>XCP_3D('Données géométriques'!$B$9,'Données géométriques'!$B$10,'Données géométriques'!$B$12,'Données géométriques'!$B$11,I12)</f>
        <v>-0.22055497979737068</v>
      </c>
      <c r="K12">
        <f>'5kts'!K12</f>
        <v>1.1514536950961625</v>
      </c>
      <c r="L12">
        <f t="shared" si="3"/>
        <v>-3.9445020202629327E-2</v>
      </c>
      <c r="M12">
        <f t="shared" si="4"/>
        <v>0.19500000000000001</v>
      </c>
    </row>
    <row r="13" spans="1:13" x14ac:dyDescent="0.25">
      <c r="A13">
        <v>4.5</v>
      </c>
      <c r="B13">
        <f t="shared" si="1"/>
        <v>7.8539816339744828E-2</v>
      </c>
      <c r="C13">
        <v>0.48649999999999999</v>
      </c>
      <c r="D13">
        <v>8.26E-3</v>
      </c>
      <c r="E13">
        <v>3.3E-3</v>
      </c>
      <c r="F13">
        <f>C13*'Données géométriques'!$B$6/(2+('Données géométriques'!$B$6^2+4)^0.5)</f>
        <v>0.26966841833214455</v>
      </c>
      <c r="G13">
        <f>F13^2/(PI()*'Données géométriques'!$B$6)</f>
        <v>7.232333628299485E-3</v>
      </c>
      <c r="H13">
        <f t="shared" si="2"/>
        <v>1.5492333628299486E-2</v>
      </c>
      <c r="I13">
        <f t="shared" si="5"/>
        <v>0.24320495999609598</v>
      </c>
      <c r="J13">
        <f>XCP_3D('Données géométriques'!$B$9,'Données géométriques'!$B$10,'Données géométriques'!$B$12,'Données géométriques'!$B$11,I13)</f>
        <v>-0.22245232933612979</v>
      </c>
      <c r="K13">
        <f>'5kts'!K13</f>
        <v>1.1514536950961625</v>
      </c>
      <c r="L13">
        <f t="shared" si="3"/>
        <v>-3.7547670663870214E-2</v>
      </c>
      <c r="M13">
        <f t="shared" si="4"/>
        <v>0.20300000000000001</v>
      </c>
    </row>
    <row r="14" spans="1:13" x14ac:dyDescent="0.25">
      <c r="A14">
        <v>5</v>
      </c>
      <c r="B14">
        <f t="shared" si="1"/>
        <v>8.7266462599716474E-2</v>
      </c>
      <c r="C14">
        <v>0.54810000000000003</v>
      </c>
      <c r="D14">
        <v>8.6999999999999994E-3</v>
      </c>
      <c r="E14">
        <v>1.9E-3</v>
      </c>
      <c r="F14">
        <f>C14*'Données géométriques'!$B$6/(2+('Données géométriques'!$B$6^2+4)^0.5)</f>
        <v>0.30381348425045929</v>
      </c>
      <c r="G14">
        <f>F14^2/(PI()*'Données géométriques'!$B$6)</f>
        <v>9.1797819819688497E-3</v>
      </c>
      <c r="H14">
        <f t="shared" si="2"/>
        <v>1.7879781981968851E-2</v>
      </c>
      <c r="I14">
        <f t="shared" si="5"/>
        <v>0.2465250634216643</v>
      </c>
      <c r="J14">
        <f>XCP_3D('Données géométriques'!$B$9,'Données géométriques'!$B$10,'Données géométriques'!$B$12,'Données géométriques'!$B$11,I14)</f>
        <v>-0.22489692299088346</v>
      </c>
      <c r="K14">
        <f>'5kts'!K14</f>
        <v>1.1514536950961625</v>
      </c>
      <c r="L14">
        <f t="shared" si="3"/>
        <v>-3.5103077009116551E-2</v>
      </c>
      <c r="M14">
        <f t="shared" si="4"/>
        <v>0.21199999999999999</v>
      </c>
    </row>
    <row r="15" spans="1:13" x14ac:dyDescent="0.25">
      <c r="A15">
        <v>5.5</v>
      </c>
      <c r="B15">
        <f t="shared" si="1"/>
        <v>9.599310885968812E-2</v>
      </c>
      <c r="C15">
        <v>0.61040000000000005</v>
      </c>
      <c r="D15">
        <v>9.1599999999999997E-3</v>
      </c>
      <c r="E15">
        <v>2.9999999999999997E-4</v>
      </c>
      <c r="F15">
        <f>C15*'Données géométriques'!$B$6/(2+('Données géométriques'!$B$6^2+4)^0.5)</f>
        <v>0.33834656228148213</v>
      </c>
      <c r="G15">
        <f>F15^2/(PI()*'Données géométriques'!$B$6)</f>
        <v>1.1385230109457847E-2</v>
      </c>
      <c r="H15">
        <f t="shared" si="2"/>
        <v>2.0545230109457847E-2</v>
      </c>
      <c r="I15">
        <f t="shared" si="5"/>
        <v>0.24950695828666958</v>
      </c>
      <c r="J15">
        <f>XCP_3D('Données géométriques'!$B$9,'Données géométriques'!$B$10,'Données géométriques'!$B$12,'Données géométriques'!$B$11,I15)</f>
        <v>-0.22709249352943675</v>
      </c>
      <c r="K15">
        <f>'5kts'!K15</f>
        <v>1.1514536950961625</v>
      </c>
      <c r="L15">
        <f t="shared" si="3"/>
        <v>-3.2907506470563258E-2</v>
      </c>
      <c r="M15">
        <f t="shared" si="4"/>
        <v>0.222</v>
      </c>
    </row>
    <row r="16" spans="1:13" x14ac:dyDescent="0.25">
      <c r="A16">
        <v>6.5</v>
      </c>
      <c r="B16">
        <f t="shared" si="1"/>
        <v>0.11344640137963143</v>
      </c>
      <c r="C16">
        <v>0.72960000000000003</v>
      </c>
      <c r="D16">
        <v>1.014E-2</v>
      </c>
      <c r="E16">
        <v>-1.8E-3</v>
      </c>
      <c r="F16">
        <f>C16*'Données géométriques'!$B$6/(2+('Données géométriques'!$B$6^2+4)^0.5)</f>
        <v>0.40441948204549366</v>
      </c>
      <c r="G16">
        <f>F16^2/(PI()*'Données géométriques'!$B$6)</f>
        <v>1.626606162842904E-2</v>
      </c>
      <c r="H16">
        <f t="shared" si="2"/>
        <v>2.6406061628429039E-2</v>
      </c>
      <c r="I16">
        <f t="shared" si="5"/>
        <v>0.25247914110419051</v>
      </c>
      <c r="J16">
        <f>XCP_3D('Données géométriques'!$B$9,'Données géométriques'!$B$10,'Données géométriques'!$B$12,'Données géométriques'!$B$11,I16)</f>
        <v>-0.22928091308303156</v>
      </c>
      <c r="K16">
        <f>'5kts'!K16</f>
        <v>1.1514536950961625</v>
      </c>
      <c r="L16">
        <f t="shared" si="3"/>
        <v>-3.0719086916968452E-2</v>
      </c>
      <c r="M16">
        <f t="shared" si="4"/>
        <v>0.24399999999999999</v>
      </c>
    </row>
    <row r="17" spans="1:13" x14ac:dyDescent="0.25">
      <c r="A17">
        <v>7</v>
      </c>
      <c r="B17">
        <f t="shared" si="1"/>
        <v>0.12217304763960307</v>
      </c>
      <c r="C17">
        <v>0.77849999999999997</v>
      </c>
      <c r="D17">
        <v>1.0710000000000001E-2</v>
      </c>
      <c r="E17">
        <v>-5.0000000000000001E-4</v>
      </c>
      <c r="F17">
        <f>C17*'Données géométriques'!$B$6/(2+('Données géométriques'!$B$6^2+4)^0.5)</f>
        <v>0.43152489963324669</v>
      </c>
      <c r="G17">
        <f>F17^2/(PI()*'Données géométriques'!$B$6)</f>
        <v>1.8519531530217615E-2</v>
      </c>
      <c r="H17">
        <f t="shared" si="2"/>
        <v>2.9229531530217616E-2</v>
      </c>
      <c r="I17">
        <f t="shared" si="5"/>
        <v>0.25064599282919597</v>
      </c>
      <c r="J17">
        <f>XCP_3D('Données géométriques'!$B$9,'Données géométriques'!$B$10,'Données géométriques'!$B$12,'Données géométriques'!$B$11,I17)</f>
        <v>-0.22793116517856613</v>
      </c>
      <c r="K17">
        <f>'5kts'!K17</f>
        <v>1.1514536950961625</v>
      </c>
      <c r="L17">
        <f t="shared" si="3"/>
        <v>-3.2068834821433884E-2</v>
      </c>
      <c r="M17">
        <f t="shared" si="4"/>
        <v>0.255</v>
      </c>
    </row>
    <row r="18" spans="1:13" x14ac:dyDescent="0.25">
      <c r="A18">
        <v>7.5</v>
      </c>
      <c r="B18">
        <f t="shared" si="1"/>
        <v>0.1308996938995747</v>
      </c>
      <c r="C18">
        <v>0.82840000000000003</v>
      </c>
      <c r="D18">
        <v>1.125E-2</v>
      </c>
      <c r="E18">
        <v>5.0000000000000001E-4</v>
      </c>
      <c r="F18">
        <f>C18*'Données géométriques'!$B$6/(2+('Données géométriques'!$B$6^2+4)^0.5)</f>
        <v>0.45918462023915424</v>
      </c>
      <c r="G18">
        <f>F18^2/(PI()*'Données géométriques'!$B$6)</f>
        <v>2.096973504854225E-2</v>
      </c>
      <c r="H18">
        <f t="shared" si="2"/>
        <v>3.2219735048542253E-2</v>
      </c>
      <c r="I18">
        <f t="shared" si="5"/>
        <v>0.24939230513141736</v>
      </c>
      <c r="J18">
        <f>XCP_3D('Données géométriques'!$B$9,'Données géométriques'!$B$10,'Données géométriques'!$B$12,'Données géométriques'!$B$11,I18)</f>
        <v>-0.2270080743593379</v>
      </c>
      <c r="K18">
        <f>'5kts'!K18</f>
        <v>1.1514536950961625</v>
      </c>
      <c r="L18">
        <f t="shared" si="3"/>
        <v>-3.2991925640662112E-2</v>
      </c>
      <c r="M18">
        <f t="shared" si="4"/>
        <v>0.26700000000000002</v>
      </c>
    </row>
    <row r="19" spans="1:13" x14ac:dyDescent="0.25">
      <c r="A19">
        <v>8</v>
      </c>
      <c r="B19">
        <f t="shared" si="1"/>
        <v>0.13962634015954636</v>
      </c>
      <c r="C19">
        <v>0.87829999999999997</v>
      </c>
      <c r="D19">
        <v>1.1900000000000001E-2</v>
      </c>
      <c r="E19">
        <v>1.5E-3</v>
      </c>
      <c r="F19">
        <f>C19*'Données géométriques'!$B$6/(2+('Données géométriques'!$B$6^2+4)^0.5)</f>
        <v>0.48684434084506173</v>
      </c>
      <c r="G19">
        <f>F19^2/(PI()*'Données géométriques'!$B$6)</f>
        <v>2.3572113755820016E-2</v>
      </c>
      <c r="H19">
        <f t="shared" si="2"/>
        <v>3.5472113755820017E-2</v>
      </c>
      <c r="I19">
        <f t="shared" si="5"/>
        <v>0.2482786490838523</v>
      </c>
      <c r="J19">
        <f>XCP_3D('Données géométriques'!$B$9,'Données géométriques'!$B$10,'Données géométriques'!$B$12,'Données géométriques'!$B$11,I19)</f>
        <v>-0.22618808890753359</v>
      </c>
      <c r="K19">
        <f>'5kts'!K19</f>
        <v>1.1514536950961625</v>
      </c>
      <c r="L19">
        <f t="shared" si="3"/>
        <v>-3.3811911092466423E-2</v>
      </c>
      <c r="M19">
        <f t="shared" si="4"/>
        <v>0.28000000000000003</v>
      </c>
    </row>
    <row r="20" spans="1:13" x14ac:dyDescent="0.25">
      <c r="A20">
        <v>8.5</v>
      </c>
      <c r="B20">
        <f t="shared" si="1"/>
        <v>0.14835298641951802</v>
      </c>
      <c r="C20">
        <v>0.92800000000000005</v>
      </c>
      <c r="D20">
        <v>1.264E-2</v>
      </c>
      <c r="E20">
        <v>2.3999999999999998E-3</v>
      </c>
      <c r="F20">
        <f>C20*'Données géométriques'!$B$6/(2+('Données géométriques'!$B$6^2+4)^0.5)</f>
        <v>0.51439320084733842</v>
      </c>
      <c r="G20">
        <f>F20^2/(PI()*'Données géométriques'!$B$6)</f>
        <v>2.631532361786092E-2</v>
      </c>
      <c r="H20">
        <f t="shared" si="2"/>
        <v>3.8955323617860922E-2</v>
      </c>
      <c r="I20">
        <f t="shared" si="5"/>
        <v>0.2473903825633145</v>
      </c>
      <c r="J20">
        <f>XCP_3D('Données géométriques'!$B$9,'Données géométriques'!$B$10,'Données géométriques'!$B$12,'Données géométriques'!$B$11,I20)</f>
        <v>-0.22553405786647804</v>
      </c>
      <c r="K20">
        <f>'5kts'!K20</f>
        <v>1.1514536950961625</v>
      </c>
      <c r="L20">
        <f t="shared" si="3"/>
        <v>-3.4465942133521971E-2</v>
      </c>
      <c r="M20">
        <f t="shared" si="4"/>
        <v>0.29299999999999998</v>
      </c>
    </row>
    <row r="21" spans="1:13" x14ac:dyDescent="0.25">
      <c r="A21">
        <v>9</v>
      </c>
      <c r="B21">
        <f t="shared" si="1"/>
        <v>0.15707963267948966</v>
      </c>
      <c r="C21">
        <v>0.97789999999999999</v>
      </c>
      <c r="D21">
        <v>1.337E-2</v>
      </c>
      <c r="E21">
        <v>3.2000000000000002E-3</v>
      </c>
      <c r="F21">
        <f>C21*'Données géométriques'!$B$6/(2+('Données géométriques'!$B$6^2+4)^0.5)</f>
        <v>0.54205292145324591</v>
      </c>
      <c r="G21">
        <f>F21^2/(PI()*'Données géométriques'!$B$6)</f>
        <v>2.9221442782447954E-2</v>
      </c>
      <c r="H21">
        <f t="shared" si="2"/>
        <v>4.2591442782447954E-2</v>
      </c>
      <c r="I21">
        <f t="shared" si="5"/>
        <v>0.24669405079803644</v>
      </c>
      <c r="J21">
        <f>XCP_3D('Données géométriques'!$B$9,'Données géométriques'!$B$10,'Données géométriques'!$B$12,'Données géométriques'!$B$11,I21)</f>
        <v>-0.22502134847257968</v>
      </c>
      <c r="K21">
        <f>'5kts'!K21</f>
        <v>1.1514536950961625</v>
      </c>
      <c r="L21">
        <f t="shared" si="3"/>
        <v>-3.4978651527420329E-2</v>
      </c>
      <c r="M21">
        <f t="shared" si="4"/>
        <v>0.30599999999999999</v>
      </c>
    </row>
    <row r="22" spans="1:13" x14ac:dyDescent="0.25">
      <c r="A22">
        <v>9.5</v>
      </c>
      <c r="B22">
        <f t="shared" si="1"/>
        <v>0.16580627893946132</v>
      </c>
      <c r="C22">
        <v>1.0270999999999999</v>
      </c>
      <c r="D22">
        <v>1.418E-2</v>
      </c>
      <c r="E22">
        <v>4.1000000000000003E-3</v>
      </c>
      <c r="F22">
        <f>C22*'Données géométriques'!$B$6/(2+('Données géométriques'!$B$6^2+4)^0.5)</f>
        <v>0.56932462994644528</v>
      </c>
      <c r="G22">
        <f>F22^2/(PI()*'Données géométriques'!$B$6)</f>
        <v>3.2235782823144842E-2</v>
      </c>
      <c r="H22">
        <f t="shared" si="2"/>
        <v>4.641578282314484E-2</v>
      </c>
      <c r="I22">
        <f t="shared" si="5"/>
        <v>0.24596200071854996</v>
      </c>
      <c r="J22">
        <f>XCP_3D('Données géométriques'!$B$9,'Données géométriques'!$B$10,'Données géométriques'!$B$12,'Données géométriques'!$B$11,I22)</f>
        <v>-0.22448233966776707</v>
      </c>
      <c r="K22">
        <f>'5kts'!K22</f>
        <v>1.1514536950961625</v>
      </c>
      <c r="L22">
        <f t="shared" si="3"/>
        <v>-3.5517660332232942E-2</v>
      </c>
      <c r="M22">
        <f t="shared" si="4"/>
        <v>0.32</v>
      </c>
    </row>
    <row r="23" spans="1:13" x14ac:dyDescent="0.25">
      <c r="A23">
        <v>10</v>
      </c>
      <c r="B23">
        <f t="shared" si="1"/>
        <v>0.17453292519943295</v>
      </c>
      <c r="C23">
        <v>1.0748</v>
      </c>
      <c r="D23">
        <v>1.5219999999999999E-2</v>
      </c>
      <c r="E23">
        <v>5.1000000000000004E-3</v>
      </c>
      <c r="F23">
        <f>C23*'Données géométriques'!$B$6/(2+('Données géométriques'!$B$6^2+4)^0.5)</f>
        <v>0.595764883912413</v>
      </c>
      <c r="G23">
        <f>F23^2/(PI()*'Données géométriques'!$B$6)</f>
        <v>3.5299461345482244E-2</v>
      </c>
      <c r="H23">
        <f t="shared" si="2"/>
        <v>5.0519461345482242E-2</v>
      </c>
      <c r="I23">
        <f t="shared" si="5"/>
        <v>0.24519373171330974</v>
      </c>
      <c r="J23">
        <f>XCP_3D('Données géométriques'!$B$9,'Données géométriques'!$B$10,'Données géométriques'!$B$12,'Données géométriques'!$B$11,I23)</f>
        <v>-0.22391666285153011</v>
      </c>
      <c r="K23">
        <f>'5kts'!K23</f>
        <v>1.1514536950961625</v>
      </c>
      <c r="L23">
        <f t="shared" si="3"/>
        <v>-3.6083337148469896E-2</v>
      </c>
      <c r="M23">
        <f t="shared" si="4"/>
        <v>0.33400000000000002</v>
      </c>
    </row>
    <row r="24" spans="1:13" x14ac:dyDescent="0.25">
      <c r="A24">
        <v>10.5</v>
      </c>
      <c r="B24">
        <f t="shared" si="1"/>
        <v>0.18325957145940461</v>
      </c>
      <c r="C24">
        <v>1.1224000000000001</v>
      </c>
      <c r="D24">
        <v>1.6199999999999999E-2</v>
      </c>
      <c r="E24">
        <v>6.0000000000000001E-3</v>
      </c>
      <c r="F24">
        <f>C24*'Données géométriques'!$B$6/(2+('Données géométriques'!$B$6^2+4)^0.5)</f>
        <v>0.62214970757656529</v>
      </c>
      <c r="G24">
        <f>F24^2/(PI()*'Données géométriques'!$B$6)</f>
        <v>3.8495332823506229E-2</v>
      </c>
      <c r="H24">
        <f t="shared" si="2"/>
        <v>5.4695332823506228E-2</v>
      </c>
      <c r="I24">
        <f t="shared" si="5"/>
        <v>0.24457777849668627</v>
      </c>
      <c r="J24">
        <f>XCP_3D('Données géométriques'!$B$9,'Données géométriques'!$B$10,'Données géométriques'!$B$12,'Données géométriques'!$B$11,I24)</f>
        <v>-0.2234631362193816</v>
      </c>
      <c r="K24">
        <f>'5kts'!K24</f>
        <v>1.1514536950961625</v>
      </c>
      <c r="L24">
        <f t="shared" si="3"/>
        <v>-3.6536863780618406E-2</v>
      </c>
      <c r="M24">
        <f t="shared" si="4"/>
        <v>0.34799999999999998</v>
      </c>
    </row>
    <row r="25" spans="1:13" x14ac:dyDescent="0.25">
      <c r="A25">
        <v>11</v>
      </c>
      <c r="B25">
        <f t="shared" si="1"/>
        <v>0.19198621771937624</v>
      </c>
      <c r="C25">
        <v>1.1687000000000001</v>
      </c>
      <c r="D25">
        <v>1.729E-2</v>
      </c>
      <c r="E25">
        <v>7.1000000000000004E-3</v>
      </c>
      <c r="F25">
        <f>C25*'Données géométriques'!$B$6/(2+('Données géométriques'!$B$6^2+4)^0.5)</f>
        <v>0.64781393731711678</v>
      </c>
      <c r="G25">
        <f>F25^2/(PI()*'Données géométriques'!$B$6)</f>
        <v>4.1736771420441153E-2</v>
      </c>
      <c r="H25">
        <f t="shared" si="2"/>
        <v>5.9026771420441153E-2</v>
      </c>
      <c r="I25">
        <f t="shared" si="5"/>
        <v>0.24382891372629234</v>
      </c>
      <c r="J25">
        <f>XCP_3D('Données géométriques'!$B$9,'Données géométriques'!$B$10,'Données géométriques'!$B$12,'Données géométriques'!$B$11,I25)</f>
        <v>-0.22291174675004277</v>
      </c>
      <c r="K25">
        <f>'5kts'!K25</f>
        <v>1.1514536950961625</v>
      </c>
      <c r="L25">
        <f t="shared" si="3"/>
        <v>-3.7088253249957237E-2</v>
      </c>
      <c r="M25">
        <f t="shared" si="4"/>
        <v>0.36299999999999999</v>
      </c>
    </row>
    <row r="26" spans="1:13" x14ac:dyDescent="0.25">
      <c r="A26">
        <v>11.5</v>
      </c>
      <c r="B26">
        <f t="shared" si="1"/>
        <v>0.2007128639793479</v>
      </c>
      <c r="C26">
        <v>1.2137</v>
      </c>
      <c r="D26">
        <v>1.8489999999999999E-2</v>
      </c>
      <c r="E26">
        <v>8.3000000000000001E-3</v>
      </c>
      <c r="F26">
        <f>C26*'Données géométriques'!$B$6/(2+('Données géométriques'!$B$6^2+4)^0.5)</f>
        <v>0.67275757313406748</v>
      </c>
      <c r="G26">
        <f>F26^2/(PI()*'Données géométriques'!$B$6)</f>
        <v>4.5012741729252778E-2</v>
      </c>
      <c r="H26">
        <f t="shared" si="2"/>
        <v>6.3502741729252771E-2</v>
      </c>
      <c r="I26">
        <f t="shared" si="5"/>
        <v>0.24304287141036479</v>
      </c>
      <c r="J26">
        <f>XCP_3D('Données géométriques'!$B$9,'Données géométriques'!$B$10,'Données géométriques'!$B$12,'Données géométriques'!$B$11,I26)</f>
        <v>-0.22233298343710228</v>
      </c>
      <c r="K26">
        <f>'5kts'!K26</f>
        <v>1.1514536950961625</v>
      </c>
      <c r="L26">
        <f t="shared" si="3"/>
        <v>-3.7667016562897726E-2</v>
      </c>
      <c r="M26">
        <f t="shared" si="4"/>
        <v>0.377</v>
      </c>
    </row>
    <row r="27" spans="1:13" x14ac:dyDescent="0.25">
      <c r="A27">
        <v>12</v>
      </c>
      <c r="B27">
        <f t="shared" si="1"/>
        <v>0.20943951023931956</v>
      </c>
      <c r="C27">
        <v>1.2567999999999999</v>
      </c>
      <c r="D27">
        <v>1.9810000000000001E-2</v>
      </c>
      <c r="E27">
        <v>9.5999999999999992E-3</v>
      </c>
      <c r="F27">
        <f>C27*'Données géométriques'!$B$6/(2+('Données géométriques'!$B$6^2+4)^0.5)</f>
        <v>0.69664803321652469</v>
      </c>
      <c r="G27">
        <f>F27^2/(PI()*'Données géométriques'!$B$6)</f>
        <v>4.8266422129272499E-2</v>
      </c>
      <c r="H27">
        <f t="shared" si="2"/>
        <v>6.8076422129272507E-2</v>
      </c>
      <c r="I27">
        <f t="shared" si="5"/>
        <v>0.24221698169834674</v>
      </c>
      <c r="J27">
        <f>XCP_3D('Données géométriques'!$B$9,'Données géométriques'!$B$10,'Données géométriques'!$B$12,'Données géométriques'!$B$11,I27)</f>
        <v>-0.2217248804683904</v>
      </c>
      <c r="K27">
        <f>'5kts'!K27</f>
        <v>1.1514536950961625</v>
      </c>
      <c r="L27">
        <f t="shared" si="3"/>
        <v>-3.8275119531609614E-2</v>
      </c>
      <c r="M27">
        <f t="shared" si="4"/>
        <v>0.39200000000000002</v>
      </c>
    </row>
    <row r="28" spans="1:13" x14ac:dyDescent="0.25">
      <c r="A28">
        <v>12.5</v>
      </c>
      <c r="B28">
        <f t="shared" si="1"/>
        <v>0.21816615649929119</v>
      </c>
      <c r="C28">
        <v>1.2972999999999999</v>
      </c>
      <c r="D28">
        <v>2.1319999999999999E-2</v>
      </c>
      <c r="E28">
        <v>1.11E-2</v>
      </c>
      <c r="F28">
        <f>C28*'Données géométriques'!$B$6/(2+('Données géométriques'!$B$6^2+4)^0.5)</f>
        <v>0.71909730545178019</v>
      </c>
      <c r="G28">
        <f>F28^2/(PI()*'Données géométriques'!$B$6)</f>
        <v>5.1427285203971197E-2</v>
      </c>
      <c r="H28">
        <f t="shared" si="2"/>
        <v>7.2747285203971196E-2</v>
      </c>
      <c r="I28">
        <f t="shared" si="5"/>
        <v>0.24126784105767898</v>
      </c>
      <c r="J28">
        <f>XCP_3D('Données géométriques'!$B$9,'Données géométriques'!$B$10,'Données géométriques'!$B$12,'Données géométriques'!$B$11,I28)</f>
        <v>-0.22102602778513389</v>
      </c>
      <c r="K28">
        <f>'5kts'!K28</f>
        <v>1.1514536950961625</v>
      </c>
      <c r="L28">
        <f t="shared" si="3"/>
        <v>-3.8973972214866121E-2</v>
      </c>
      <c r="M28">
        <f t="shared" si="4"/>
        <v>0.40699999999999997</v>
      </c>
    </row>
    <row r="29" spans="1:13" x14ac:dyDescent="0.25">
      <c r="A29">
        <v>13</v>
      </c>
      <c r="B29">
        <f t="shared" si="1"/>
        <v>0.22689280275926285</v>
      </c>
      <c r="C29">
        <v>1.3329</v>
      </c>
      <c r="D29">
        <v>2.324E-2</v>
      </c>
      <c r="E29">
        <v>1.2999999999999999E-2</v>
      </c>
      <c r="F29">
        <f>C29*'Données géométriques'!$B$6/(2+('Données géométriques'!$B$6^2+4)^0.5)</f>
        <v>0.73883049289807901</v>
      </c>
      <c r="G29">
        <f>F29^2/(PI()*'Données géométriques'!$B$6)</f>
        <v>5.4288507062246825E-2</v>
      </c>
      <c r="H29">
        <f t="shared" si="2"/>
        <v>7.7528507062246829E-2</v>
      </c>
      <c r="I29">
        <f t="shared" si="5"/>
        <v>0.24003041277687537</v>
      </c>
      <c r="J29">
        <f>XCP_3D('Données géométriques'!$B$9,'Données géométriques'!$B$10,'Données géométriques'!$B$12,'Données géométriques'!$B$11,I29)</f>
        <v>-0.22011490878198292</v>
      </c>
      <c r="K29">
        <f>'5kts'!K29</f>
        <v>1.1514536950961625</v>
      </c>
      <c r="L29">
        <f t="shared" si="3"/>
        <v>-3.9885091218017088E-2</v>
      </c>
      <c r="M29">
        <f t="shared" si="4"/>
        <v>0.42199999999999999</v>
      </c>
    </row>
    <row r="30" spans="1:13" x14ac:dyDescent="0.25">
      <c r="A30">
        <v>13.5</v>
      </c>
      <c r="B30">
        <f t="shared" si="1"/>
        <v>0.23561944901923448</v>
      </c>
      <c r="C30">
        <v>1.3643000000000001</v>
      </c>
      <c r="D30">
        <v>2.5329999999999998E-2</v>
      </c>
      <c r="E30">
        <v>1.5299999999999999E-2</v>
      </c>
      <c r="F30">
        <f>C30*'Données géométriques'!$B$6/(2+('Données géométriques'!$B$6^2+4)^0.5)</f>
        <v>0.75623560766812914</v>
      </c>
      <c r="G30">
        <f>F30^2/(PI()*'Données géométriques'!$B$6)</f>
        <v>5.6876455158205164E-2</v>
      </c>
      <c r="H30">
        <f t="shared" si="2"/>
        <v>8.2206455158205155E-2</v>
      </c>
      <c r="I30">
        <f t="shared" si="5"/>
        <v>0.23851797403462555</v>
      </c>
      <c r="J30">
        <f>XCP_3D('Données géométriques'!$B$9,'Données géométriques'!$B$10,'Données géométriques'!$B$12,'Données géométriques'!$B$11,I30)</f>
        <v>-0.21900129945161309</v>
      </c>
      <c r="K30">
        <f>'5kts'!K30</f>
        <v>1.1514536950961625</v>
      </c>
      <c r="L30">
        <f t="shared" si="3"/>
        <v>-4.0998700548386918E-2</v>
      </c>
      <c r="M30">
        <f t="shared" si="4"/>
        <v>0.437</v>
      </c>
    </row>
    <row r="31" spans="1:13" x14ac:dyDescent="0.25">
      <c r="A31">
        <v>14</v>
      </c>
      <c r="B31">
        <f t="shared" si="1"/>
        <v>0.24434609527920614</v>
      </c>
      <c r="C31">
        <v>1.3925000000000001</v>
      </c>
      <c r="D31">
        <v>2.741E-2</v>
      </c>
      <c r="E31">
        <v>1.78E-2</v>
      </c>
      <c r="F31">
        <f>C31*'Données géométriques'!$B$6/(2+('Données géométriques'!$B$6^2+4)^0.5)</f>
        <v>0.77186695278008488</v>
      </c>
      <c r="G31">
        <f>F31^2/(PI()*'Données géométriques'!$B$6)</f>
        <v>5.9252021324114043E-2</v>
      </c>
      <c r="H31">
        <f t="shared" si="2"/>
        <v>8.6662021324114047E-2</v>
      </c>
      <c r="I31">
        <f t="shared" si="5"/>
        <v>0.23689024811350706</v>
      </c>
      <c r="J31">
        <f>XCP_3D('Données géométriques'!$B$9,'Données géométriques'!$B$10,'Données géométriques'!$B$12,'Données géométriques'!$B$11,I31)</f>
        <v>-0.21780280411926911</v>
      </c>
      <c r="K31">
        <f>'5kts'!K31</f>
        <v>1.1514536950961625</v>
      </c>
      <c r="L31">
        <f t="shared" si="3"/>
        <v>-4.2197195880730898E-2</v>
      </c>
      <c r="M31">
        <f t="shared" si="4"/>
        <v>0.45100000000000001</v>
      </c>
    </row>
    <row r="32" spans="1:13" x14ac:dyDescent="0.25">
      <c r="A32">
        <v>14.5</v>
      </c>
      <c r="B32">
        <f t="shared" si="1"/>
        <v>0.2530727415391778</v>
      </c>
      <c r="C32">
        <v>1.4076</v>
      </c>
      <c r="D32">
        <v>2.9860000000000001E-2</v>
      </c>
      <c r="E32">
        <v>2.1600000000000001E-2</v>
      </c>
      <c r="F32">
        <f>C32*'Données géométriques'!$B$6/(2+('Données géométriques'!$B$6^2+4)^0.5)</f>
        <v>0.7802369283542171</v>
      </c>
      <c r="G32">
        <f>F32^2/(PI()*'Données géométriques'!$B$6)</f>
        <v>6.0544023519581922E-2</v>
      </c>
      <c r="H32">
        <f t="shared" si="2"/>
        <v>9.0404023519581919E-2</v>
      </c>
      <c r="I32">
        <f t="shared" si="5"/>
        <v>0.23423634926733808</v>
      </c>
      <c r="J32">
        <f>XCP_3D('Données géométriques'!$B$9,'Données géométriques'!$B$10,'Données géométriques'!$B$12,'Données géométriques'!$B$11,I32)</f>
        <v>-0.21584873719781886</v>
      </c>
      <c r="K32">
        <f>'5kts'!K32</f>
        <v>1.1514536950961625</v>
      </c>
      <c r="L32">
        <f t="shared" si="3"/>
        <v>-4.4151262802181152E-2</v>
      </c>
      <c r="M32">
        <f t="shared" si="4"/>
        <v>0.46600000000000003</v>
      </c>
    </row>
    <row r="33" spans="1:13" x14ac:dyDescent="0.25">
      <c r="A33">
        <v>15</v>
      </c>
      <c r="B33">
        <f t="shared" si="1"/>
        <v>0.26179938779914941</v>
      </c>
      <c r="C33">
        <v>1.4118999999999999</v>
      </c>
      <c r="D33">
        <v>3.3239999999999999E-2</v>
      </c>
      <c r="E33">
        <v>2.4899999999999999E-2</v>
      </c>
      <c r="F33">
        <f>C33*'Données géométriques'!$B$6/(2+('Données géométriques'!$B$6^2+4)^0.5)</f>
        <v>0.78262043133228132</v>
      </c>
      <c r="G33">
        <f>F33^2/(PI()*'Données géométriques'!$B$6)</f>
        <v>6.0914493751546755E-2</v>
      </c>
      <c r="H33">
        <f t="shared" si="2"/>
        <v>9.4154493751546747E-2</v>
      </c>
      <c r="I33">
        <f t="shared" si="5"/>
        <v>0.2318565198620802</v>
      </c>
      <c r="J33">
        <f>XCP_3D('Données géométriques'!$B$9,'Données géométriques'!$B$10,'Données géométriques'!$B$12,'Données géométriques'!$B$11,I33)</f>
        <v>-0.21409646772974167</v>
      </c>
      <c r="K33">
        <f>'5kts'!K33</f>
        <v>1.1514536950961625</v>
      </c>
      <c r="L33">
        <f t="shared" si="3"/>
        <v>-4.590353227025834E-2</v>
      </c>
      <c r="M33">
        <f t="shared" si="4"/>
        <v>0.48</v>
      </c>
    </row>
    <row r="34" spans="1:13" x14ac:dyDescent="0.25">
      <c r="A34">
        <v>15.5</v>
      </c>
      <c r="B34">
        <f t="shared" si="1"/>
        <v>0.27052603405912107</v>
      </c>
      <c r="C34">
        <v>1.4069</v>
      </c>
      <c r="D34">
        <v>3.8449999999999998E-2</v>
      </c>
      <c r="E34">
        <v>2.5399999999999999E-2</v>
      </c>
      <c r="F34">
        <f>C34*'Données géométriques'!$B$6/(2+('Données géométriques'!$B$6^2+4)^0.5)</f>
        <v>0.77984891624150909</v>
      </c>
      <c r="G34">
        <f>F34^2/(PI()*'Données géométriques'!$B$6)</f>
        <v>6.0483821362057273E-2</v>
      </c>
      <c r="H34">
        <f t="shared" si="2"/>
        <v>9.8933821362057278E-2</v>
      </c>
      <c r="I34">
        <f t="shared" si="5"/>
        <v>0.23140565897783555</v>
      </c>
      <c r="J34">
        <f>XCP_3D('Données géométriques'!$B$9,'Données géométriques'!$B$10,'Données géométriques'!$B$12,'Données géométriques'!$B$11,I34)</f>
        <v>-0.21376449865663444</v>
      </c>
      <c r="K34">
        <f>'5kts'!K34</f>
        <v>1.1514536950961625</v>
      </c>
      <c r="L34">
        <f t="shared" si="3"/>
        <v>-4.623550134336557E-2</v>
      </c>
      <c r="M34">
        <f t="shared" si="4"/>
        <v>0.495</v>
      </c>
    </row>
    <row r="35" spans="1:13" x14ac:dyDescent="0.25">
      <c r="A35">
        <v>16</v>
      </c>
      <c r="B35">
        <f t="shared" si="1"/>
        <v>0.27925268031909273</v>
      </c>
      <c r="C35">
        <v>1.3889</v>
      </c>
      <c r="D35">
        <v>4.7260000000000003E-2</v>
      </c>
      <c r="E35">
        <v>2.1100000000000001E-2</v>
      </c>
      <c r="F35">
        <f>C35*'Données géométriques'!$B$6/(2+('Données géométriques'!$B$6^2+4)^0.5)</f>
        <v>0.76987146191472888</v>
      </c>
      <c r="G35">
        <f>F35^2/(PI()*'Données géométriques'!$B$6)</f>
        <v>5.8946051417568437E-2</v>
      </c>
      <c r="H35">
        <f t="shared" si="2"/>
        <v>0.10620605141756845</v>
      </c>
      <c r="I35">
        <f t="shared" si="5"/>
        <v>0.23434860903490115</v>
      </c>
      <c r="J35">
        <f>XCP_3D('Données géométriques'!$B$9,'Données géométriques'!$B$10,'Données géométriques'!$B$12,'Données géométriques'!$B$11,I35)</f>
        <v>-0.21593139411547801</v>
      </c>
      <c r="K35">
        <f>'5kts'!K35</f>
        <v>1.1514536950961625</v>
      </c>
      <c r="L35">
        <f t="shared" si="3"/>
        <v>-4.4068605884521994E-2</v>
      </c>
      <c r="M35">
        <f t="shared" si="4"/>
        <v>0.50900000000000001</v>
      </c>
    </row>
    <row r="36" spans="1:13" x14ac:dyDescent="0.25">
      <c r="A36">
        <v>16.5</v>
      </c>
      <c r="B36">
        <f t="shared" si="1"/>
        <v>0.28797932657906439</v>
      </c>
      <c r="C36">
        <v>1.34</v>
      </c>
      <c r="D36">
        <v>6.4259999999999998E-2</v>
      </c>
      <c r="E36">
        <v>9.1000000000000004E-3</v>
      </c>
      <c r="F36">
        <f>C36*'Données géométriques'!$B$6/(2+('Données géométriques'!$B$6^2+4)^0.5)</f>
        <v>0.74276604432697568</v>
      </c>
      <c r="G36">
        <f>F36^2/(PI()*'Données géométriques'!$B$6)</f>
        <v>5.4868408015280201E-2</v>
      </c>
      <c r="H36">
        <f t="shared" si="2"/>
        <v>0.1191284080152802</v>
      </c>
      <c r="I36">
        <f t="shared" si="5"/>
        <v>0.2430164879150328</v>
      </c>
      <c r="J36">
        <f>XCP_3D('Données géométriques'!$B$9,'Données géométriques'!$B$10,'Données géométriques'!$B$12,'Données géométriques'!$B$11,I36)</f>
        <v>-0.22231355725755195</v>
      </c>
      <c r="K36">
        <f>'5kts'!K36</f>
        <v>1.1514536950961625</v>
      </c>
      <c r="L36">
        <f t="shared" si="3"/>
        <v>-3.7686442742448062E-2</v>
      </c>
      <c r="M36">
        <f t="shared" si="4"/>
        <v>0.52200000000000002</v>
      </c>
    </row>
    <row r="37" spans="1:13" x14ac:dyDescent="0.25">
      <c r="A37">
        <v>17</v>
      </c>
      <c r="B37">
        <f t="shared" si="1"/>
        <v>0.29670597283903605</v>
      </c>
      <c r="C37">
        <v>1.1601999999999999</v>
      </c>
      <c r="D37">
        <v>0.10761999999999999</v>
      </c>
      <c r="E37">
        <v>-1.6E-2</v>
      </c>
      <c r="F37">
        <f>C37*'Données géométriques'!$B$6/(2+('Données géométriques'!$B$6^2+4)^0.5)</f>
        <v>0.64310236166280377</v>
      </c>
      <c r="G37">
        <f>F37^2/(PI()*'Données géométriques'!$B$6)</f>
        <v>4.1131872890073744E-2</v>
      </c>
      <c r="H37">
        <f t="shared" si="2"/>
        <v>0.14875187289007374</v>
      </c>
      <c r="I37">
        <f t="shared" si="5"/>
        <v>0.2640231579392302</v>
      </c>
      <c r="J37">
        <f>XCP_3D('Données géométriques'!$B$9,'Données géométriques'!$B$10,'Données géométriques'!$B$12,'Données géométriques'!$B$11,I37)</f>
        <v>-0.23778077790289573</v>
      </c>
      <c r="K37">
        <f>'5kts'!K37</f>
        <v>1.1514536950961625</v>
      </c>
      <c r="L37">
        <f t="shared" si="3"/>
        <v>-2.221922209710428E-2</v>
      </c>
      <c r="M37">
        <f t="shared" si="4"/>
        <v>0.53600000000000003</v>
      </c>
    </row>
    <row r="38" spans="1:13" x14ac:dyDescent="0.25">
      <c r="A38">
        <v>17.5</v>
      </c>
      <c r="B38">
        <f t="shared" si="1"/>
        <v>0.30543261909900765</v>
      </c>
      <c r="C38">
        <v>0.99970000000000003</v>
      </c>
      <c r="D38">
        <v>0.15098</v>
      </c>
      <c r="E38">
        <v>-3.9199999999999999E-2</v>
      </c>
      <c r="F38">
        <f>C38*'Données géométriques'!$B$6/(2+('Données géométriques'!$B$6^2+4)^0.5)</f>
        <v>0.55413672724901308</v>
      </c>
      <c r="G38">
        <f>F38^2/(PI()*'Données géométriques'!$B$6)</f>
        <v>3.0538812602265396E-2</v>
      </c>
      <c r="H38">
        <f t="shared" si="2"/>
        <v>0.18151881260226541</v>
      </c>
      <c r="I38">
        <f t="shared" si="5"/>
        <v>0.28924586282235071</v>
      </c>
      <c r="J38">
        <f>XCP_3D('Données géométriques'!$B$9,'Données géométriques'!$B$10,'Données géométriques'!$B$12,'Données géométriques'!$B$11,I38)</f>
        <v>-0.25635226692282215</v>
      </c>
      <c r="K38">
        <f>'5kts'!K38</f>
        <v>1.1514536950961625</v>
      </c>
      <c r="L38">
        <f t="shared" si="3"/>
        <v>-3.6477330771778615E-3</v>
      </c>
      <c r="M38">
        <f t="shared" si="4"/>
        <v>0.54900000000000004</v>
      </c>
    </row>
    <row r="39" spans="1:13" x14ac:dyDescent="0.25">
      <c r="A39">
        <v>18</v>
      </c>
      <c r="B39">
        <f t="shared" si="1"/>
        <v>0.31415926535897931</v>
      </c>
      <c r="C39">
        <v>0.84279999999999999</v>
      </c>
      <c r="D39">
        <v>0.21446000000000001</v>
      </c>
      <c r="E39">
        <v>-6.9400000000000003E-2</v>
      </c>
      <c r="F39">
        <f>C39*'Données géométriques'!$B$6/(2+('Données géométriques'!$B$6^2+4)^0.5)</f>
        <v>0.46716658370057845</v>
      </c>
      <c r="G39">
        <f>F39^2/(PI()*'Données géométriques'!$B$6)</f>
        <v>2.1705101278238152E-2</v>
      </c>
      <c r="H39">
        <f t="shared" si="2"/>
        <v>0.23616510127823817</v>
      </c>
      <c r="I39">
        <f t="shared" si="5"/>
        <v>0.32997029653852483</v>
      </c>
      <c r="J39">
        <f>XCP_3D('Données géométriques'!$B$9,'Données géométriques'!$B$10,'Données géométriques'!$B$12,'Données géométriques'!$B$11,I39)</f>
        <v>-0.28633768589780279</v>
      </c>
      <c r="K39">
        <f>'5kts'!K39</f>
        <v>1.1514536950961625</v>
      </c>
      <c r="L39">
        <f t="shared" si="3"/>
        <v>2.6337685897802776E-2</v>
      </c>
      <c r="M39">
        <f t="shared" si="4"/>
        <v>0.56200000000000006</v>
      </c>
    </row>
    <row r="40" spans="1:13" x14ac:dyDescent="0.25">
      <c r="A40">
        <v>18.5</v>
      </c>
      <c r="B40">
        <f t="shared" si="1"/>
        <v>0.32288591161895097</v>
      </c>
      <c r="C40">
        <v>0.85589999999999999</v>
      </c>
      <c r="D40">
        <v>0.22189</v>
      </c>
      <c r="E40">
        <v>-7.3800000000000004E-2</v>
      </c>
      <c r="F40">
        <f>C40*'Données géométriques'!$B$6/(2+('Données géométriques'!$B$6^2+4)^0.5)</f>
        <v>0.47442795323840187</v>
      </c>
      <c r="G40">
        <f>F40^2/(PI()*'Données géométriques'!$B$6)</f>
        <v>2.2385088490040218E-2</v>
      </c>
      <c r="H40">
        <f t="shared" si="2"/>
        <v>0.24427508849004023</v>
      </c>
      <c r="I40">
        <f t="shared" si="5"/>
        <v>0.33366617025423778</v>
      </c>
      <c r="J40">
        <f>XCP_3D('Données géométriques'!$B$9,'Données géométriques'!$B$10,'Données géométriques'!$B$12,'Données géométriques'!$B$11,I40)</f>
        <v>-0.28905895938724302</v>
      </c>
      <c r="K40">
        <f>'5kts'!K40</f>
        <v>1.1514536950961625</v>
      </c>
      <c r="L40">
        <f t="shared" si="3"/>
        <v>2.9058959387243011E-2</v>
      </c>
      <c r="M40">
        <f t="shared" si="4"/>
        <v>0.57399999999999995</v>
      </c>
    </row>
    <row r="41" spans="1:13" x14ac:dyDescent="0.25">
      <c r="A41">
        <v>19</v>
      </c>
      <c r="B41">
        <f t="shared" si="1"/>
        <v>0.33161255787892263</v>
      </c>
      <c r="C41">
        <v>0.86219999999999997</v>
      </c>
      <c r="D41">
        <v>0.23516999999999999</v>
      </c>
      <c r="E41">
        <v>-7.9799999999999996E-2</v>
      </c>
      <c r="F41">
        <f>C41*'Données géométriques'!$B$6/(2+('Données géométriques'!$B$6^2+4)^0.5)</f>
        <v>0.47792006225277489</v>
      </c>
      <c r="G41">
        <f>F41^2/(PI()*'Données géométriques'!$B$6)</f>
        <v>2.2715839934910803E-2</v>
      </c>
      <c r="H41">
        <f t="shared" si="2"/>
        <v>0.25788583993491077</v>
      </c>
      <c r="I41">
        <f t="shared" si="5"/>
        <v>0.33948295215256152</v>
      </c>
      <c r="J41">
        <f>XCP_3D('Données géométriques'!$B$9,'Données géométriques'!$B$10,'Données géométriques'!$B$12,'Données géométriques'!$B$11,I41)</f>
        <v>-0.29334185853135214</v>
      </c>
      <c r="K41">
        <f>'5kts'!K41</f>
        <v>1.1514536950961625</v>
      </c>
      <c r="L41">
        <f t="shared" si="3"/>
        <v>3.3341858531352131E-2</v>
      </c>
      <c r="M41">
        <f t="shared" si="4"/>
        <v>0.58499999999999996</v>
      </c>
    </row>
    <row r="42" spans="1:13" x14ac:dyDescent="0.25">
      <c r="A42">
        <v>19.5</v>
      </c>
      <c r="B42">
        <f t="shared" si="1"/>
        <v>0.34033920413889424</v>
      </c>
      <c r="C42">
        <v>0.87629999999999997</v>
      </c>
      <c r="D42">
        <v>0.24334</v>
      </c>
      <c r="E42">
        <v>-8.4500000000000006E-2</v>
      </c>
      <c r="F42">
        <f>C42*'Données géométriques'!$B$6/(2+('Données géométriques'!$B$6^2+4)^0.5)</f>
        <v>0.48573573480875282</v>
      </c>
      <c r="G42">
        <f>F42^2/(PI()*'Données géométriques'!$B$6)</f>
        <v>2.3464882625608825E-2</v>
      </c>
      <c r="H42">
        <f t="shared" si="2"/>
        <v>0.26680488262560881</v>
      </c>
      <c r="I42">
        <f t="shared" si="5"/>
        <v>0.34313703502318393</v>
      </c>
      <c r="J42">
        <f>XCP_3D('Données géométriques'!$B$9,'Données géométriques'!$B$10,'Données géométriques'!$B$12,'Données géométriques'!$B$11,I42)</f>
        <v>-0.29603236140263883</v>
      </c>
      <c r="K42">
        <f>'5kts'!K42</f>
        <v>1.1514536950961625</v>
      </c>
      <c r="L42">
        <f t="shared" si="3"/>
        <v>3.6032361402638824E-2</v>
      </c>
      <c r="M42">
        <f t="shared" si="4"/>
        <v>0.59599999999999997</v>
      </c>
    </row>
    <row r="43" spans="1:13" x14ac:dyDescent="0.25">
      <c r="A43">
        <v>20</v>
      </c>
      <c r="B43">
        <f t="shared" si="1"/>
        <v>0.3490658503988659</v>
      </c>
      <c r="C43">
        <v>0.89119999999999999</v>
      </c>
      <c r="D43">
        <v>0.25087999999999999</v>
      </c>
      <c r="E43">
        <v>-8.8999999999999996E-2</v>
      </c>
      <c r="F43">
        <f>C43*'Données géométriques'!$B$6/(2+('Données géométriques'!$B$6^2+4)^0.5)</f>
        <v>0.49399484977925423</v>
      </c>
      <c r="G43">
        <f>F43^2/(PI()*'Données géométriques'!$B$6)</f>
        <v>2.4269627934357104E-2</v>
      </c>
      <c r="H43">
        <f t="shared" ref="H43" si="6">G43+D43</f>
        <v>0.2751496279343571</v>
      </c>
      <c r="I43">
        <f t="shared" ref="I43" si="7">0.25-E43/(C43*COS(B43)+D43*SIN(B43))</f>
        <v>0.34639753975903037</v>
      </c>
      <c r="J43">
        <f>XCP_3D('Données géométriques'!$B$9,'Données géométriques'!$B$10,'Données géométriques'!$B$12,'Données géométriques'!$B$11,I43)</f>
        <v>-0.29843307251517753</v>
      </c>
      <c r="K43">
        <f>'5kts'!K42</f>
        <v>1.1514536950961625</v>
      </c>
      <c r="L43">
        <f t="shared" ref="L43" si="8" xml:space="preserve"> -(J43+0.26)</f>
        <v>3.8433072515177524E-2</v>
      </c>
      <c r="M43">
        <f t="shared" ref="M43" si="9">ROUND( A43^3 * -0.00006 + 0.0023*A43^2 + 0.0003*A43 + 0.1609,3)</f>
        <v>0.60699999999999998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58C03-BC6C-416B-BB91-84FB8042E63A}">
  <sheetPr codeName="Feuil8"/>
  <dimension ref="A1:M43"/>
  <sheetViews>
    <sheetView workbookViewId="0">
      <selection activeCell="K44" sqref="K44"/>
    </sheetView>
  </sheetViews>
  <sheetFormatPr baseColWidth="10" defaultRowHeight="15" x14ac:dyDescent="0.25"/>
  <sheetData>
    <row r="1" spans="1:13" x14ac:dyDescent="0.25">
      <c r="A1">
        <v>40</v>
      </c>
      <c r="C1">
        <f>ROUND(((A1*0.514)/15.6)*1000000,0)</f>
        <v>1317949</v>
      </c>
    </row>
    <row r="2" spans="1:13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23</v>
      </c>
      <c r="J2" t="s">
        <v>24</v>
      </c>
      <c r="K2" t="s">
        <v>26</v>
      </c>
      <c r="L2" t="s">
        <v>25</v>
      </c>
      <c r="M2" t="s">
        <v>11</v>
      </c>
    </row>
    <row r="3" spans="1:13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25">
      <c r="A4">
        <v>0</v>
      </c>
      <c r="B4">
        <v>0</v>
      </c>
      <c r="C4">
        <v>1E-4</v>
      </c>
      <c r="D4">
        <v>6.11E-3</v>
      </c>
      <c r="E4">
        <v>0</v>
      </c>
      <c r="F4">
        <f>C4*'Données géométriques'!$B$6/(2+('Données géométriques'!$B$6^2+4)^0.5)</f>
        <v>5.543030181544595E-5</v>
      </c>
      <c r="G4">
        <f>F4^2/(PI()*'Données géométriques'!$B$6)</f>
        <v>3.0557144138605595E-10</v>
      </c>
      <c r="H4">
        <f>G4+D4</f>
        <v>6.1100003055714414E-3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'5kts'!K4</f>
        <v>1.1514536950961625</v>
      </c>
      <c r="L4">
        <f xml:space="preserve"> -(J4+0.26)</f>
        <v>-0.21661959277092063</v>
      </c>
      <c r="M4">
        <f t="shared" ref="M4" si="0">ROUND( A4^3 * - 0.00006 + 0.0023*A4^2 + 0.0003*A4 + 0.1609,3)</f>
        <v>0.161</v>
      </c>
    </row>
    <row r="5" spans="1:13" x14ac:dyDescent="0.25">
      <c r="A5">
        <v>0.5</v>
      </c>
      <c r="B5">
        <f>RADIANS(A5)</f>
        <v>8.7266462599716477E-3</v>
      </c>
      <c r="C5">
        <v>5.4600000000000003E-2</v>
      </c>
      <c r="D5">
        <v>6.1399999999999996E-3</v>
      </c>
      <c r="E5">
        <v>1E-4</v>
      </c>
      <c r="F5">
        <f>C5*'Données géométriques'!$B$6/(2+('Données géométriques'!$B$6^2+4)^0.5)</f>
        <v>3.026494479123349E-2</v>
      </c>
      <c r="G5">
        <f>F5^2/(PI()*'Données géométriques'!$B$6)</f>
        <v>9.1095735820245454E-5</v>
      </c>
      <c r="H5">
        <f t="shared" ref="H5:H41" si="1">G5+D5</f>
        <v>6.2310957358202449E-3</v>
      </c>
      <c r="I5">
        <f>0.25-E5/(C5*COS(B5)+D5*SIN(B5))</f>
        <v>0.24817022412059067</v>
      </c>
      <c r="J5">
        <f>XCP_3D('Données géométriques'!$B$9,'Données géométriques'!$B$10,'Données géométriques'!$B$12,'Données géométriques'!$B$11,I5)</f>
        <v>-0.22610825555801692</v>
      </c>
      <c r="K5">
        <f>'5kts'!K5</f>
        <v>1.1514536950961625</v>
      </c>
      <c r="L5">
        <f t="shared" ref="L5:L41" si="2" xml:space="preserve"> -(J5+0.26)</f>
        <v>-3.389174444198309E-2</v>
      </c>
      <c r="M5">
        <f t="shared" ref="M5:M41" si="3">ROUND( A5^3 * -0.00006 + 0.0023*A5^2 + 0.0003*A5 + 0.1609,3)</f>
        <v>0.16200000000000001</v>
      </c>
    </row>
    <row r="6" spans="1:13" x14ac:dyDescent="0.25">
      <c r="A6">
        <v>1</v>
      </c>
      <c r="B6">
        <f t="shared" ref="B6:B41" si="4">RADIANS(A6)</f>
        <v>1.7453292519943295E-2</v>
      </c>
      <c r="C6">
        <v>0.1091</v>
      </c>
      <c r="D6">
        <v>6.2300000000000003E-3</v>
      </c>
      <c r="E6">
        <v>2.9999999999999997E-4</v>
      </c>
      <c r="F6">
        <f>C6*'Données géométriques'!$B$6/(2+('Données géométriques'!$B$6^2+4)^0.5)</f>
        <v>6.0474459280651538E-2</v>
      </c>
      <c r="G6">
        <f>F6^2/(PI()*'Données géométriques'!$B$6)</f>
        <v>3.6371588082443609E-4</v>
      </c>
      <c r="H6">
        <f t="shared" si="1"/>
        <v>6.593715880824436E-3</v>
      </c>
      <c r="I6">
        <f t="shared" ref="I6:I41" si="5">0.25-E6/(C6*COS(B6)+D6*SIN(B6))</f>
        <v>0.24725254879301628</v>
      </c>
      <c r="J6">
        <f>XCP_3D('Données géométriques'!$B$9,'Données géométriques'!$B$10,'Données géométriques'!$B$12,'Données géométriques'!$B$11,I6)</f>
        <v>-0.22543257079902995</v>
      </c>
      <c r="K6">
        <f>'5kts'!K6</f>
        <v>1.1514536950961625</v>
      </c>
      <c r="L6">
        <f t="shared" si="2"/>
        <v>-3.4567429200970057E-2</v>
      </c>
      <c r="M6">
        <f t="shared" si="3"/>
        <v>0.16300000000000001</v>
      </c>
    </row>
    <row r="7" spans="1:13" x14ac:dyDescent="0.25">
      <c r="A7">
        <v>1.5</v>
      </c>
      <c r="B7">
        <f t="shared" si="4"/>
        <v>2.6179938779914945E-2</v>
      </c>
      <c r="C7">
        <v>0.1633</v>
      </c>
      <c r="D7">
        <v>6.3899999999999998E-3</v>
      </c>
      <c r="E7">
        <v>5.9999999999999995E-4</v>
      </c>
      <c r="F7">
        <f>C7*'Données géométriques'!$B$6/(2+('Données géométriques'!$B$6^2+4)^0.5)</f>
        <v>9.0517682864623222E-2</v>
      </c>
      <c r="G7">
        <f>F7^2/(PI()*'Données géométriques'!$B$6)</f>
        <v>8.1486400145833985E-4</v>
      </c>
      <c r="H7">
        <f t="shared" si="1"/>
        <v>7.2048640014583396E-3</v>
      </c>
      <c r="I7">
        <f t="shared" si="5"/>
        <v>0.2463282835616426</v>
      </c>
      <c r="J7">
        <f>XCP_3D('Données géométriques'!$B$9,'Données géométriques'!$B$10,'Données géométriques'!$B$12,'Données géométriques'!$B$11,I7)</f>
        <v>-0.22475203389089618</v>
      </c>
      <c r="K7">
        <f>'5kts'!K7</f>
        <v>1.1514536950961625</v>
      </c>
      <c r="L7">
        <f t="shared" si="2"/>
        <v>-3.5247966109103829E-2</v>
      </c>
      <c r="M7">
        <f t="shared" si="3"/>
        <v>0.16600000000000001</v>
      </c>
    </row>
    <row r="8" spans="1:13" x14ac:dyDescent="0.25">
      <c r="A8">
        <v>2</v>
      </c>
      <c r="B8">
        <f t="shared" si="4"/>
        <v>3.4906585039886591E-2</v>
      </c>
      <c r="C8">
        <v>0.2172</v>
      </c>
      <c r="D8">
        <v>6.5900000000000004E-3</v>
      </c>
      <c r="E8">
        <v>8.9999999999999998E-4</v>
      </c>
      <c r="F8">
        <f>C8*'Données géométriques'!$B$6/(2+('Données géométriques'!$B$6^2+4)^0.5)</f>
        <v>0.12039461554314859</v>
      </c>
      <c r="G8">
        <f>F8^2/(PI()*'Données géométriques'!$B$6)</f>
        <v>1.441558942739795E-3</v>
      </c>
      <c r="H8">
        <f t="shared" si="1"/>
        <v>8.0315589427397954E-3</v>
      </c>
      <c r="I8">
        <f t="shared" si="5"/>
        <v>0.24585821616034997</v>
      </c>
      <c r="J8">
        <f>XCP_3D('Données géométriques'!$B$9,'Données géométriques'!$B$10,'Données géométriques'!$B$12,'Données géométriques'!$B$11,I8)</f>
        <v>-0.2244059230505964</v>
      </c>
      <c r="K8">
        <f>'5kts'!K8</f>
        <v>1.1514536950961625</v>
      </c>
      <c r="L8">
        <f t="shared" si="2"/>
        <v>-3.5594076949403614E-2</v>
      </c>
      <c r="M8">
        <f t="shared" si="3"/>
        <v>0.17</v>
      </c>
    </row>
    <row r="9" spans="1:13" x14ac:dyDescent="0.25">
      <c r="A9">
        <v>2.5</v>
      </c>
      <c r="B9">
        <f t="shared" si="4"/>
        <v>4.3633231299858237E-2</v>
      </c>
      <c r="C9">
        <v>0.27060000000000001</v>
      </c>
      <c r="D9">
        <v>6.8100000000000001E-3</v>
      </c>
      <c r="E9">
        <v>1.2999999999999999E-3</v>
      </c>
      <c r="F9">
        <f>C9*'Données géométriques'!$B$6/(2+('Données géométriques'!$B$6^2+4)^0.5)</f>
        <v>0.14999439671259673</v>
      </c>
      <c r="G9">
        <f>F9^2/(PI()*'Données géométriques'!$B$6)</f>
        <v>2.2375273229771455E-3</v>
      </c>
      <c r="H9">
        <f t="shared" si="1"/>
        <v>9.0475273229771447E-3</v>
      </c>
      <c r="I9">
        <f t="shared" si="5"/>
        <v>0.24519656215951996</v>
      </c>
      <c r="J9">
        <f>XCP_3D('Données géométriques'!$B$9,'Données géométriques'!$B$10,'Données géométriques'!$B$12,'Données géométriques'!$B$11,I9)</f>
        <v>-0.22391874691035485</v>
      </c>
      <c r="K9">
        <f>'5kts'!K9</f>
        <v>1.1514536950961625</v>
      </c>
      <c r="L9">
        <f t="shared" si="2"/>
        <v>-3.608125308964516E-2</v>
      </c>
      <c r="M9">
        <f t="shared" si="3"/>
        <v>0.17499999999999999</v>
      </c>
    </row>
    <row r="10" spans="1:13" x14ac:dyDescent="0.25">
      <c r="A10">
        <v>3</v>
      </c>
      <c r="B10">
        <f t="shared" si="4"/>
        <v>5.235987755982989E-2</v>
      </c>
      <c r="C10">
        <v>0.32350000000000001</v>
      </c>
      <c r="D10">
        <v>7.0800000000000004E-3</v>
      </c>
      <c r="E10">
        <v>2E-3</v>
      </c>
      <c r="F10">
        <f>C10*'Données géométriques'!$B$6/(2+('Données géométriques'!$B$6^2+4)^0.5)</f>
        <v>0.17931702637296765</v>
      </c>
      <c r="G10">
        <f>F10^2/(PI()*'Données géométriques'!$B$6)</f>
        <v>3.1978738876793874E-3</v>
      </c>
      <c r="H10">
        <f t="shared" si="1"/>
        <v>1.0277873887679388E-2</v>
      </c>
      <c r="I10">
        <f t="shared" si="5"/>
        <v>0.24381622806339434</v>
      </c>
      <c r="J10">
        <f>XCP_3D('Données géométriques'!$B$9,'Données géométriques'!$B$10,'Données géométriques'!$B$12,'Données géométriques'!$B$11,I10)</f>
        <v>-0.22290240629070998</v>
      </c>
      <c r="K10">
        <f>'5kts'!K10</f>
        <v>1.1514536950961625</v>
      </c>
      <c r="L10">
        <f t="shared" si="2"/>
        <v>-3.7097593709290028E-2</v>
      </c>
      <c r="M10">
        <f t="shared" si="3"/>
        <v>0.18099999999999999</v>
      </c>
    </row>
    <row r="11" spans="1:13" x14ac:dyDescent="0.25">
      <c r="A11">
        <v>3.5</v>
      </c>
      <c r="B11">
        <f t="shared" si="4"/>
        <v>6.1086523819801536E-2</v>
      </c>
      <c r="C11">
        <v>0.376</v>
      </c>
      <c r="D11">
        <v>7.3400000000000002E-3</v>
      </c>
      <c r="E11">
        <v>2.8E-3</v>
      </c>
      <c r="F11">
        <f>C11*'Données géométriques'!$B$6/(2+('Données géométriques'!$B$6^2+4)^0.5)</f>
        <v>0.20841793482607676</v>
      </c>
      <c r="G11">
        <f>F11^2/(PI()*'Données géométriques'!$B$6)</f>
        <v>4.3200468097395039E-3</v>
      </c>
      <c r="H11">
        <f t="shared" si="1"/>
        <v>1.1660046809739505E-2</v>
      </c>
      <c r="I11">
        <f t="shared" si="5"/>
        <v>0.24254817301063128</v>
      </c>
      <c r="J11">
        <f>XCP_3D('Données géométriques'!$B$9,'Données géométriques'!$B$10,'Données géométriques'!$B$12,'Données géométriques'!$B$11,I11)</f>
        <v>-0.22196873678150519</v>
      </c>
      <c r="K11">
        <f>'5kts'!K11</f>
        <v>1.1514536950961625</v>
      </c>
      <c r="L11">
        <f t="shared" si="2"/>
        <v>-3.8031263218494815E-2</v>
      </c>
      <c r="M11">
        <f t="shared" si="3"/>
        <v>0.188</v>
      </c>
    </row>
    <row r="12" spans="1:13" x14ac:dyDescent="0.25">
      <c r="A12">
        <v>4</v>
      </c>
      <c r="B12">
        <f t="shared" si="4"/>
        <v>6.9813170079773182E-2</v>
      </c>
      <c r="C12">
        <v>0.42849999999999999</v>
      </c>
      <c r="D12">
        <v>7.6400000000000001E-3</v>
      </c>
      <c r="E12">
        <v>3.7000000000000002E-3</v>
      </c>
      <c r="F12">
        <f>C12*'Données géométriques'!$B$6/(2+('Données géométriques'!$B$6^2+4)^0.5)</f>
        <v>0.23751884327918588</v>
      </c>
      <c r="G12">
        <f>F12^2/(PI()*'Données géométriques'!$B$6)</f>
        <v>5.6106659888636836E-3</v>
      </c>
      <c r="H12">
        <f t="shared" si="1"/>
        <v>1.3250665988863684E-2</v>
      </c>
      <c r="I12">
        <f t="shared" si="5"/>
        <v>0.24135492072704876</v>
      </c>
      <c r="J12">
        <f>XCP_3D('Données géométriques'!$B$9,'Données géométriques'!$B$10,'Données géométriques'!$B$12,'Données géométriques'!$B$11,I12)</f>
        <v>-0.22109014458509849</v>
      </c>
      <c r="K12">
        <f>'5kts'!K12</f>
        <v>1.1514536950961625</v>
      </c>
      <c r="L12">
        <f t="shared" si="2"/>
        <v>-3.8909855414901523E-2</v>
      </c>
      <c r="M12">
        <f t="shared" si="3"/>
        <v>0.19500000000000001</v>
      </c>
    </row>
    <row r="13" spans="1:13" x14ac:dyDescent="0.25">
      <c r="A13">
        <v>4.5</v>
      </c>
      <c r="B13">
        <f t="shared" si="4"/>
        <v>7.8539816339744828E-2</v>
      </c>
      <c r="C13">
        <v>0.4844</v>
      </c>
      <c r="D13">
        <v>8.0199999999999994E-3</v>
      </c>
      <c r="E13">
        <v>3.7000000000000002E-3</v>
      </c>
      <c r="F13">
        <f>C13*'Données géométriques'!$B$6/(2+('Données géométriques'!$B$6^2+4)^0.5)</f>
        <v>0.26850438199402021</v>
      </c>
      <c r="G13">
        <f>F13^2/(PI()*'Données géométriques'!$B$6)</f>
        <v>7.1700309726867228E-3</v>
      </c>
      <c r="H13">
        <f t="shared" si="1"/>
        <v>1.5190030972686723E-2</v>
      </c>
      <c r="I13">
        <f t="shared" si="5"/>
        <v>0.24234803610862182</v>
      </c>
      <c r="J13">
        <f>XCP_3D('Données géométriques'!$B$9,'Données géométriques'!$B$10,'Données géométriques'!$B$12,'Données géométriques'!$B$11,I13)</f>
        <v>-0.22182137588998432</v>
      </c>
      <c r="K13">
        <f>'5kts'!K13</f>
        <v>1.1514536950961625</v>
      </c>
      <c r="L13">
        <f t="shared" si="2"/>
        <v>-3.8178624110015685E-2</v>
      </c>
      <c r="M13">
        <f t="shared" si="3"/>
        <v>0.20300000000000001</v>
      </c>
    </row>
    <row r="14" spans="1:13" x14ac:dyDescent="0.25">
      <c r="A14">
        <v>5</v>
      </c>
      <c r="B14">
        <f t="shared" si="4"/>
        <v>8.7266462599716474E-2</v>
      </c>
      <c r="C14">
        <v>0.54479999999999995</v>
      </c>
      <c r="D14">
        <v>8.4200000000000004E-3</v>
      </c>
      <c r="E14">
        <v>2.5999999999999999E-3</v>
      </c>
      <c r="F14">
        <f>C14*'Données géométriques'!$B$6/(2+('Données géométriques'!$B$6^2+4)^0.5)</f>
        <v>0.30198428429054947</v>
      </c>
      <c r="G14">
        <f>F14^2/(PI()*'Données géométriques'!$B$6)</f>
        <v>9.0695755026328727E-3</v>
      </c>
      <c r="H14">
        <f t="shared" si="1"/>
        <v>1.7489575502632873E-2</v>
      </c>
      <c r="I14">
        <f t="shared" si="5"/>
        <v>0.2452158456157626</v>
      </c>
      <c r="J14">
        <f>XCP_3D('Données géométriques'!$B$9,'Données géométriques'!$B$10,'Données géométriques'!$B$12,'Données géométriques'!$B$11,I14)</f>
        <v>-0.22393294532791355</v>
      </c>
      <c r="K14">
        <f>'5kts'!K14</f>
        <v>1.1514536950961625</v>
      </c>
      <c r="L14">
        <f t="shared" si="2"/>
        <v>-3.6067054672086457E-2</v>
      </c>
      <c r="M14">
        <f t="shared" si="3"/>
        <v>0.21199999999999999</v>
      </c>
    </row>
    <row r="15" spans="1:13" x14ac:dyDescent="0.25">
      <c r="A15">
        <v>5.5</v>
      </c>
      <c r="B15">
        <f t="shared" si="4"/>
        <v>9.599310885968812E-2</v>
      </c>
      <c r="C15">
        <v>0.60719999999999996</v>
      </c>
      <c r="D15">
        <v>8.8500000000000002E-3</v>
      </c>
      <c r="E15">
        <v>1.1000000000000001E-3</v>
      </c>
      <c r="F15">
        <f>C15*'Données géométriques'!$B$6/(2+('Données géométriques'!$B$6^2+4)^0.5)</f>
        <v>0.33657279262338774</v>
      </c>
      <c r="G15">
        <f>F15^2/(PI()*'Données géométriques'!$B$6)</f>
        <v>1.1266169697607705E-2</v>
      </c>
      <c r="H15">
        <f t="shared" si="1"/>
        <v>2.0116169697607704E-2</v>
      </c>
      <c r="I15">
        <f t="shared" si="5"/>
        <v>0.24818257761371662</v>
      </c>
      <c r="J15">
        <f>XCP_3D('Données géométriques'!$B$9,'Données géométriques'!$B$10,'Données géométriques'!$B$12,'Données géométriques'!$B$11,I15)</f>
        <v>-0.22611735144059514</v>
      </c>
      <c r="K15">
        <f>'5kts'!K15</f>
        <v>1.1514536950961625</v>
      </c>
      <c r="L15">
        <f t="shared" si="2"/>
        <v>-3.3882648559404871E-2</v>
      </c>
      <c r="M15">
        <f t="shared" si="3"/>
        <v>0.222</v>
      </c>
    </row>
    <row r="16" spans="1:13" x14ac:dyDescent="0.25">
      <c r="A16">
        <v>6</v>
      </c>
      <c r="B16">
        <f t="shared" si="4"/>
        <v>0.10471975511965978</v>
      </c>
      <c r="C16">
        <v>0.66959999999999997</v>
      </c>
      <c r="D16">
        <v>9.3399999999999993E-3</v>
      </c>
      <c r="E16">
        <v>-5.9999999999999995E-4</v>
      </c>
      <c r="F16">
        <f>C16*'Données géométriques'!$B$6/(2+('Données géométriques'!$B$6^2+4)^0.5)</f>
        <v>0.37116130095622607</v>
      </c>
      <c r="G16">
        <f>F16^2/(PI()*'Données géométriques'!$B$6)</f>
        <v>1.3700728263704819E-2</v>
      </c>
      <c r="H16">
        <f t="shared" si="1"/>
        <v>2.3040728263704818E-2</v>
      </c>
      <c r="I16">
        <f t="shared" si="5"/>
        <v>0.25089967410611985</v>
      </c>
      <c r="J16">
        <f>XCP_3D('Données géométriques'!$B$9,'Données géométriques'!$B$10,'Données géométriques'!$B$12,'Données géométriques'!$B$11,I16)</f>
        <v>-0.22811795081756683</v>
      </c>
      <c r="K16">
        <f>'5kts'!K16</f>
        <v>1.1514536950961625</v>
      </c>
      <c r="L16">
        <f t="shared" si="2"/>
        <v>-3.1882049182433175E-2</v>
      </c>
      <c r="M16">
        <f t="shared" si="3"/>
        <v>0.23300000000000001</v>
      </c>
    </row>
    <row r="17" spans="1:13" x14ac:dyDescent="0.25">
      <c r="A17">
        <v>6.5</v>
      </c>
      <c r="B17">
        <f t="shared" si="4"/>
        <v>0.11344640137963143</v>
      </c>
      <c r="C17">
        <v>0.73140000000000005</v>
      </c>
      <c r="D17">
        <v>9.8200000000000006E-3</v>
      </c>
      <c r="E17">
        <v>-2.0999999999999999E-3</v>
      </c>
      <c r="F17">
        <f>C17*'Données géométriques'!$B$6/(2+('Données géométriques'!$B$6^2+4)^0.5)</f>
        <v>0.40541722747817172</v>
      </c>
      <c r="G17">
        <f>F17^2/(PI()*'Données géométriques'!$B$6)</f>
        <v>1.6346420806084744E-2</v>
      </c>
      <c r="H17">
        <f t="shared" si="1"/>
        <v>2.6166420806084743E-2</v>
      </c>
      <c r="I17">
        <f t="shared" si="5"/>
        <v>0.25288536799480382</v>
      </c>
      <c r="J17">
        <f>XCP_3D('Données géométriques'!$B$9,'Données géométriques'!$B$10,'Données géométriques'!$B$12,'Données géométriques'!$B$11,I17)</f>
        <v>-0.22958001812642831</v>
      </c>
      <c r="K17">
        <f>'5kts'!K17</f>
        <v>1.1514536950961625</v>
      </c>
      <c r="L17">
        <f t="shared" si="2"/>
        <v>-3.04199818735717E-2</v>
      </c>
      <c r="M17">
        <f t="shared" si="3"/>
        <v>0.24399999999999999</v>
      </c>
    </row>
    <row r="18" spans="1:13" x14ac:dyDescent="0.25">
      <c r="A18">
        <v>7</v>
      </c>
      <c r="B18">
        <f t="shared" si="4"/>
        <v>0.12217304763960307</v>
      </c>
      <c r="C18">
        <v>0.78039999999999998</v>
      </c>
      <c r="D18">
        <v>1.034E-2</v>
      </c>
      <c r="E18">
        <v>-8.9999999999999998E-4</v>
      </c>
      <c r="F18">
        <f>C18*'Données géométriques'!$B$6/(2+('Données géométriques'!$B$6^2+4)^0.5)</f>
        <v>0.43257807536774018</v>
      </c>
      <c r="G18">
        <f>F18^2/(PI()*'Données géométriques'!$B$6)</f>
        <v>1.8610039041013195E-2</v>
      </c>
      <c r="H18">
        <f t="shared" si="1"/>
        <v>2.8950039041013197E-2</v>
      </c>
      <c r="I18">
        <f t="shared" si="5"/>
        <v>0.25116002829299733</v>
      </c>
      <c r="J18">
        <f>XCP_3D('Données géométriques'!$B$9,'Données géométriques'!$B$10,'Données géométriques'!$B$12,'Données géométriques'!$B$11,I18)</f>
        <v>-0.22830964972318848</v>
      </c>
      <c r="K18">
        <f>'5kts'!K18</f>
        <v>1.1514536950961625</v>
      </c>
      <c r="L18">
        <f t="shared" si="2"/>
        <v>-3.1690350276811524E-2</v>
      </c>
      <c r="M18">
        <f t="shared" si="3"/>
        <v>0.255</v>
      </c>
    </row>
    <row r="19" spans="1:13" x14ac:dyDescent="0.25">
      <c r="A19">
        <v>7.5</v>
      </c>
      <c r="B19">
        <f t="shared" si="4"/>
        <v>0.1308996938995747</v>
      </c>
      <c r="C19">
        <v>0.83020000000000005</v>
      </c>
      <c r="D19">
        <v>1.0869999999999999E-2</v>
      </c>
      <c r="E19">
        <v>2.0000000000000001E-4</v>
      </c>
      <c r="F19">
        <f>C19*'Données géométriques'!$B$6/(2+('Données géométriques'!$B$6^2+4)^0.5)</f>
        <v>0.46018236567183229</v>
      </c>
      <c r="G19">
        <f>F19^2/(PI()*'Données géométriques'!$B$6)</f>
        <v>2.1060962791225175E-2</v>
      </c>
      <c r="H19">
        <f t="shared" si="1"/>
        <v>3.1930962791225176E-2</v>
      </c>
      <c r="I19">
        <f t="shared" si="5"/>
        <v>0.24975743355295854</v>
      </c>
      <c r="J19">
        <f>XCP_3D('Données géométriques'!$B$9,'Données géométriques'!$B$10,'Données géométriques'!$B$12,'Données géométriques'!$B$11,I19)</f>
        <v>-0.22727691858135643</v>
      </c>
      <c r="K19">
        <f>'5kts'!K19</f>
        <v>1.1514536950961625</v>
      </c>
      <c r="L19">
        <f t="shared" si="2"/>
        <v>-3.2723081418643579E-2</v>
      </c>
      <c r="M19">
        <f t="shared" si="3"/>
        <v>0.26700000000000002</v>
      </c>
    </row>
    <row r="20" spans="1:13" x14ac:dyDescent="0.25">
      <c r="A20">
        <v>8</v>
      </c>
      <c r="B20">
        <f t="shared" si="4"/>
        <v>0.13962634015954636</v>
      </c>
      <c r="C20">
        <v>0.88</v>
      </c>
      <c r="D20">
        <v>1.1520000000000001E-2</v>
      </c>
      <c r="E20">
        <v>1.1999999999999999E-3</v>
      </c>
      <c r="F20">
        <f>C20*'Données géométriques'!$B$6/(2+('Données géométriques'!$B$6^2+4)^0.5)</f>
        <v>0.48778665597592435</v>
      </c>
      <c r="G20">
        <f>F20^2/(PI()*'Données géométriques'!$B$6)</f>
        <v>2.3663452420936173E-2</v>
      </c>
      <c r="H20">
        <f t="shared" si="1"/>
        <v>3.5183452420936172E-2</v>
      </c>
      <c r="I20">
        <f t="shared" si="5"/>
        <v>0.24862549123236274</v>
      </c>
      <c r="J20">
        <f>XCP_3D('Données géométriques'!$B$9,'Données géométriques'!$B$10,'Données géométriques'!$B$12,'Données géométriques'!$B$11,I20)</f>
        <v>-0.22644346893844405</v>
      </c>
      <c r="K20">
        <f>'5kts'!K20</f>
        <v>1.1514536950961625</v>
      </c>
      <c r="L20">
        <f t="shared" si="2"/>
        <v>-3.3556531061555955E-2</v>
      </c>
      <c r="M20">
        <f t="shared" si="3"/>
        <v>0.28000000000000003</v>
      </c>
    </row>
    <row r="21" spans="1:13" x14ac:dyDescent="0.25">
      <c r="A21">
        <v>8.5</v>
      </c>
      <c r="B21">
        <f t="shared" si="4"/>
        <v>0.14835298641951802</v>
      </c>
      <c r="C21">
        <v>0.93030000000000002</v>
      </c>
      <c r="D21">
        <v>1.217E-2</v>
      </c>
      <c r="E21">
        <v>2E-3</v>
      </c>
      <c r="F21">
        <f>C21*'Données géométriques'!$B$6/(2+('Données géométriques'!$B$6^2+4)^0.5)</f>
        <v>0.51566809778909362</v>
      </c>
      <c r="G21">
        <f>F21^2/(PI()*'Données géométriques'!$B$6)</f>
        <v>2.6445927602052288E-2</v>
      </c>
      <c r="H21">
        <f t="shared" si="1"/>
        <v>3.8615927602052291E-2</v>
      </c>
      <c r="I21">
        <f t="shared" si="5"/>
        <v>0.24783052094305111</v>
      </c>
      <c r="J21">
        <f>XCP_3D('Données géométriques'!$B$9,'Données géométriques'!$B$10,'Données géométriques'!$B$12,'Données géométriques'!$B$11,I21)</f>
        <v>-0.22585813195466209</v>
      </c>
      <c r="K21">
        <f>'5kts'!K21</f>
        <v>1.1514536950961625</v>
      </c>
      <c r="L21">
        <f t="shared" si="2"/>
        <v>-3.414186804533792E-2</v>
      </c>
      <c r="M21">
        <f t="shared" si="3"/>
        <v>0.29299999999999998</v>
      </c>
    </row>
    <row r="22" spans="1:13" x14ac:dyDescent="0.25">
      <c r="A22">
        <v>9</v>
      </c>
      <c r="B22">
        <f t="shared" si="4"/>
        <v>0.15707963267948966</v>
      </c>
      <c r="C22">
        <v>0.98040000000000005</v>
      </c>
      <c r="D22">
        <v>1.2869999999999999E-2</v>
      </c>
      <c r="E22">
        <v>2.8E-3</v>
      </c>
      <c r="F22">
        <f>C22*'Données géométriques'!$B$6/(2+('Données géométriques'!$B$6^2+4)^0.5)</f>
        <v>0.54343867899863207</v>
      </c>
      <c r="G22">
        <f>F22^2/(PI()*'Données géométriques'!$B$6)</f>
        <v>2.9371042920864537E-2</v>
      </c>
      <c r="H22">
        <f t="shared" si="1"/>
        <v>4.2241042920864537E-2</v>
      </c>
      <c r="I22">
        <f t="shared" si="5"/>
        <v>0.24711442230896929</v>
      </c>
      <c r="J22">
        <f>XCP_3D('Données géométriques'!$B$9,'Données géométriques'!$B$10,'Données géométriques'!$B$12,'Données géométriques'!$B$11,I22)</f>
        <v>-0.22533086820631773</v>
      </c>
      <c r="K22">
        <f>'5kts'!K22</f>
        <v>1.1514536950961625</v>
      </c>
      <c r="L22">
        <f t="shared" si="2"/>
        <v>-3.4669131793682278E-2</v>
      </c>
      <c r="M22">
        <f t="shared" si="3"/>
        <v>0.30599999999999999</v>
      </c>
    </row>
    <row r="23" spans="1:13" x14ac:dyDescent="0.25">
      <c r="A23">
        <v>9.5</v>
      </c>
      <c r="B23">
        <f t="shared" si="4"/>
        <v>0.16580627893946132</v>
      </c>
      <c r="C23">
        <v>1.0298</v>
      </c>
      <c r="D23">
        <v>1.3679999999999999E-2</v>
      </c>
      <c r="E23">
        <v>3.7000000000000002E-3</v>
      </c>
      <c r="F23">
        <f>C23*'Données géométriques'!$B$6/(2+('Données géométriques'!$B$6^2+4)^0.5)</f>
        <v>0.57082124809546242</v>
      </c>
      <c r="G23">
        <f>F23^2/(PI()*'Données géométriques'!$B$6)</f>
        <v>3.2405485895547335E-2</v>
      </c>
      <c r="H23">
        <f t="shared" si="1"/>
        <v>4.6085485895547333E-2</v>
      </c>
      <c r="I23">
        <f t="shared" si="5"/>
        <v>0.24636518946802599</v>
      </c>
      <c r="J23">
        <f>XCP_3D('Données géométriques'!$B$9,'Données géométriques'!$B$10,'Données géométriques'!$B$12,'Données géométriques'!$B$11,I23)</f>
        <v>-0.22477920772646948</v>
      </c>
      <c r="K23">
        <f>'5kts'!K23</f>
        <v>1.1514536950961625</v>
      </c>
      <c r="L23">
        <f t="shared" si="2"/>
        <v>-3.5220792273530532E-2</v>
      </c>
      <c r="M23">
        <f t="shared" si="3"/>
        <v>0.32</v>
      </c>
    </row>
    <row r="24" spans="1:13" x14ac:dyDescent="0.25">
      <c r="A24">
        <v>10</v>
      </c>
      <c r="B24">
        <f t="shared" si="4"/>
        <v>0.17453292519943295</v>
      </c>
      <c r="C24">
        <v>1.0784</v>
      </c>
      <c r="D24">
        <v>1.46E-2</v>
      </c>
      <c r="E24">
        <v>4.5999999999999999E-3</v>
      </c>
      <c r="F24">
        <f>C24*'Données géométriques'!$B$6/(2+('Données géométriques'!$B$6^2+4)^0.5)</f>
        <v>0.59776037477776911</v>
      </c>
      <c r="G24">
        <f>F24^2/(PI()*'Données géométriques'!$B$6)</f>
        <v>3.5536325659415537E-2</v>
      </c>
      <c r="H24">
        <f t="shared" si="1"/>
        <v>5.0136325659415538E-2</v>
      </c>
      <c r="I24">
        <f t="shared" si="5"/>
        <v>0.24567893325931214</v>
      </c>
      <c r="J24">
        <f>XCP_3D('Données géométriques'!$B$9,'Données géométriques'!$B$10,'Données géométriques'!$B$12,'Données géométriques'!$B$11,I24)</f>
        <v>-0.22427391696942733</v>
      </c>
      <c r="K24">
        <f>'5kts'!K24</f>
        <v>1.1514536950961625</v>
      </c>
      <c r="L24">
        <f t="shared" si="2"/>
        <v>-3.5726083030572675E-2</v>
      </c>
      <c r="M24">
        <f t="shared" si="3"/>
        <v>0.33400000000000002</v>
      </c>
    </row>
    <row r="25" spans="1:13" x14ac:dyDescent="0.25">
      <c r="A25">
        <v>10.5</v>
      </c>
      <c r="B25">
        <f t="shared" si="4"/>
        <v>0.18325957145940461</v>
      </c>
      <c r="C25">
        <v>1.1265000000000001</v>
      </c>
      <c r="D25">
        <v>1.5520000000000001E-2</v>
      </c>
      <c r="E25">
        <v>5.4999999999999997E-3</v>
      </c>
      <c r="F25">
        <f>C25*'Données géométriques'!$B$6/(2+('Données géométriques'!$B$6^2+4)^0.5)</f>
        <v>0.62442234995099866</v>
      </c>
      <c r="G25">
        <f>F25^2/(PI()*'Données géométriques'!$B$6)</f>
        <v>3.8777084665464819E-2</v>
      </c>
      <c r="H25">
        <f t="shared" si="1"/>
        <v>5.4297084665464818E-2</v>
      </c>
      <c r="I25">
        <f t="shared" si="5"/>
        <v>0.24504711967153234</v>
      </c>
      <c r="J25">
        <f>XCP_3D('Données géométriques'!$B$9,'Données géométriques'!$B$10,'Données géométriques'!$B$12,'Données géométriques'!$B$11,I25)</f>
        <v>-0.22380871233881963</v>
      </c>
      <c r="K25">
        <f>'5kts'!K25</f>
        <v>1.1514536950961625</v>
      </c>
      <c r="L25">
        <f t="shared" si="2"/>
        <v>-3.6191287661180377E-2</v>
      </c>
      <c r="M25">
        <f t="shared" si="3"/>
        <v>0.34799999999999998</v>
      </c>
    </row>
    <row r="26" spans="1:13" x14ac:dyDescent="0.25">
      <c r="A26">
        <v>11</v>
      </c>
      <c r="B26">
        <f t="shared" si="4"/>
        <v>0.19198621771937624</v>
      </c>
      <c r="C26">
        <v>1.1736</v>
      </c>
      <c r="D26">
        <v>1.653E-2</v>
      </c>
      <c r="E26">
        <v>6.4999999999999997E-3</v>
      </c>
      <c r="F26">
        <f>C26*'Données géométriques'!$B$6/(2+('Données géométriques'!$B$6^2+4)^0.5)</f>
        <v>0.65053002210607358</v>
      </c>
      <c r="G26">
        <f>F26^2/(PI()*'Données géométriques'!$B$6)</f>
        <v>4.2087484014148829E-2</v>
      </c>
      <c r="H26">
        <f t="shared" si="1"/>
        <v>5.8617484014148832E-2</v>
      </c>
      <c r="I26">
        <f t="shared" si="5"/>
        <v>0.24437322844164605</v>
      </c>
      <c r="J26">
        <f>XCP_3D('Données géométriques'!$B$9,'Données géométriques'!$B$10,'Données géométriques'!$B$12,'Données géométriques'!$B$11,I26)</f>
        <v>-0.22331252592128567</v>
      </c>
      <c r="K26">
        <f>'5kts'!K26</f>
        <v>1.1514536950961625</v>
      </c>
      <c r="L26">
        <f t="shared" si="2"/>
        <v>-3.6687474078714338E-2</v>
      </c>
      <c r="M26">
        <f t="shared" si="3"/>
        <v>0.36299999999999999</v>
      </c>
    </row>
    <row r="27" spans="1:13" x14ac:dyDescent="0.25">
      <c r="A27">
        <v>11.5</v>
      </c>
      <c r="B27">
        <f t="shared" si="4"/>
        <v>0.2007128639793479</v>
      </c>
      <c r="C27">
        <v>1.2193000000000001</v>
      </c>
      <c r="D27">
        <v>1.7649999999999999E-2</v>
      </c>
      <c r="E27">
        <v>7.6E-3</v>
      </c>
      <c r="F27">
        <f>C27*'Données géométriques'!$B$6/(2+('Données géométriques'!$B$6^2+4)^0.5)</f>
        <v>0.67586167003573239</v>
      </c>
      <c r="G27">
        <f>F27^2/(PI()*'Données géométriques'!$B$6)</f>
        <v>4.5429076706712444E-2</v>
      </c>
      <c r="H27">
        <f t="shared" si="1"/>
        <v>6.307907670671245E-2</v>
      </c>
      <c r="I27">
        <f t="shared" si="5"/>
        <v>0.24365789890420819</v>
      </c>
      <c r="J27">
        <f>XCP_3D('Données géométriques'!$B$9,'Données géométriques'!$B$10,'Données géométriques'!$B$12,'Données géométriques'!$B$11,I27)</f>
        <v>-0.22278582845915065</v>
      </c>
      <c r="K27">
        <f>'5kts'!K27</f>
        <v>1.1514536950961625</v>
      </c>
      <c r="L27">
        <f t="shared" si="2"/>
        <v>-3.7214171540849356E-2</v>
      </c>
      <c r="M27">
        <f t="shared" si="3"/>
        <v>0.377</v>
      </c>
    </row>
    <row r="28" spans="1:13" x14ac:dyDescent="0.25">
      <c r="A28">
        <v>12</v>
      </c>
      <c r="B28">
        <f t="shared" si="4"/>
        <v>0.20943951023931956</v>
      </c>
      <c r="C28">
        <v>1.2633000000000001</v>
      </c>
      <c r="D28">
        <v>1.891E-2</v>
      </c>
      <c r="E28">
        <v>8.8000000000000005E-3</v>
      </c>
      <c r="F28">
        <f>C28*'Données géométriques'!$B$6/(2+('Données géométriques'!$B$6^2+4)^0.5)</f>
        <v>0.70025100283452868</v>
      </c>
      <c r="G28">
        <f>F28^2/(PI()*'Données géométriques'!$B$6)</f>
        <v>4.8766968012406549E-2</v>
      </c>
      <c r="H28">
        <f t="shared" si="1"/>
        <v>6.7676968012406552E-2</v>
      </c>
      <c r="I28">
        <f t="shared" si="5"/>
        <v>0.24290108167022922</v>
      </c>
      <c r="J28">
        <f>XCP_3D('Données géométriques'!$B$9,'Données géométriques'!$B$10,'Données géométriques'!$B$12,'Données géométriques'!$B$11,I28)</f>
        <v>-0.22222858358727501</v>
      </c>
      <c r="K28">
        <f>'5kts'!K28</f>
        <v>1.1514536950961625</v>
      </c>
      <c r="L28">
        <f t="shared" si="2"/>
        <v>-3.7771416412724995E-2</v>
      </c>
      <c r="M28">
        <f t="shared" si="3"/>
        <v>0.39200000000000002</v>
      </c>
    </row>
    <row r="29" spans="1:13" x14ac:dyDescent="0.25">
      <c r="A29">
        <v>12.5</v>
      </c>
      <c r="B29">
        <f t="shared" si="4"/>
        <v>0.21816615649929119</v>
      </c>
      <c r="C29">
        <v>1.3038000000000001</v>
      </c>
      <c r="D29">
        <v>2.0480000000000002E-2</v>
      </c>
      <c r="E29">
        <v>1.04E-2</v>
      </c>
      <c r="F29">
        <f>C29*'Données géométriques'!$B$6/(2+('Données géométriques'!$B$6^2+4)^0.5)</f>
        <v>0.72270027506978429</v>
      </c>
      <c r="G29">
        <f>F29^2/(PI()*'Données géométriques'!$B$6)</f>
        <v>5.1943919423494238E-2</v>
      </c>
      <c r="H29">
        <f t="shared" si="1"/>
        <v>7.2423919423494243E-2</v>
      </c>
      <c r="I29">
        <f t="shared" si="5"/>
        <v>0.24185799986869366</v>
      </c>
      <c r="J29">
        <f>XCP_3D('Données géométriques'!$B$9,'Données géométriques'!$B$10,'Données géométriques'!$B$12,'Données géométriques'!$B$11,I29)</f>
        <v>-0.22146056198476055</v>
      </c>
      <c r="K29">
        <f>'5kts'!K29</f>
        <v>1.1514536950961625</v>
      </c>
      <c r="L29">
        <f t="shared" si="2"/>
        <v>-3.8539438015239458E-2</v>
      </c>
      <c r="M29">
        <f t="shared" si="3"/>
        <v>0.40699999999999997</v>
      </c>
    </row>
    <row r="30" spans="1:13" x14ac:dyDescent="0.25">
      <c r="A30">
        <v>13</v>
      </c>
      <c r="B30">
        <f t="shared" si="4"/>
        <v>0.22689280275926285</v>
      </c>
      <c r="C30">
        <v>1.3418000000000001</v>
      </c>
      <c r="D30">
        <v>2.2179999999999998E-2</v>
      </c>
      <c r="E30">
        <v>1.21E-2</v>
      </c>
      <c r="F30">
        <f>C30*'Données géométriques'!$B$6/(2+('Données géométriques'!$B$6^2+4)^0.5)</f>
        <v>0.74376378975965374</v>
      </c>
      <c r="G30">
        <f>F30^2/(PI()*'Données géométriques'!$B$6)</f>
        <v>5.5015914683751839E-2</v>
      </c>
      <c r="H30">
        <f t="shared" si="1"/>
        <v>7.7195914683751837E-2</v>
      </c>
      <c r="I30">
        <f t="shared" si="5"/>
        <v>0.24078024407409321</v>
      </c>
      <c r="J30">
        <f>XCP_3D('Données géométriques'!$B$9,'Données géométriques'!$B$10,'Données géométriques'!$B$12,'Données géométriques'!$B$11,I30)</f>
        <v>-0.2206670099054592</v>
      </c>
      <c r="K30">
        <f>'5kts'!K30</f>
        <v>1.1514536950961625</v>
      </c>
      <c r="L30">
        <f t="shared" si="2"/>
        <v>-3.9332990094540804E-2</v>
      </c>
      <c r="M30">
        <f t="shared" si="3"/>
        <v>0.42199999999999999</v>
      </c>
    </row>
    <row r="31" spans="1:13" x14ac:dyDescent="0.25">
      <c r="A31">
        <v>13.5</v>
      </c>
      <c r="B31">
        <f t="shared" si="4"/>
        <v>0.23561944901923448</v>
      </c>
      <c r="C31">
        <v>1.3779999999999999</v>
      </c>
      <c r="D31">
        <v>2.383E-2</v>
      </c>
      <c r="E31">
        <v>1.4E-2</v>
      </c>
      <c r="F31">
        <f>C31*'Données géométriques'!$B$6/(2+('Données géométriques'!$B$6^2+4)^0.5)</f>
        <v>0.76382955901684513</v>
      </c>
      <c r="G31">
        <f>F31^2/(PI()*'Données géométriques'!$B$6)</f>
        <v>5.8024472090491941E-2</v>
      </c>
      <c r="H31">
        <f t="shared" si="1"/>
        <v>8.1854472090491945E-2</v>
      </c>
      <c r="I31">
        <f t="shared" si="5"/>
        <v>0.23959485914292145</v>
      </c>
      <c r="J31">
        <f>XCP_3D('Données géométriques'!$B$9,'Données géométriques'!$B$10,'Données géométriques'!$B$12,'Données géométriques'!$B$11,I31)</f>
        <v>-0.219794210444195</v>
      </c>
      <c r="K31">
        <f>'5kts'!K31</f>
        <v>1.1514536950961625</v>
      </c>
      <c r="L31">
        <f t="shared" si="2"/>
        <v>-4.0205789555805005E-2</v>
      </c>
      <c r="M31">
        <f t="shared" si="3"/>
        <v>0.437</v>
      </c>
    </row>
    <row r="32" spans="1:13" x14ac:dyDescent="0.25">
      <c r="A32">
        <v>14</v>
      </c>
      <c r="B32">
        <f t="shared" si="4"/>
        <v>0.24434609527920614</v>
      </c>
      <c r="C32">
        <v>1.4097</v>
      </c>
      <c r="D32">
        <v>2.572E-2</v>
      </c>
      <c r="E32">
        <v>1.6199999999999999E-2</v>
      </c>
      <c r="F32">
        <f>C32*'Données géométriques'!$B$6/(2+('Données géométriques'!$B$6^2+4)^0.5)</f>
        <v>0.78140096469234155</v>
      </c>
      <c r="G32">
        <f>F32^2/(PI()*'Données géométriques'!$B$6)</f>
        <v>6.0724809668163494E-2</v>
      </c>
      <c r="H32">
        <f t="shared" si="1"/>
        <v>8.6444809668163494E-2</v>
      </c>
      <c r="I32">
        <f t="shared" si="5"/>
        <v>0.23821001986347548</v>
      </c>
      <c r="J32">
        <f>XCP_3D('Données géométriques'!$B$9,'Données géométriques'!$B$10,'Données géométriques'!$B$12,'Données géométriques'!$B$11,I32)</f>
        <v>-0.21877455265603188</v>
      </c>
      <c r="K32">
        <f>'5kts'!K32</f>
        <v>1.1514536950961625</v>
      </c>
      <c r="L32">
        <f t="shared" si="2"/>
        <v>-4.122544734396813E-2</v>
      </c>
      <c r="M32">
        <f t="shared" si="3"/>
        <v>0.45100000000000001</v>
      </c>
    </row>
    <row r="33" spans="1:13" x14ac:dyDescent="0.25">
      <c r="A33">
        <v>14.5</v>
      </c>
      <c r="B33">
        <f t="shared" si="4"/>
        <v>0.2530727415391778</v>
      </c>
      <c r="C33">
        <v>1.4332</v>
      </c>
      <c r="D33">
        <v>2.792E-2</v>
      </c>
      <c r="E33">
        <v>1.9199999999999998E-2</v>
      </c>
      <c r="F33">
        <f>C33*'Données géométriques'!$B$6/(2+('Données géométriques'!$B$6^2+4)^0.5)</f>
        <v>0.79442708561897135</v>
      </c>
      <c r="G33">
        <f>F33^2/(PI()*'Données géométriques'!$B$6)</f>
        <v>6.2766275937347071E-2</v>
      </c>
      <c r="H33">
        <f t="shared" si="1"/>
        <v>9.0686275937347072E-2</v>
      </c>
      <c r="I33">
        <f t="shared" si="5"/>
        <v>0.23623201726391013</v>
      </c>
      <c r="J33">
        <f>XCP_3D('Données géométriques'!$B$9,'Données géométriques'!$B$10,'Données géométriques'!$B$12,'Données géométriques'!$B$11,I33)</f>
        <v>-0.21731814844683112</v>
      </c>
      <c r="K33">
        <f>'5kts'!K33</f>
        <v>1.1514536950961625</v>
      </c>
      <c r="L33">
        <f t="shared" si="2"/>
        <v>-4.2681851553168892E-2</v>
      </c>
      <c r="M33">
        <f t="shared" si="3"/>
        <v>0.46600000000000003</v>
      </c>
    </row>
    <row r="34" spans="1:13" x14ac:dyDescent="0.25">
      <c r="A34">
        <v>15</v>
      </c>
      <c r="B34">
        <f t="shared" si="4"/>
        <v>0.26179938779914941</v>
      </c>
      <c r="C34">
        <v>1.4424999999999999</v>
      </c>
      <c r="D34">
        <v>3.0620000000000001E-2</v>
      </c>
      <c r="E34">
        <v>2.3300000000000001E-2</v>
      </c>
      <c r="F34">
        <f>C34*'Données géométriques'!$B$6/(2+('Données géométriques'!$B$6^2+4)^0.5)</f>
        <v>0.7995821036878078</v>
      </c>
      <c r="G34">
        <f>F34^2/(PI()*'Données géométriques'!$B$6)</f>
        <v>6.358349650576138E-2</v>
      </c>
      <c r="H34">
        <f t="shared" si="1"/>
        <v>9.4203496505761375E-2</v>
      </c>
      <c r="I34">
        <f t="shared" si="5"/>
        <v>0.23337226273872902</v>
      </c>
      <c r="J34">
        <f>XCP_3D('Données géométriques'!$B$9,'Données géométriques'!$B$10,'Données géométriques'!$B$12,'Données géométriques'!$B$11,I34)</f>
        <v>-0.21521250989576421</v>
      </c>
      <c r="K34">
        <f>'5kts'!K34</f>
        <v>1.1514536950961625</v>
      </c>
      <c r="L34">
        <f t="shared" si="2"/>
        <v>-4.47874901042358E-2</v>
      </c>
      <c r="M34">
        <f t="shared" si="3"/>
        <v>0.48</v>
      </c>
    </row>
    <row r="35" spans="1:13" x14ac:dyDescent="0.25">
      <c r="A35">
        <v>15.5</v>
      </c>
      <c r="B35">
        <f t="shared" si="4"/>
        <v>0.27052603405912107</v>
      </c>
      <c r="C35">
        <v>1.444</v>
      </c>
      <c r="D35">
        <v>3.4479999999999997E-2</v>
      </c>
      <c r="E35">
        <v>2.58E-2</v>
      </c>
      <c r="F35">
        <f>C35*'Données géométriques'!$B$6/(2+('Données géométriques'!$B$6^2+4)^0.5)</f>
        <v>0.80041355821503946</v>
      </c>
      <c r="G35">
        <f>F35^2/(PI()*'Données géométriques'!$B$6)</f>
        <v>6.3715801300595495E-2</v>
      </c>
      <c r="H35">
        <f t="shared" si="1"/>
        <v>9.8195801300595492E-2</v>
      </c>
      <c r="I35">
        <f t="shared" si="5"/>
        <v>0.23158059556221183</v>
      </c>
      <c r="J35">
        <f>XCP_3D('Données géométriques'!$B$9,'Données géométriques'!$B$10,'Données géométriques'!$B$12,'Données géométriques'!$B$11,I35)</f>
        <v>-0.21389330454287833</v>
      </c>
      <c r="K35">
        <f>'5kts'!K35</f>
        <v>1.1514536950961625</v>
      </c>
      <c r="L35">
        <f t="shared" si="2"/>
        <v>-4.6106695457121677E-2</v>
      </c>
      <c r="M35">
        <f t="shared" si="3"/>
        <v>0.495</v>
      </c>
    </row>
    <row r="36" spans="1:13" x14ac:dyDescent="0.25">
      <c r="A36">
        <v>16</v>
      </c>
      <c r="B36">
        <f t="shared" si="4"/>
        <v>0.27925268031909273</v>
      </c>
      <c r="C36">
        <v>1.4362999999999999</v>
      </c>
      <c r="D36">
        <v>4.0500000000000001E-2</v>
      </c>
      <c r="E36">
        <v>2.5000000000000001E-2</v>
      </c>
      <c r="F36">
        <f>C36*'Données géométriques'!$B$6/(2+('Données géométriques'!$B$6^2+4)^0.5)</f>
        <v>0.79614542497525009</v>
      </c>
      <c r="G36">
        <f>F36^2/(PI()*'Données géométriques'!$B$6)</f>
        <v>6.3038095485174819E-2</v>
      </c>
      <c r="H36">
        <f t="shared" si="1"/>
        <v>0.10353809548517481</v>
      </c>
      <c r="I36">
        <f t="shared" si="5"/>
        <v>0.23203795219915729</v>
      </c>
      <c r="J36">
        <f>XCP_3D('Données géométriques'!$B$9,'Données géométriques'!$B$10,'Données géométriques'!$B$12,'Données géométriques'!$B$11,I36)</f>
        <v>-0.21423005644163717</v>
      </c>
      <c r="K36">
        <f>'5kts'!K36</f>
        <v>1.1514536950961625</v>
      </c>
      <c r="L36">
        <f t="shared" si="2"/>
        <v>-4.5769943558362836E-2</v>
      </c>
      <c r="M36">
        <f t="shared" si="3"/>
        <v>0.50900000000000001</v>
      </c>
    </row>
    <row r="37" spans="1:13" x14ac:dyDescent="0.25">
      <c r="A37">
        <v>16.5</v>
      </c>
      <c r="B37">
        <f t="shared" si="4"/>
        <v>0.28797932657906439</v>
      </c>
      <c r="C37">
        <v>1.4135</v>
      </c>
      <c r="D37">
        <v>5.0779999999999999E-2</v>
      </c>
      <c r="E37">
        <v>1.9E-2</v>
      </c>
      <c r="F37">
        <f>C37*'Données géométriques'!$B$6/(2+('Données géométriques'!$B$6^2+4)^0.5)</f>
        <v>0.7835073161613284</v>
      </c>
      <c r="G37">
        <f>F37^2/(PI()*'Données géométriques'!$B$6)</f>
        <v>6.1052631599625498E-2</v>
      </c>
      <c r="H37">
        <f t="shared" si="1"/>
        <v>0.1118326315996255</v>
      </c>
      <c r="I37">
        <f t="shared" si="5"/>
        <v>0.23612849100095198</v>
      </c>
      <c r="J37">
        <f>XCP_3D('Données géométriques'!$B$9,'Données géométriques'!$B$10,'Données géométriques'!$B$12,'Données géométriques'!$B$11,I37)</f>
        <v>-0.21724192201256448</v>
      </c>
      <c r="K37">
        <f>'5kts'!K37</f>
        <v>1.1514536950961625</v>
      </c>
      <c r="L37">
        <f t="shared" si="2"/>
        <v>-4.2758077987435528E-2</v>
      </c>
      <c r="M37">
        <f t="shared" si="3"/>
        <v>0.52200000000000002</v>
      </c>
    </row>
    <row r="38" spans="1:13" x14ac:dyDescent="0.25">
      <c r="A38">
        <v>17</v>
      </c>
      <c r="B38">
        <f t="shared" si="4"/>
        <v>0.29670597283903605</v>
      </c>
      <c r="C38">
        <v>1.3419000000000001</v>
      </c>
      <c r="D38">
        <v>7.2359999999999994E-2</v>
      </c>
      <c r="E38">
        <v>4.1999999999999997E-3</v>
      </c>
      <c r="F38">
        <f>C38*'Données géométriques'!$B$6/(2+('Données géométriques'!$B$6^2+4)^0.5)</f>
        <v>0.74381922006146917</v>
      </c>
      <c r="G38">
        <f>F38^2/(PI()*'Données géométriques'!$B$6)</f>
        <v>5.5024115304524321E-2</v>
      </c>
      <c r="H38">
        <f t="shared" si="1"/>
        <v>0.12738411530452431</v>
      </c>
      <c r="I38">
        <f t="shared" si="5"/>
        <v>0.2467801815416667</v>
      </c>
      <c r="J38">
        <f>XCP_3D('Données géométriques'!$B$9,'Données géométriques'!$B$10,'Données géométriques'!$B$12,'Données géométriques'!$B$11,I38)</f>
        <v>-0.22508476657809512</v>
      </c>
      <c r="K38">
        <f>'5kts'!K38</f>
        <v>1.1514536950961625</v>
      </c>
      <c r="L38">
        <f t="shared" si="2"/>
        <v>-3.491523342190489E-2</v>
      </c>
      <c r="M38">
        <f t="shared" si="3"/>
        <v>0.53600000000000003</v>
      </c>
    </row>
    <row r="39" spans="1:13" x14ac:dyDescent="0.25">
      <c r="A39">
        <v>17.5</v>
      </c>
      <c r="B39">
        <f t="shared" si="4"/>
        <v>0.30543261909900765</v>
      </c>
      <c r="C39">
        <v>1.081</v>
      </c>
      <c r="D39">
        <v>0.13219</v>
      </c>
      <c r="E39">
        <v>-2.8899999999999999E-2</v>
      </c>
      <c r="F39">
        <f>C39*'Données géométriques'!$B$6/(2+('Données géométriques'!$B$6^2+4)^0.5)</f>
        <v>0.59920156262497071</v>
      </c>
      <c r="G39">
        <f>F39^2/(PI()*'Données géométriques'!$B$6)</f>
        <v>3.5707886911753091E-2</v>
      </c>
      <c r="H39">
        <f t="shared" si="1"/>
        <v>0.16789788691175309</v>
      </c>
      <c r="I39">
        <f t="shared" si="5"/>
        <v>0.27699122576734897</v>
      </c>
      <c r="J39">
        <f>XCP_3D('Données géométriques'!$B$9,'Données géométriques'!$B$10,'Données géométriques'!$B$12,'Données géométriques'!$B$11,I39)</f>
        <v>-0.24732917211341279</v>
      </c>
      <c r="K39">
        <f>'5kts'!K39</f>
        <v>1.1514536950961625</v>
      </c>
      <c r="L39">
        <f t="shared" si="2"/>
        <v>-1.2670827886587216E-2</v>
      </c>
      <c r="M39">
        <f t="shared" si="3"/>
        <v>0.54900000000000004</v>
      </c>
    </row>
    <row r="40" spans="1:13" x14ac:dyDescent="0.25">
      <c r="A40">
        <v>18</v>
      </c>
      <c r="B40">
        <f t="shared" si="4"/>
        <v>0.31415926535897931</v>
      </c>
      <c r="C40">
        <v>0.96299999999999997</v>
      </c>
      <c r="D40">
        <v>0.17027999999999999</v>
      </c>
      <c r="E40">
        <v>-4.9399999999999999E-2</v>
      </c>
      <c r="F40">
        <f>C40*'Données géométriques'!$B$6/(2+('Données géométriques'!$B$6^2+4)^0.5)</f>
        <v>0.53379380648274444</v>
      </c>
      <c r="G40">
        <f>F40^2/(PI()*'Données géométriques'!$B$6)</f>
        <v>2.8337748202674526E-2</v>
      </c>
      <c r="H40">
        <f t="shared" si="1"/>
        <v>0.19861774820267453</v>
      </c>
      <c r="I40">
        <f t="shared" si="5"/>
        <v>0.30100740455212904</v>
      </c>
      <c r="J40">
        <f>XCP_3D('Données géométriques'!$B$9,'Données géométriques'!$B$10,'Données géométriques'!$B$12,'Données géométriques'!$B$11,I40)</f>
        <v>-0.2650122954211202</v>
      </c>
      <c r="K40">
        <f>'5kts'!K40</f>
        <v>1.1514536950961625</v>
      </c>
      <c r="L40">
        <f t="shared" si="2"/>
        <v>5.0122954211201942E-3</v>
      </c>
      <c r="M40">
        <f t="shared" si="3"/>
        <v>0.56200000000000006</v>
      </c>
    </row>
    <row r="41" spans="1:13" x14ac:dyDescent="0.25">
      <c r="A41">
        <v>19</v>
      </c>
      <c r="B41">
        <f t="shared" si="4"/>
        <v>0.33161255787892263</v>
      </c>
      <c r="C41">
        <v>0.86339999999999995</v>
      </c>
      <c r="D41">
        <v>0.2346</v>
      </c>
      <c r="E41">
        <v>-7.9799999999999996E-2</v>
      </c>
      <c r="F41">
        <f>C41*'Données géométriques'!$B$6/(2+('Données géométriques'!$B$6^2+4)^0.5)</f>
        <v>0.47858522587456026</v>
      </c>
      <c r="G41">
        <f>F41^2/(PI()*'Données géométriques'!$B$6)</f>
        <v>2.2779115224421498E-2</v>
      </c>
      <c r="H41">
        <f t="shared" si="1"/>
        <v>0.25737911522442147</v>
      </c>
      <c r="I41">
        <f t="shared" si="5"/>
        <v>0.33938782507309212</v>
      </c>
      <c r="J41">
        <f>XCP_3D('Données géométriques'!$B$9,'Données géométriques'!$B$10,'Données géométriques'!$B$12,'Données géométriques'!$B$11,I41)</f>
        <v>-0.29327181641968753</v>
      </c>
      <c r="K41">
        <f>'5kts'!K41</f>
        <v>1.1514536950961625</v>
      </c>
      <c r="L41">
        <f t="shared" si="2"/>
        <v>3.3271816419687517E-2</v>
      </c>
      <c r="M41">
        <f t="shared" si="3"/>
        <v>0.58499999999999996</v>
      </c>
    </row>
    <row r="42" spans="1:13" x14ac:dyDescent="0.25">
      <c r="A42">
        <v>19.5</v>
      </c>
      <c r="B42">
        <f>RADIANS(A42)</f>
        <v>0.34033920413889424</v>
      </c>
      <c r="C42">
        <v>0.87790000000000001</v>
      </c>
      <c r="D42">
        <v>0.24215999999999999</v>
      </c>
      <c r="E42">
        <v>-8.4199999999999997E-2</v>
      </c>
      <c r="F42">
        <f>C42*'Données géométriques'!$B$6/(2+('Données géométriques'!$B$6^2+4)^0.5)</f>
        <v>0.48662261963779996</v>
      </c>
      <c r="G42">
        <f>F42^2/(PI()*'Données géométriques'!$B$6)</f>
        <v>2.3550647973205531E-2</v>
      </c>
      <c r="H42">
        <f t="shared" ref="H42:H43" si="6">G42+D42</f>
        <v>0.26571064797320554</v>
      </c>
      <c r="I42">
        <f t="shared" ref="I42:I43" si="7">0.25-E42/(C42*COS(B42)+D42*SIN(B42))</f>
        <v>0.34269252286458107</v>
      </c>
      <c r="J42">
        <f>XCP_3D('Données géométriques'!$B$9,'Données géométriques'!$B$10,'Données géométriques'!$B$12,'Données géométriques'!$B$11,I42)</f>
        <v>-0.29570506689909587</v>
      </c>
      <c r="K42">
        <f>'5kts'!K42</f>
        <v>1.1514536950961625</v>
      </c>
      <c r="L42">
        <f t="shared" ref="L42:L43" si="8" xml:space="preserve"> -(J42+0.26)</f>
        <v>3.5705066899095861E-2</v>
      </c>
      <c r="M42">
        <f t="shared" ref="M42:M43" si="9">ROUND( A42^3 * -0.00006 + 0.0023*A42^2 + 0.0003*A42 + 0.1609,3)</f>
        <v>0.59599999999999997</v>
      </c>
    </row>
    <row r="43" spans="1:13" x14ac:dyDescent="0.25">
      <c r="A43">
        <v>20</v>
      </c>
      <c r="B43">
        <f>RADIANS(A43)</f>
        <v>0.3490658503988659</v>
      </c>
      <c r="C43">
        <v>0.89300000000000002</v>
      </c>
      <c r="D43">
        <v>0.24937000000000001</v>
      </c>
      <c r="E43">
        <v>-8.8700000000000001E-2</v>
      </c>
      <c r="F43">
        <f>C43*'Données géométriques'!$B$6/(2+('Données géométriques'!$B$6^2+4)^0.5)</f>
        <v>0.49499259521193234</v>
      </c>
      <c r="G43">
        <f>F43^2/(PI()*'Données géométriques'!$B$6)</f>
        <v>2.4367764036186894E-2</v>
      </c>
      <c r="H43">
        <f t="shared" si="6"/>
        <v>0.27373776403618688</v>
      </c>
      <c r="I43">
        <f t="shared" si="7"/>
        <v>0.3459504918651467</v>
      </c>
      <c r="J43">
        <f>XCP_3D('Données géométriques'!$B$9,'Données géométriques'!$B$10,'Données géométriques'!$B$12,'Données géométriques'!$B$11,I43)</f>
        <v>-0.2981039109486</v>
      </c>
      <c r="K43">
        <f>'5kts'!K42</f>
        <v>1.1514536950961625</v>
      </c>
      <c r="L43">
        <f t="shared" si="8"/>
        <v>3.8103910948599995E-2</v>
      </c>
      <c r="M43">
        <f t="shared" si="9"/>
        <v>0.60699999999999998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0987A-2A60-426C-AB89-F868A481F065}">
  <sheetPr codeName="Feuil9"/>
  <dimension ref="A1:G12"/>
  <sheetViews>
    <sheetView workbookViewId="0">
      <selection activeCell="G1" sqref="G1"/>
    </sheetView>
  </sheetViews>
  <sheetFormatPr baseColWidth="10" defaultRowHeight="15" x14ac:dyDescent="0.25"/>
  <cols>
    <col min="1" max="1" width="16.7109375" customWidth="1"/>
  </cols>
  <sheetData>
    <row r="1" spans="1:7" x14ac:dyDescent="0.25">
      <c r="A1" t="s">
        <v>21</v>
      </c>
    </row>
    <row r="2" spans="1:7" x14ac:dyDescent="0.25">
      <c r="A2" t="s">
        <v>12</v>
      </c>
      <c r="B2">
        <v>0.66300000000000003</v>
      </c>
      <c r="G2" s="2"/>
    </row>
    <row r="3" spans="1:7" x14ac:dyDescent="0.25">
      <c r="A3" t="s">
        <v>13</v>
      </c>
      <c r="B3">
        <v>2.1219999999999999</v>
      </c>
    </row>
    <row r="4" spans="1:7" x14ac:dyDescent="0.25">
      <c r="A4" t="s">
        <v>14</v>
      </c>
      <c r="B4">
        <f>B3/B2</f>
        <v>3.2006033182503768</v>
      </c>
    </row>
    <row r="5" spans="1:7" x14ac:dyDescent="0.25">
      <c r="A5" t="s">
        <v>15</v>
      </c>
      <c r="B5">
        <v>1</v>
      </c>
      <c r="C5" t="s">
        <v>22</v>
      </c>
    </row>
    <row r="6" spans="1:7" x14ac:dyDescent="0.25">
      <c r="A6" t="s">
        <v>16</v>
      </c>
      <c r="B6">
        <f>B5*B4</f>
        <v>3.2006033182503768</v>
      </c>
    </row>
    <row r="9" spans="1:7" x14ac:dyDescent="0.25">
      <c r="A9" t="s">
        <v>17</v>
      </c>
      <c r="B9">
        <v>0.42399999999999999</v>
      </c>
    </row>
    <row r="10" spans="1:7" x14ac:dyDescent="0.25">
      <c r="A10" t="s">
        <v>18</v>
      </c>
      <c r="B10">
        <v>0.97599999999999998</v>
      </c>
    </row>
    <row r="11" spans="1:7" x14ac:dyDescent="0.25">
      <c r="A11" t="s">
        <v>20</v>
      </c>
      <c r="B11">
        <v>9.9900000000000003E-2</v>
      </c>
    </row>
    <row r="12" spans="1:7" x14ac:dyDescent="0.25">
      <c r="A12" t="s">
        <v>19</v>
      </c>
      <c r="B12">
        <f>B3</f>
        <v>2.1219999999999999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1kts</vt:lpstr>
      <vt:lpstr>5kts</vt:lpstr>
      <vt:lpstr>10kts</vt:lpstr>
      <vt:lpstr>15kts</vt:lpstr>
      <vt:lpstr>20kts</vt:lpstr>
      <vt:lpstr>25kts</vt:lpstr>
      <vt:lpstr>30kts</vt:lpstr>
      <vt:lpstr>35kts</vt:lpstr>
      <vt:lpstr>40kts</vt:lpstr>
      <vt:lpstr>Données géométriques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Loughlin</dc:creator>
  <cp:lastModifiedBy>matheo</cp:lastModifiedBy>
  <dcterms:created xsi:type="dcterms:W3CDTF">2015-06-05T18:19:34Z</dcterms:created>
  <dcterms:modified xsi:type="dcterms:W3CDTF">2020-04-04T17:12:28Z</dcterms:modified>
</cp:coreProperties>
</file>